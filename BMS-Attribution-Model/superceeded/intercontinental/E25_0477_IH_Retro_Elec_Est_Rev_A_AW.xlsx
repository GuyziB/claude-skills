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backupFile="1" updateLinks="always" codeName="ThisWorkbook"/>
  <mc:AlternateContent xmlns:mc="http://schemas.openxmlformats.org/markup-compatibility/2006">
    <mc:Choice Requires="x15">
      <x15ac:absPath xmlns:x15ac="http://schemas.microsoft.com/office/spreadsheetml/2010/11/ac" url="K:\est\Intercontinental Hotel\Estimates\Estimates Sept 2025\As Awarded Contract\"/>
    </mc:Choice>
  </mc:AlternateContent>
  <xr:revisionPtr revIDLastSave="0" documentId="13_ncr:1_{9CA8C749-9721-4B8E-8928-95FA6BDA3706}" xr6:coauthVersionLast="47" xr6:coauthVersionMax="47" xr10:uidLastSave="{00000000-0000-0000-0000-000000000000}"/>
  <bookViews>
    <workbookView xWindow="-345" yWindow="-16320" windowWidth="29040" windowHeight="15720" activeTab="4" xr2:uid="{3F118719-9C94-4EDF-BD02-FB8FBBCC76CA}"/>
  </bookViews>
  <sheets>
    <sheet name="Notes" sheetId="10" r:id="rId1"/>
    <sheet name="ML_Sum" sheetId="1" r:id="rId2"/>
    <sheet name="Quote" sheetId="18" r:id="rId3"/>
    <sheet name="Elec_Rates" sheetId="11" r:id="rId4"/>
    <sheet name="Elec_Est" sheetId="8" r:id="rId5"/>
    <sheet name="AsAwarded_Discount" sheetId="39" r:id="rId6"/>
    <sheet name="BMS_Points" sheetId="38" r:id="rId7"/>
    <sheet name="Elec_BOQ" sheetId="34" r:id="rId8"/>
    <sheet name="Central_Controller_BOQ" sheetId="37" r:id="rId9"/>
    <sheet name="BMS_BOQ" sheetId="35" r:id="rId10"/>
    <sheet name="SUMM PG " sheetId="31" r:id="rId11"/>
    <sheet name="Old_Est" sheetId="36" r:id="rId12"/>
  </sheets>
  <definedNames>
    <definedName name="_xlnm._FilterDatabase" localSheetId="6" hidden="1">BMS_Points!$G$1:$G$159</definedName>
    <definedName name="_xlnm._FilterDatabase" localSheetId="7" hidden="1">Elec_BOQ!$D$1:$D$274</definedName>
    <definedName name="_xlnm._FilterDatabase" localSheetId="4" hidden="1">Elec_Est!$F$1:$F$1070</definedName>
    <definedName name="_xlnm._FilterDatabase" localSheetId="3" hidden="1">Elec_Rates!$L$1:$L$417</definedName>
    <definedName name="_xlnm._FilterDatabase" localSheetId="11" hidden="1">Old_Est!$D$1:$D$1293</definedName>
    <definedName name="_Key1" hidden="1">#REF!</definedName>
    <definedName name="_Order1" hidden="1">255</definedName>
    <definedName name="_Sort" hidden="1">#REF!</definedName>
    <definedName name="Access_Control" localSheetId="9">#REF!</definedName>
    <definedName name="Access_Control" localSheetId="8">#REF!</definedName>
    <definedName name="Access_Control">#REF!</definedName>
    <definedName name="AREAS" localSheetId="6">ML_Sum!$X$1:$AD$16</definedName>
    <definedName name="AREAS" localSheetId="2">#REF!</definedName>
    <definedName name="AREAS">ML_Sum!$X$1:$AD$16</definedName>
    <definedName name="CCTV" localSheetId="9">#REF!</definedName>
    <definedName name="CCTV" localSheetId="8">#REF!</definedName>
    <definedName name="CCTV">#REF!</definedName>
    <definedName name="Commissioning" localSheetId="6">Elec_Est!#REF!</definedName>
    <definedName name="Commissioning" localSheetId="11">Old_Est!$A$1146</definedName>
    <definedName name="Commissioning">Elec_Est!#REF!</definedName>
    <definedName name="Data" localSheetId="9">#REF!</definedName>
    <definedName name="Data" localSheetId="8">#REF!</definedName>
    <definedName name="Data">#REF!</definedName>
    <definedName name="Electrical" localSheetId="6">Elec_Est!#REF!</definedName>
    <definedName name="Electrical" localSheetId="11">Old_Est!$A$16</definedName>
    <definedName name="Electrical">Elec_Est!#REF!</definedName>
    <definedName name="Fire_Alarm" localSheetId="9">#REF!</definedName>
    <definedName name="Fire_Alarm" localSheetId="8">#REF!</definedName>
    <definedName name="Fire_Alarm">#REF!</definedName>
    <definedName name="Fire_Barriers" localSheetId="6">Elec_Est!#REF!</definedName>
    <definedName name="Fire_Barriers" localSheetId="11">Old_Est!$A$1120</definedName>
    <definedName name="Fire_Barriers">Elec_Est!#REF!</definedName>
    <definedName name="FO" localSheetId="9">#REF!</definedName>
    <definedName name="FO" localSheetId="8">#REF!</definedName>
    <definedName name="FO">#REF!</definedName>
    <definedName name="Guard" localSheetId="9">#REF!</definedName>
    <definedName name="Guard" localSheetId="8">#REF!</definedName>
    <definedName name="Guard">#REF!</definedName>
    <definedName name="Intercom" localSheetId="9">#REF!</definedName>
    <definedName name="Intercom" localSheetId="8">#REF!</definedName>
    <definedName name="Intercom">#REF!</definedName>
    <definedName name="Intruder_Alarm" localSheetId="9">#REF!</definedName>
    <definedName name="Intruder_Alarm" localSheetId="8">#REF!</definedName>
    <definedName name="Intruder_Alarm">#REF!</definedName>
    <definedName name="Preliminaries" localSheetId="11">Old_Est!#REF!</definedName>
    <definedName name="Preliminaries">Elec_Est!#REF!</definedName>
    <definedName name="_xlnm.Print_Area" localSheetId="4">Elec_Est!$A$1:$T$1069</definedName>
    <definedName name="_xlnm.Print_Area" localSheetId="11">Old_Est!$A$1:$T$1292</definedName>
    <definedName name="_xlnm.Print_Area" localSheetId="10">'SUMM PG '!$A$1:$I$248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39" l="1"/>
  <c r="B4" i="39" l="1"/>
  <c r="R401" i="8" l="1"/>
  <c r="R403" i="8" s="1"/>
  <c r="R389" i="8"/>
  <c r="R402" i="8"/>
  <c r="R396" i="8"/>
  <c r="S395" i="8"/>
  <c r="R395" i="8"/>
  <c r="R390" i="8"/>
  <c r="R384" i="8"/>
  <c r="S383" i="8"/>
  <c r="R383" i="8"/>
  <c r="R377" i="8"/>
  <c r="R365" i="8"/>
  <c r="S347" i="8"/>
  <c r="R353" i="8"/>
  <c r="R347" i="8"/>
  <c r="R378" i="8"/>
  <c r="R372" i="8"/>
  <c r="S371" i="8"/>
  <c r="R371" i="8"/>
  <c r="R366" i="8"/>
  <c r="R360" i="8"/>
  <c r="S359" i="8"/>
  <c r="R359" i="8"/>
  <c r="R354" i="8"/>
  <c r="R348" i="8"/>
  <c r="S317" i="8"/>
  <c r="S329" i="8"/>
  <c r="R335" i="8"/>
  <c r="R329" i="8"/>
  <c r="R323" i="8"/>
  <c r="R317" i="8"/>
  <c r="R336" i="8"/>
  <c r="R330" i="8"/>
  <c r="R324" i="8"/>
  <c r="R318" i="8"/>
  <c r="S305" i="8"/>
  <c r="R311" i="8"/>
  <c r="R305" i="8"/>
  <c r="R312" i="8"/>
  <c r="R306" i="8"/>
  <c r="R307" i="8" s="1"/>
  <c r="S293" i="8"/>
  <c r="R299" i="8"/>
  <c r="R300" i="8"/>
  <c r="R293" i="8"/>
  <c r="R294" i="8"/>
  <c r="R397" i="8" l="1"/>
  <c r="R385" i="8"/>
  <c r="AM381" i="8" s="1"/>
  <c r="R349" i="8"/>
  <c r="AM345" i="8" s="1"/>
  <c r="R391" i="8"/>
  <c r="AM387" i="8"/>
  <c r="AM399" i="8"/>
  <c r="AM393" i="8"/>
  <c r="R361" i="8"/>
  <c r="AM357" i="8" s="1"/>
  <c r="R355" i="8"/>
  <c r="AM351" i="8" s="1"/>
  <c r="R373" i="8"/>
  <c r="AM369" i="8" s="1"/>
  <c r="R379" i="8"/>
  <c r="AM375" i="8" s="1"/>
  <c r="R367" i="8"/>
  <c r="AM363" i="8" s="1"/>
  <c r="R337" i="8"/>
  <c r="AM333" i="8" s="1"/>
  <c r="R325" i="8"/>
  <c r="AM321" i="8" s="1"/>
  <c r="R331" i="8"/>
  <c r="AM327" i="8" s="1"/>
  <c r="R313" i="8"/>
  <c r="AM309" i="8" s="1"/>
  <c r="R319" i="8"/>
  <c r="AM315" i="8"/>
  <c r="R301" i="8"/>
  <c r="AM297" i="8" s="1"/>
  <c r="R295" i="8"/>
  <c r="AM291" i="8" s="1"/>
  <c r="AM303" i="8"/>
  <c r="B9" i="39" l="1"/>
  <c r="A65" i="8" l="1"/>
  <c r="A75" i="8"/>
  <c r="A95" i="8"/>
  <c r="A101" i="8"/>
  <c r="A107" i="8"/>
  <c r="A121" i="8"/>
  <c r="A127" i="8"/>
  <c r="A137" i="8"/>
  <c r="A143" i="8"/>
  <c r="A153" i="8"/>
  <c r="A159" i="8"/>
  <c r="A179" i="8"/>
  <c r="A185" i="8"/>
  <c r="A191" i="8"/>
  <c r="A205" i="8"/>
  <c r="A211" i="8"/>
  <c r="A217" i="8"/>
  <c r="A223" i="8"/>
  <c r="A229" i="8"/>
  <c r="A235" i="8"/>
  <c r="A241" i="8"/>
  <c r="A247" i="8"/>
  <c r="A261" i="8"/>
  <c r="A273" i="8"/>
  <c r="A279" i="8"/>
  <c r="A407" i="8"/>
  <c r="A423" i="8"/>
  <c r="A429" i="8"/>
  <c r="A435" i="8"/>
  <c r="A441" i="8"/>
  <c r="A447" i="8"/>
  <c r="R782" i="8" l="1"/>
  <c r="R784" i="8"/>
  <c r="R783" i="8"/>
  <c r="R785" i="8" l="1"/>
  <c r="F42" i="38" l="1"/>
  <c r="E42" i="38"/>
  <c r="C97" i="38"/>
  <c r="C95" i="38"/>
  <c r="C94" i="38"/>
  <c r="B97" i="38"/>
  <c r="E43" i="38" l="1"/>
  <c r="F43" i="38"/>
  <c r="D835" i="8"/>
  <c r="C835" i="8"/>
  <c r="R833" i="8"/>
  <c r="R832" i="8"/>
  <c r="S831" i="8"/>
  <c r="R831" i="8"/>
  <c r="S830" i="8"/>
  <c r="R830" i="8"/>
  <c r="S829" i="8"/>
  <c r="Q829" i="8"/>
  <c r="R829" i="8" s="1"/>
  <c r="S828" i="8"/>
  <c r="R828" i="8"/>
  <c r="S826" i="8"/>
  <c r="R826" i="8"/>
  <c r="R825" i="8"/>
  <c r="D834" i="8"/>
  <c r="S873" i="8" l="1"/>
  <c r="T5" i="1"/>
  <c r="S822" i="8"/>
  <c r="R719" i="8"/>
  <c r="A720" i="8"/>
  <c r="Q720" i="8"/>
  <c r="A721" i="8"/>
  <c r="R721" i="8" s="1"/>
  <c r="R722" i="8"/>
  <c r="R723" i="8"/>
  <c r="A724" i="8"/>
  <c r="R724" i="8" s="1"/>
  <c r="S924" i="8"/>
  <c r="S925" i="8"/>
  <c r="S926" i="8"/>
  <c r="S927" i="8"/>
  <c r="S923" i="8"/>
  <c r="R926" i="8"/>
  <c r="R927" i="8"/>
  <c r="R925" i="8"/>
  <c r="R924" i="8"/>
  <c r="R923" i="8"/>
  <c r="F69" i="37"/>
  <c r="R497" i="8"/>
  <c r="R505" i="8"/>
  <c r="R501" i="8"/>
  <c r="R496" i="8"/>
  <c r="R495" i="8"/>
  <c r="R506" i="8"/>
  <c r="R502" i="8"/>
  <c r="R498" i="8"/>
  <c r="R720" i="8" l="1"/>
  <c r="R503" i="8"/>
  <c r="R499" i="8"/>
  <c r="R507" i="8"/>
  <c r="R509" i="8" l="1"/>
  <c r="AM491" i="8" s="1"/>
  <c r="B36" i="38"/>
  <c r="E36" i="38" s="1"/>
  <c r="F38" i="38"/>
  <c r="E38" i="38"/>
  <c r="F32" i="38"/>
  <c r="E32" i="38"/>
  <c r="B31" i="38"/>
  <c r="F31" i="38" s="1"/>
  <c r="R476" i="8"/>
  <c r="R661" i="8"/>
  <c r="R660" i="8"/>
  <c r="R659" i="8"/>
  <c r="R658" i="8"/>
  <c r="R656" i="8"/>
  <c r="R567" i="8"/>
  <c r="R566" i="8"/>
  <c r="R565" i="8"/>
  <c r="R564" i="8"/>
  <c r="R563" i="8"/>
  <c r="R562" i="8"/>
  <c r="R561" i="8"/>
  <c r="R560" i="8"/>
  <c r="R559" i="8"/>
  <c r="R558" i="8"/>
  <c r="R557" i="8"/>
  <c r="R556" i="8"/>
  <c r="R555" i="8"/>
  <c r="R554" i="8"/>
  <c r="R553" i="8"/>
  <c r="R552" i="8"/>
  <c r="R551" i="8"/>
  <c r="R550" i="8"/>
  <c r="R549" i="8"/>
  <c r="R548" i="8"/>
  <c r="R547" i="8"/>
  <c r="R546" i="8"/>
  <c r="R545" i="8"/>
  <c r="R544" i="8"/>
  <c r="R543" i="8"/>
  <c r="R542" i="8"/>
  <c r="R541" i="8"/>
  <c r="R540" i="8"/>
  <c r="R539" i="8"/>
  <c r="R538" i="8"/>
  <c r="R537" i="8"/>
  <c r="R536" i="8"/>
  <c r="R535" i="8"/>
  <c r="R534" i="8"/>
  <c r="R533" i="8"/>
  <c r="R532" i="8"/>
  <c r="R531" i="8"/>
  <c r="R530" i="8"/>
  <c r="R529" i="8"/>
  <c r="R528" i="8"/>
  <c r="R527" i="8"/>
  <c r="R526" i="8"/>
  <c r="R525" i="8"/>
  <c r="R524" i="8"/>
  <c r="R523" i="8"/>
  <c r="R717" i="8"/>
  <c r="R716" i="8"/>
  <c r="R715" i="8"/>
  <c r="R708" i="8"/>
  <c r="R707" i="8"/>
  <c r="R706" i="8"/>
  <c r="R699" i="8"/>
  <c r="R698" i="8"/>
  <c r="R697" i="8"/>
  <c r="R690" i="8"/>
  <c r="R689" i="8"/>
  <c r="R688" i="8"/>
  <c r="R681" i="8"/>
  <c r="R680" i="8"/>
  <c r="R679" i="8"/>
  <c r="R672" i="8"/>
  <c r="R671" i="8"/>
  <c r="R670" i="8"/>
  <c r="R714" i="8"/>
  <c r="R713" i="8"/>
  <c r="R712" i="8"/>
  <c r="R711" i="8"/>
  <c r="R710" i="8"/>
  <c r="R705" i="8"/>
  <c r="R704" i="8"/>
  <c r="R703" i="8"/>
  <c r="R702" i="8"/>
  <c r="R701" i="8"/>
  <c r="R696" i="8"/>
  <c r="R695" i="8"/>
  <c r="R694" i="8"/>
  <c r="R693" i="8"/>
  <c r="R692" i="8"/>
  <c r="R687" i="8"/>
  <c r="R686" i="8"/>
  <c r="R685" i="8"/>
  <c r="R684" i="8"/>
  <c r="R683" i="8"/>
  <c r="R678" i="8"/>
  <c r="R677" i="8"/>
  <c r="R676" i="8"/>
  <c r="R675" i="8"/>
  <c r="R674" i="8"/>
  <c r="R669" i="8"/>
  <c r="R668" i="8"/>
  <c r="R667" i="8"/>
  <c r="R666" i="8"/>
  <c r="R665" i="8"/>
  <c r="R709" i="8"/>
  <c r="R700" i="8"/>
  <c r="R691" i="8"/>
  <c r="R682" i="8"/>
  <c r="R673" i="8"/>
  <c r="R664" i="8"/>
  <c r="R663" i="8"/>
  <c r="R662" i="8"/>
  <c r="R657" i="8"/>
  <c r="R655" i="8"/>
  <c r="E34" i="38"/>
  <c r="F34" i="38"/>
  <c r="F37" i="38"/>
  <c r="E37" i="38"/>
  <c r="F35" i="38"/>
  <c r="E35" i="38"/>
  <c r="F33" i="38"/>
  <c r="E33" i="38"/>
  <c r="F30" i="38"/>
  <c r="E30" i="38"/>
  <c r="D919" i="8"/>
  <c r="C919" i="8"/>
  <c r="D918" i="8"/>
  <c r="E31" i="38" l="1"/>
  <c r="C96" i="38"/>
  <c r="F36" i="38"/>
  <c r="E58" i="38"/>
  <c r="F58" i="38"/>
  <c r="E59" i="38"/>
  <c r="F59" i="38"/>
  <c r="E60" i="38"/>
  <c r="F60" i="38"/>
  <c r="E61" i="38"/>
  <c r="F61" i="38"/>
  <c r="E62" i="38"/>
  <c r="F62" i="38"/>
  <c r="E63" i="38"/>
  <c r="F63" i="38"/>
  <c r="E64" i="38"/>
  <c r="F64" i="38"/>
  <c r="E65" i="38"/>
  <c r="F65" i="38"/>
  <c r="E66" i="38"/>
  <c r="F66" i="38"/>
  <c r="E67" i="38"/>
  <c r="F67" i="38"/>
  <c r="E68" i="38"/>
  <c r="F68" i="38"/>
  <c r="E69" i="38"/>
  <c r="F69" i="38"/>
  <c r="F71" i="38"/>
  <c r="E71" i="38"/>
  <c r="F70" i="38"/>
  <c r="E70" i="38"/>
  <c r="U901" i="8"/>
  <c r="S98" i="11"/>
  <c r="S97" i="11"/>
  <c r="S95" i="11"/>
  <c r="S94" i="11"/>
  <c r="S93" i="11"/>
  <c r="S92" i="11"/>
  <c r="S86" i="11"/>
  <c r="S85" i="11"/>
  <c r="S84" i="11"/>
  <c r="S83" i="11"/>
  <c r="S81" i="11"/>
  <c r="S80" i="11"/>
  <c r="S74" i="11"/>
  <c r="S73" i="11"/>
  <c r="S72" i="11"/>
  <c r="S71" i="11"/>
  <c r="S69" i="11"/>
  <c r="S68" i="11"/>
  <c r="S62" i="11"/>
  <c r="S61" i="11"/>
  <c r="S60" i="11"/>
  <c r="S59" i="11"/>
  <c r="S57" i="11"/>
  <c r="S56" i="11"/>
  <c r="S50" i="11"/>
  <c r="S49" i="11"/>
  <c r="S48" i="11"/>
  <c r="S47" i="11"/>
  <c r="S45" i="11"/>
  <c r="S44" i="11"/>
  <c r="S38" i="11"/>
  <c r="S37" i="11"/>
  <c r="S36" i="11"/>
  <c r="S35" i="11"/>
  <c r="S33" i="11"/>
  <c r="S32" i="11"/>
  <c r="S26" i="11"/>
  <c r="S25" i="11"/>
  <c r="S24" i="11"/>
  <c r="S23" i="11"/>
  <c r="S22" i="11"/>
  <c r="S21" i="11"/>
  <c r="S915" i="8"/>
  <c r="S914" i="8"/>
  <c r="S913" i="8"/>
  <c r="S912" i="8"/>
  <c r="S854" i="8"/>
  <c r="T3" i="1"/>
  <c r="D910" i="8"/>
  <c r="D906" i="8"/>
  <c r="D903" i="8"/>
  <c r="D901" i="8"/>
  <c r="D899" i="8"/>
  <c r="D896" i="8"/>
  <c r="D894" i="8"/>
  <c r="D1045" i="8"/>
  <c r="D1044" i="8"/>
  <c r="D1043" i="8"/>
  <c r="D1042" i="8"/>
  <c r="D1041" i="8"/>
  <c r="D1040" i="8"/>
  <c r="D1039" i="8"/>
  <c r="R99" i="11"/>
  <c r="C93" i="11"/>
  <c r="R87" i="11"/>
  <c r="Q83" i="11"/>
  <c r="Q81" i="11"/>
  <c r="C81" i="11"/>
  <c r="R75" i="11"/>
  <c r="Q71" i="11"/>
  <c r="Q69" i="11"/>
  <c r="C69" i="11"/>
  <c r="Q68" i="11"/>
  <c r="R63" i="11"/>
  <c r="Q59" i="11"/>
  <c r="Q57" i="11"/>
  <c r="R51" i="11"/>
  <c r="Q47" i="11"/>
  <c r="Q45" i="11"/>
  <c r="R39" i="11"/>
  <c r="Q35" i="11"/>
  <c r="Q33" i="11"/>
  <c r="C33" i="11"/>
  <c r="R27" i="11"/>
  <c r="Q23" i="11"/>
  <c r="Q22" i="11"/>
  <c r="D895" i="8"/>
  <c r="D902" i="8"/>
  <c r="D900" i="8"/>
  <c r="D893" i="8"/>
  <c r="D905" i="8"/>
  <c r="D898" i="8"/>
  <c r="D909" i="8"/>
  <c r="F87" i="38" l="1"/>
  <c r="E87" i="38"/>
  <c r="E73" i="38"/>
  <c r="F73" i="38"/>
  <c r="E74" i="38"/>
  <c r="F74" i="38"/>
  <c r="E75" i="38"/>
  <c r="F75" i="38"/>
  <c r="E76" i="38"/>
  <c r="F76" i="38"/>
  <c r="E77" i="38"/>
  <c r="F77" i="38"/>
  <c r="F72" i="38"/>
  <c r="E72" i="38"/>
  <c r="F79" i="38"/>
  <c r="E79" i="38"/>
  <c r="F78" i="38"/>
  <c r="E78" i="38"/>
  <c r="F41" i="38"/>
  <c r="E41" i="38"/>
  <c r="F40" i="38"/>
  <c r="E40" i="38"/>
  <c r="F39" i="38"/>
  <c r="E39" i="38"/>
  <c r="F29" i="38"/>
  <c r="E29" i="38"/>
  <c r="F28" i="38"/>
  <c r="E28" i="38"/>
  <c r="F27" i="38"/>
  <c r="E27" i="38"/>
  <c r="F26" i="38"/>
  <c r="E26" i="38"/>
  <c r="F25" i="38"/>
  <c r="E25" i="38"/>
  <c r="F24" i="38"/>
  <c r="E24" i="38"/>
  <c r="F23" i="38"/>
  <c r="E23" i="38"/>
  <c r="F22" i="38"/>
  <c r="E22" i="38"/>
  <c r="F21" i="38"/>
  <c r="E21" i="38"/>
  <c r="F20" i="38"/>
  <c r="E20" i="38"/>
  <c r="F19" i="38"/>
  <c r="E19" i="38"/>
  <c r="F18" i="38"/>
  <c r="E18" i="38"/>
  <c r="F17" i="38"/>
  <c r="E17" i="38"/>
  <c r="F16" i="38"/>
  <c r="E16" i="38"/>
  <c r="F15" i="38"/>
  <c r="E15" i="38"/>
  <c r="F14" i="38"/>
  <c r="E14" i="38"/>
  <c r="F13" i="38"/>
  <c r="E13" i="38"/>
  <c r="F12" i="38"/>
  <c r="E12" i="38"/>
  <c r="F11" i="38"/>
  <c r="E11" i="38"/>
  <c r="F10" i="38"/>
  <c r="E10" i="38"/>
  <c r="F9" i="38"/>
  <c r="E9" i="38"/>
  <c r="F8" i="38"/>
  <c r="E8" i="38"/>
  <c r="F7" i="38"/>
  <c r="E7" i="38"/>
  <c r="F6" i="38"/>
  <c r="E6" i="38"/>
  <c r="F5" i="38"/>
  <c r="E5" i="38"/>
  <c r="F4" i="38"/>
  <c r="E4" i="38"/>
  <c r="F3" i="38"/>
  <c r="E3" i="38"/>
  <c r="D921" i="8"/>
  <c r="C921" i="8"/>
  <c r="R917" i="8"/>
  <c r="R936" i="8"/>
  <c r="R935" i="8"/>
  <c r="R932" i="8"/>
  <c r="R931" i="8"/>
  <c r="R928" i="8"/>
  <c r="R916" i="8"/>
  <c r="R915" i="8"/>
  <c r="R914" i="8"/>
  <c r="Q913" i="8"/>
  <c r="R913" i="8" s="1"/>
  <c r="R912" i="8"/>
  <c r="C910" i="8"/>
  <c r="R908" i="8"/>
  <c r="R907" i="8"/>
  <c r="C906" i="8"/>
  <c r="C903" i="8"/>
  <c r="R897" i="8"/>
  <c r="R892" i="8"/>
  <c r="R879" i="8"/>
  <c r="R878" i="8"/>
  <c r="R875" i="8"/>
  <c r="R874" i="8"/>
  <c r="R873" i="8"/>
  <c r="R860" i="8"/>
  <c r="R859" i="8"/>
  <c r="R856" i="8"/>
  <c r="R855" i="8"/>
  <c r="R854" i="8"/>
  <c r="R841" i="8"/>
  <c r="R840" i="8"/>
  <c r="R839" i="8"/>
  <c r="R836" i="8"/>
  <c r="R823" i="8"/>
  <c r="R822" i="8"/>
  <c r="R807" i="8"/>
  <c r="R787" i="8"/>
  <c r="D920" i="8"/>
  <c r="E51" i="38" l="1"/>
  <c r="E48" i="38"/>
  <c r="F51" i="38"/>
  <c r="A896" i="8" s="1"/>
  <c r="C896" i="8" s="1"/>
  <c r="F48" i="38"/>
  <c r="E52" i="38"/>
  <c r="F52" i="38"/>
  <c r="A901" i="8" s="1"/>
  <c r="C901" i="8" s="1"/>
  <c r="E83" i="38"/>
  <c r="E86" i="38"/>
  <c r="A899" i="8" s="1"/>
  <c r="C899" i="8" s="1"/>
  <c r="F86" i="38"/>
  <c r="F83" i="38"/>
  <c r="R861" i="8"/>
  <c r="R876" i="8"/>
  <c r="R842" i="8"/>
  <c r="R933" i="8"/>
  <c r="R937" i="8"/>
  <c r="R880" i="8"/>
  <c r="A894" i="8" l="1"/>
  <c r="C894" i="8" s="1"/>
  <c r="G83" i="38"/>
  <c r="G87" i="38"/>
  <c r="R882" i="8"/>
  <c r="AM869" i="8" s="1"/>
  <c r="D726" i="8" l="1"/>
  <c r="C726" i="8"/>
  <c r="D725" i="8"/>
  <c r="R718" i="8" l="1"/>
  <c r="R654" i="8"/>
  <c r="R653" i="8"/>
  <c r="R652" i="8"/>
  <c r="R651" i="8"/>
  <c r="R650" i="8"/>
  <c r="R649" i="8"/>
  <c r="R648" i="8"/>
  <c r="R647" i="8"/>
  <c r="R646" i="8"/>
  <c r="R645" i="8"/>
  <c r="R644" i="8"/>
  <c r="R643" i="8"/>
  <c r="R642" i="8"/>
  <c r="R641" i="8"/>
  <c r="R640" i="8"/>
  <c r="R639" i="8"/>
  <c r="R638" i="8"/>
  <c r="R637" i="8"/>
  <c r="R636" i="8"/>
  <c r="R635" i="8"/>
  <c r="R634" i="8"/>
  <c r="R633" i="8"/>
  <c r="R632" i="8"/>
  <c r="R631" i="8"/>
  <c r="R630" i="8"/>
  <c r="R629" i="8"/>
  <c r="R628" i="8"/>
  <c r="R627" i="8"/>
  <c r="R626" i="8"/>
  <c r="R625" i="8"/>
  <c r="R624" i="8"/>
  <c r="R623" i="8"/>
  <c r="R622" i="8"/>
  <c r="R621" i="8"/>
  <c r="R620" i="8"/>
  <c r="R619" i="8"/>
  <c r="R618" i="8"/>
  <c r="R617" i="8"/>
  <c r="R616" i="8"/>
  <c r="R615" i="8"/>
  <c r="R614" i="8"/>
  <c r="R613" i="8"/>
  <c r="R612" i="8"/>
  <c r="R611" i="8"/>
  <c r="R610" i="8"/>
  <c r="R609" i="8"/>
  <c r="R608" i="8"/>
  <c r="R607" i="8"/>
  <c r="R606" i="8"/>
  <c r="R605" i="8"/>
  <c r="R604" i="8"/>
  <c r="R603" i="8"/>
  <c r="R602" i="8"/>
  <c r="R601" i="8"/>
  <c r="R600" i="8"/>
  <c r="R599" i="8"/>
  <c r="R598" i="8"/>
  <c r="R597" i="8"/>
  <c r="R596" i="8"/>
  <c r="R595" i="8"/>
  <c r="R594" i="8"/>
  <c r="R593" i="8"/>
  <c r="R592" i="8"/>
  <c r="R591" i="8"/>
  <c r="R590" i="8"/>
  <c r="R589" i="8"/>
  <c r="R588" i="8"/>
  <c r="R587" i="8"/>
  <c r="R586" i="8"/>
  <c r="R585" i="8"/>
  <c r="R584" i="8"/>
  <c r="R583" i="8"/>
  <c r="R582" i="8"/>
  <c r="R581" i="8"/>
  <c r="R580" i="8"/>
  <c r="R579" i="8"/>
  <c r="R578" i="8"/>
  <c r="R577" i="8"/>
  <c r="R576" i="8"/>
  <c r="R575" i="8"/>
  <c r="R574" i="8"/>
  <c r="R573" i="8"/>
  <c r="R572" i="8"/>
  <c r="R571" i="8"/>
  <c r="R570" i="8"/>
  <c r="R569" i="8"/>
  <c r="R568" i="8"/>
  <c r="R748" i="8" l="1"/>
  <c r="R747" i="8"/>
  <c r="R746" i="8"/>
  <c r="R743" i="8"/>
  <c r="R742" i="8"/>
  <c r="R741" i="8"/>
  <c r="R732" i="8"/>
  <c r="R731" i="8"/>
  <c r="R730" i="8"/>
  <c r="R727" i="8"/>
  <c r="R478" i="8"/>
  <c r="R477" i="8"/>
  <c r="R473" i="8"/>
  <c r="R472" i="8"/>
  <c r="R471" i="8"/>
  <c r="A34" i="37"/>
  <c r="A60" i="37" s="1"/>
  <c r="D1291" i="36"/>
  <c r="D1290" i="36"/>
  <c r="D1289" i="36"/>
  <c r="D1288" i="36"/>
  <c r="D1287" i="36"/>
  <c r="D1286" i="36"/>
  <c r="D1285" i="36"/>
  <c r="D1284" i="36"/>
  <c r="D1283" i="36"/>
  <c r="D1282" i="36"/>
  <c r="D1281" i="36"/>
  <c r="D1280" i="36"/>
  <c r="D1279" i="36"/>
  <c r="D1278" i="36"/>
  <c r="D1277" i="36"/>
  <c r="D1276" i="36"/>
  <c r="D1275" i="36"/>
  <c r="D1274" i="36"/>
  <c r="D1273" i="36"/>
  <c r="D1272" i="36"/>
  <c r="D1271" i="36"/>
  <c r="T1195" i="36"/>
  <c r="R1195" i="36"/>
  <c r="F1195" i="36"/>
  <c r="T1194" i="36"/>
  <c r="R1194" i="36"/>
  <c r="F1194" i="36"/>
  <c r="T1193" i="36"/>
  <c r="R1193" i="36"/>
  <c r="F1193" i="36"/>
  <c r="T1192" i="36"/>
  <c r="R1192" i="36"/>
  <c r="F1192" i="36"/>
  <c r="T1191" i="36"/>
  <c r="R1191" i="36"/>
  <c r="F1191" i="36"/>
  <c r="T1190" i="36"/>
  <c r="R1190" i="36"/>
  <c r="F1190" i="36"/>
  <c r="T1189" i="36"/>
  <c r="R1189" i="36"/>
  <c r="F1189" i="36"/>
  <c r="D1181" i="36"/>
  <c r="R1171" i="36"/>
  <c r="R1170" i="36"/>
  <c r="R1169" i="36"/>
  <c r="R1168" i="36"/>
  <c r="R1163" i="36"/>
  <c r="R1162" i="36"/>
  <c r="R1164" i="36" s="1"/>
  <c r="R1157" i="36"/>
  <c r="R1156" i="36"/>
  <c r="R1155" i="36"/>
  <c r="R1154" i="36"/>
  <c r="R1153" i="36"/>
  <c r="R1152" i="36"/>
  <c r="R1151" i="36"/>
  <c r="D1140" i="36"/>
  <c r="R1130" i="36"/>
  <c r="R1129" i="36"/>
  <c r="R1128" i="36"/>
  <c r="R1127" i="36"/>
  <c r="R1126" i="36"/>
  <c r="R1125" i="36"/>
  <c r="R1131" i="36" s="1"/>
  <c r="D1114" i="36"/>
  <c r="R1104" i="36"/>
  <c r="R1103" i="36"/>
  <c r="R1102" i="36"/>
  <c r="R1101" i="36"/>
  <c r="R1099" i="36"/>
  <c r="R1094" i="36"/>
  <c r="R1093" i="36"/>
  <c r="R1095" i="36" s="1"/>
  <c r="R1092" i="36"/>
  <c r="R1091" i="36"/>
  <c r="R1090" i="36"/>
  <c r="R1089" i="36"/>
  <c r="AM1087" i="36"/>
  <c r="R1069" i="36"/>
  <c r="R1068" i="36"/>
  <c r="R1067" i="36"/>
  <c r="R1066" i="36"/>
  <c r="R1065" i="36"/>
  <c r="A1065" i="36"/>
  <c r="R1064" i="36"/>
  <c r="R1059" i="36"/>
  <c r="R1058" i="36"/>
  <c r="AM1056" i="36"/>
  <c r="R1054" i="36"/>
  <c r="AM1051" i="36" s="1"/>
  <c r="R1053" i="36"/>
  <c r="R1049" i="36"/>
  <c r="R1048" i="36"/>
  <c r="AM1046" i="36"/>
  <c r="R1043" i="36"/>
  <c r="R1032" i="36"/>
  <c r="D1031" i="36"/>
  <c r="C1031" i="36"/>
  <c r="R1025" i="36"/>
  <c r="D1024" i="36"/>
  <c r="C1024" i="36"/>
  <c r="R1018" i="36"/>
  <c r="D1017" i="36"/>
  <c r="C1017" i="36"/>
  <c r="R1003" i="36"/>
  <c r="D1002" i="36"/>
  <c r="C1002" i="36"/>
  <c r="D1000" i="36"/>
  <c r="C1000" i="36"/>
  <c r="R994" i="36"/>
  <c r="D993" i="36"/>
  <c r="C993" i="36"/>
  <c r="D991" i="36"/>
  <c r="C991" i="36"/>
  <c r="R985" i="36"/>
  <c r="D984" i="36"/>
  <c r="C984" i="36"/>
  <c r="D982" i="36"/>
  <c r="C982" i="36"/>
  <c r="R968" i="36"/>
  <c r="R969" i="36" s="1"/>
  <c r="R967" i="36"/>
  <c r="R966" i="36"/>
  <c r="R961" i="36"/>
  <c r="R960" i="36"/>
  <c r="R959" i="36"/>
  <c r="R958" i="36"/>
  <c r="R957" i="36"/>
  <c r="R949" i="36"/>
  <c r="R948" i="36"/>
  <c r="R947" i="36"/>
  <c r="R946" i="36"/>
  <c r="R927" i="36"/>
  <c r="D926" i="36"/>
  <c r="C926" i="36"/>
  <c r="R920" i="36"/>
  <c r="R919" i="36"/>
  <c r="R918" i="36"/>
  <c r="R917" i="36"/>
  <c r="R916" i="36"/>
  <c r="D915" i="36"/>
  <c r="C915" i="36"/>
  <c r="R901" i="36"/>
  <c r="D900" i="36"/>
  <c r="C900" i="36"/>
  <c r="R894" i="36"/>
  <c r="D893" i="36"/>
  <c r="C893" i="36"/>
  <c r="R883" i="36"/>
  <c r="R882" i="36"/>
  <c r="R884" i="36" s="1"/>
  <c r="AM880" i="36" s="1"/>
  <c r="R877" i="36"/>
  <c r="R878" i="36" s="1"/>
  <c r="R876" i="36"/>
  <c r="R867" i="36"/>
  <c r="D866" i="36"/>
  <c r="C866" i="36"/>
  <c r="R860" i="36"/>
  <c r="R859" i="36"/>
  <c r="D858" i="36"/>
  <c r="C858" i="36"/>
  <c r="R840" i="36"/>
  <c r="R839" i="36"/>
  <c r="D838" i="36"/>
  <c r="C838" i="36"/>
  <c r="D836" i="36"/>
  <c r="C836" i="36"/>
  <c r="R830" i="36"/>
  <c r="R829" i="36"/>
  <c r="R828" i="36"/>
  <c r="A827" i="36"/>
  <c r="R826" i="36"/>
  <c r="R825" i="36"/>
  <c r="R814" i="36"/>
  <c r="R813" i="36"/>
  <c r="D812" i="36"/>
  <c r="C812" i="36"/>
  <c r="D810" i="36"/>
  <c r="C810" i="36"/>
  <c r="D808" i="36"/>
  <c r="C808" i="36"/>
  <c r="R802" i="36"/>
  <c r="R801" i="36"/>
  <c r="R800" i="36"/>
  <c r="R799" i="36"/>
  <c r="R798" i="36"/>
  <c r="R796" i="36"/>
  <c r="R795" i="36"/>
  <c r="R794" i="36"/>
  <c r="R793" i="36"/>
  <c r="R792" i="36"/>
  <c r="R791" i="36"/>
  <c r="R803" i="36" s="1"/>
  <c r="R785" i="36"/>
  <c r="R784" i="36"/>
  <c r="R783" i="36"/>
  <c r="R782" i="36"/>
  <c r="R781" i="36"/>
  <c r="R780" i="36"/>
  <c r="R779" i="36"/>
  <c r="R778" i="36"/>
  <c r="A778" i="36"/>
  <c r="R776" i="36"/>
  <c r="R775" i="36"/>
  <c r="R773" i="36"/>
  <c r="S772" i="36"/>
  <c r="R772" i="36"/>
  <c r="R770" i="36"/>
  <c r="R769" i="36"/>
  <c r="R768" i="36"/>
  <c r="R767" i="36"/>
  <c r="R766" i="36"/>
  <c r="R765" i="36"/>
  <c r="R760" i="36"/>
  <c r="R759" i="36"/>
  <c r="S758" i="36"/>
  <c r="R758" i="36"/>
  <c r="R756" i="36"/>
  <c r="R755" i="36"/>
  <c r="R754" i="36"/>
  <c r="R753" i="36"/>
  <c r="R752" i="36"/>
  <c r="R751" i="36"/>
  <c r="R761" i="36" s="1"/>
  <c r="R746" i="36"/>
  <c r="R745" i="36"/>
  <c r="R744" i="36"/>
  <c r="R739" i="36"/>
  <c r="R738" i="36"/>
  <c r="R737" i="36"/>
  <c r="R736" i="36"/>
  <c r="R735" i="36"/>
  <c r="R733" i="36"/>
  <c r="R732" i="36"/>
  <c r="R731" i="36"/>
  <c r="R730" i="36"/>
  <c r="R740" i="36" s="1"/>
  <c r="R729" i="36"/>
  <c r="R728" i="36"/>
  <c r="AM725" i="36"/>
  <c r="R722" i="36"/>
  <c r="R721" i="36"/>
  <c r="R720" i="36"/>
  <c r="R719" i="36"/>
  <c r="R718" i="36"/>
  <c r="R717" i="36"/>
  <c r="R716" i="36"/>
  <c r="R715" i="36"/>
  <c r="A715" i="36"/>
  <c r="R713" i="36"/>
  <c r="R712" i="36"/>
  <c r="R710" i="36"/>
  <c r="S709" i="36"/>
  <c r="R709" i="36"/>
  <c r="R707" i="36"/>
  <c r="R706" i="36"/>
  <c r="R705" i="36"/>
  <c r="R704" i="36"/>
  <c r="R703" i="36"/>
  <c r="R702" i="36"/>
  <c r="R723" i="36" s="1"/>
  <c r="AM700" i="36" s="1"/>
  <c r="R691" i="36"/>
  <c r="R690" i="36"/>
  <c r="S689" i="36"/>
  <c r="R689" i="36"/>
  <c r="R687" i="36"/>
  <c r="R686" i="36"/>
  <c r="R685" i="36"/>
  <c r="R684" i="36"/>
  <c r="R683" i="36"/>
  <c r="R682" i="36"/>
  <c r="R677" i="36"/>
  <c r="R676" i="36"/>
  <c r="R675" i="36"/>
  <c r="R670" i="36"/>
  <c r="R669" i="36"/>
  <c r="R668" i="36"/>
  <c r="R671" i="36" s="1"/>
  <c r="R667" i="36"/>
  <c r="R658" i="36"/>
  <c r="R657" i="36"/>
  <c r="R656" i="36"/>
  <c r="R655" i="36"/>
  <c r="R654" i="36"/>
  <c r="R653" i="36"/>
  <c r="R652" i="36"/>
  <c r="R651" i="36"/>
  <c r="R650" i="36"/>
  <c r="R649" i="36"/>
  <c r="R648" i="36"/>
  <c r="R647" i="36"/>
  <c r="R646" i="36"/>
  <c r="R645" i="36"/>
  <c r="R644" i="36"/>
  <c r="R643" i="36"/>
  <c r="R642" i="36"/>
  <c r="R641" i="36"/>
  <c r="R640" i="36"/>
  <c r="R639" i="36"/>
  <c r="R638" i="36"/>
  <c r="R637" i="36"/>
  <c r="R636" i="36"/>
  <c r="R626" i="36"/>
  <c r="D625" i="36"/>
  <c r="C625" i="36"/>
  <c r="A623" i="36"/>
  <c r="R623" i="36" s="1"/>
  <c r="R622" i="36"/>
  <c r="R621" i="36"/>
  <c r="R620" i="36"/>
  <c r="A620" i="36"/>
  <c r="R619" i="36"/>
  <c r="Q619" i="36"/>
  <c r="A619" i="36"/>
  <c r="R618" i="36"/>
  <c r="R617" i="36"/>
  <c r="R616" i="36"/>
  <c r="R615" i="36"/>
  <c r="R614" i="36"/>
  <c r="R613" i="36"/>
  <c r="R612" i="36"/>
  <c r="R611" i="36"/>
  <c r="R610" i="36"/>
  <c r="R609" i="36"/>
  <c r="R608" i="36"/>
  <c r="R607" i="36"/>
  <c r="R606" i="36"/>
  <c r="R605" i="36"/>
  <c r="R604" i="36"/>
  <c r="R603" i="36"/>
  <c r="R602" i="36"/>
  <c r="R601" i="36"/>
  <c r="R600" i="36"/>
  <c r="R599" i="36"/>
  <c r="R598" i="36"/>
  <c r="R597" i="36"/>
  <c r="R596" i="36"/>
  <c r="R595" i="36"/>
  <c r="R594" i="36"/>
  <c r="R593" i="36"/>
  <c r="R592" i="36"/>
  <c r="R591" i="36"/>
  <c r="R590" i="36"/>
  <c r="R589" i="36"/>
  <c r="R588" i="36"/>
  <c r="R587" i="36"/>
  <c r="R586" i="36"/>
  <c r="R585" i="36"/>
  <c r="R584" i="36"/>
  <c r="R583" i="36"/>
  <c r="R582" i="36"/>
  <c r="R581" i="36"/>
  <c r="R580" i="36"/>
  <c r="R579" i="36"/>
  <c r="R578" i="36"/>
  <c r="R577" i="36"/>
  <c r="R576" i="36"/>
  <c r="R575" i="36"/>
  <c r="R574" i="36"/>
  <c r="R573" i="36"/>
  <c r="R572" i="36"/>
  <c r="R571" i="36"/>
  <c r="R570" i="36"/>
  <c r="R569" i="36"/>
  <c r="R568" i="36"/>
  <c r="R567" i="36"/>
  <c r="R566" i="36"/>
  <c r="R565" i="36"/>
  <c r="R564" i="36"/>
  <c r="R563" i="36"/>
  <c r="R562" i="36"/>
  <c r="R561" i="36"/>
  <c r="R560" i="36"/>
  <c r="R559" i="36"/>
  <c r="R558" i="36"/>
  <c r="R557" i="36"/>
  <c r="R556" i="36"/>
  <c r="R555" i="36"/>
  <c r="R554" i="36"/>
  <c r="R553" i="36"/>
  <c r="R552" i="36"/>
  <c r="R551" i="36"/>
  <c r="R550" i="36"/>
  <c r="R549" i="36"/>
  <c r="R548" i="36"/>
  <c r="R547" i="36"/>
  <c r="R546" i="36"/>
  <c r="R545" i="36"/>
  <c r="R544" i="36"/>
  <c r="R543" i="36"/>
  <c r="R542" i="36"/>
  <c r="R541" i="36"/>
  <c r="R540" i="36"/>
  <c r="R539" i="36"/>
  <c r="R538" i="36"/>
  <c r="R537" i="36"/>
  <c r="R536" i="36"/>
  <c r="R535" i="36"/>
  <c r="R534" i="36"/>
  <c r="R533" i="36"/>
  <c r="R532" i="36"/>
  <c r="R531" i="36"/>
  <c r="R530" i="36"/>
  <c r="R513" i="36"/>
  <c r="D512" i="36"/>
  <c r="C512" i="36"/>
  <c r="R506" i="36"/>
  <c r="D505" i="36"/>
  <c r="C505" i="36"/>
  <c r="R493" i="36"/>
  <c r="D492" i="36"/>
  <c r="C492" i="36"/>
  <c r="R486" i="36"/>
  <c r="D485" i="36"/>
  <c r="C485" i="36"/>
  <c r="R479" i="36"/>
  <c r="D478" i="36"/>
  <c r="C478" i="36"/>
  <c r="R472" i="36"/>
  <c r="D471" i="36"/>
  <c r="C471" i="36"/>
  <c r="R465" i="36"/>
  <c r="D464" i="36"/>
  <c r="C464" i="36"/>
  <c r="R458" i="36"/>
  <c r="D457" i="36"/>
  <c r="C457" i="36"/>
  <c r="R451" i="36"/>
  <c r="D450" i="36"/>
  <c r="C450" i="36"/>
  <c r="R436" i="36"/>
  <c r="D435" i="36"/>
  <c r="C435" i="36"/>
  <c r="D433" i="36"/>
  <c r="C433" i="36"/>
  <c r="R427" i="36"/>
  <c r="D426" i="36"/>
  <c r="C426" i="36"/>
  <c r="D424" i="36"/>
  <c r="C424" i="36"/>
  <c r="R418" i="36"/>
  <c r="D417" i="36"/>
  <c r="C417" i="36"/>
  <c r="D415" i="36"/>
  <c r="C415" i="36"/>
  <c r="R395" i="36"/>
  <c r="R394" i="36"/>
  <c r="R393" i="36"/>
  <c r="R392" i="36"/>
  <c r="R391" i="36"/>
  <c r="R390" i="36"/>
  <c r="R389" i="36"/>
  <c r="R388" i="36"/>
  <c r="R396" i="36" s="1"/>
  <c r="R387" i="36"/>
  <c r="R383" i="36"/>
  <c r="R382" i="36"/>
  <c r="R381" i="36"/>
  <c r="AM379" i="36"/>
  <c r="R377" i="36"/>
  <c r="R376" i="36"/>
  <c r="R375" i="36"/>
  <c r="R374" i="36"/>
  <c r="R373" i="36"/>
  <c r="R372" i="36"/>
  <c r="R364" i="36"/>
  <c r="R363" i="36"/>
  <c r="R362" i="36"/>
  <c r="R361" i="36"/>
  <c r="R348" i="36"/>
  <c r="D347" i="36"/>
  <c r="C347" i="36"/>
  <c r="R341" i="36"/>
  <c r="R340" i="36"/>
  <c r="R339" i="36"/>
  <c r="R338" i="36"/>
  <c r="R337" i="36"/>
  <c r="D336" i="36"/>
  <c r="C336" i="36"/>
  <c r="R316" i="36"/>
  <c r="D315" i="36"/>
  <c r="C315" i="36"/>
  <c r="R309" i="36"/>
  <c r="D308" i="36"/>
  <c r="C308" i="36"/>
  <c r="R298" i="36"/>
  <c r="R297" i="36"/>
  <c r="R299" i="36" s="1"/>
  <c r="R292" i="36"/>
  <c r="R291" i="36"/>
  <c r="R293" i="36" s="1"/>
  <c r="R282" i="36"/>
  <c r="D281" i="36"/>
  <c r="C281" i="36"/>
  <c r="R275" i="36"/>
  <c r="D274" i="36"/>
  <c r="C274" i="36"/>
  <c r="R256" i="36"/>
  <c r="R255" i="36"/>
  <c r="R254" i="36"/>
  <c r="R253" i="36"/>
  <c r="R252" i="36"/>
  <c r="R251" i="36"/>
  <c r="R257" i="36" s="1"/>
  <c r="R246" i="36"/>
  <c r="D245" i="36"/>
  <c r="C245" i="36"/>
  <c r="D243" i="36"/>
  <c r="C243" i="36"/>
  <c r="R237" i="36"/>
  <c r="D236" i="36"/>
  <c r="C236" i="36"/>
  <c r="D234" i="36"/>
  <c r="C234" i="36"/>
  <c r="D232" i="36"/>
  <c r="C232" i="36"/>
  <c r="D230" i="36"/>
  <c r="C230" i="36"/>
  <c r="D228" i="36"/>
  <c r="C228" i="36"/>
  <c r="D226" i="36"/>
  <c r="C226" i="36"/>
  <c r="R206" i="36"/>
  <c r="D205" i="36"/>
  <c r="C205" i="36"/>
  <c r="R203" i="36"/>
  <c r="R202" i="36"/>
  <c r="R201" i="36"/>
  <c r="R200" i="36"/>
  <c r="R199" i="36"/>
  <c r="R198" i="36"/>
  <c r="R189" i="36"/>
  <c r="D188" i="36"/>
  <c r="C188" i="36"/>
  <c r="D186" i="36"/>
  <c r="C186" i="36"/>
  <c r="R172" i="36"/>
  <c r="R171" i="36"/>
  <c r="R173" i="36" s="1"/>
  <c r="R170" i="36"/>
  <c r="AM168" i="36"/>
  <c r="R163" i="36"/>
  <c r="R162" i="36"/>
  <c r="R159" i="36"/>
  <c r="R158" i="36"/>
  <c r="R157" i="36"/>
  <c r="R151" i="36"/>
  <c r="R150" i="36"/>
  <c r="R149" i="36"/>
  <c r="S148" i="36"/>
  <c r="R148" i="36"/>
  <c r="AM146" i="36"/>
  <c r="R139" i="36"/>
  <c r="R138" i="36"/>
  <c r="R132" i="36"/>
  <c r="R1188" i="36" s="1"/>
  <c r="R131" i="36"/>
  <c r="R130" i="36"/>
  <c r="R129" i="36"/>
  <c r="R126" i="36"/>
  <c r="R125" i="36"/>
  <c r="R127" i="36" s="1"/>
  <c r="R122" i="36"/>
  <c r="R121" i="36"/>
  <c r="R120" i="36"/>
  <c r="R113" i="36"/>
  <c r="R112" i="36"/>
  <c r="S111" i="36"/>
  <c r="R111" i="36"/>
  <c r="R114" i="36" s="1"/>
  <c r="R88" i="36"/>
  <c r="R87" i="36"/>
  <c r="R86" i="36"/>
  <c r="R85" i="36"/>
  <c r="R89" i="36" s="1"/>
  <c r="R80" i="36"/>
  <c r="R79" i="36"/>
  <c r="R78" i="36"/>
  <c r="R77" i="36"/>
  <c r="R81" i="36" s="1"/>
  <c r="R72" i="36"/>
  <c r="R71" i="36"/>
  <c r="R70" i="36"/>
  <c r="R69" i="36"/>
  <c r="R73" i="36" s="1"/>
  <c r="R64" i="36"/>
  <c r="R63" i="36"/>
  <c r="R62" i="36"/>
  <c r="R61" i="36"/>
  <c r="R56" i="36"/>
  <c r="R55" i="36"/>
  <c r="R54" i="36"/>
  <c r="R53" i="36"/>
  <c r="R48" i="36"/>
  <c r="R47" i="36"/>
  <c r="R49" i="36" s="1"/>
  <c r="R46" i="36"/>
  <c r="R45" i="36"/>
  <c r="R40" i="36"/>
  <c r="R39" i="36"/>
  <c r="R38" i="36"/>
  <c r="R37" i="36"/>
  <c r="R41" i="36" s="1"/>
  <c r="R32" i="36"/>
  <c r="R31" i="36"/>
  <c r="R33" i="36" s="1"/>
  <c r="R30" i="36"/>
  <c r="R29" i="36"/>
  <c r="T12" i="36"/>
  <c r="S12" i="36"/>
  <c r="F12" i="36"/>
  <c r="T11" i="36"/>
  <c r="S11" i="36"/>
  <c r="Q11" i="36"/>
  <c r="F11" i="36"/>
  <c r="E1195" i="36" s="1"/>
  <c r="T10" i="36"/>
  <c r="S10" i="36"/>
  <c r="Q10" i="36"/>
  <c r="F10" i="36"/>
  <c r="E1194" i="36" s="1"/>
  <c r="T9" i="36"/>
  <c r="S9" i="36"/>
  <c r="Q9" i="36"/>
  <c r="O9" i="36"/>
  <c r="F9" i="36"/>
  <c r="E1193" i="36" s="1"/>
  <c r="D9" i="36"/>
  <c r="T8" i="36"/>
  <c r="S8" i="36"/>
  <c r="Q8" i="36"/>
  <c r="O8" i="36"/>
  <c r="F8" i="36"/>
  <c r="E1192" i="36" s="1"/>
  <c r="D8" i="36"/>
  <c r="T7" i="36"/>
  <c r="S7" i="36"/>
  <c r="Q7" i="36"/>
  <c r="O7" i="36"/>
  <c r="F7" i="36"/>
  <c r="E1191" i="36" s="1"/>
  <c r="T6" i="36"/>
  <c r="S6" i="36"/>
  <c r="Q6" i="36"/>
  <c r="F6" i="36"/>
  <c r="E1190" i="36" s="1"/>
  <c r="D6" i="36"/>
  <c r="T5" i="36"/>
  <c r="S5" i="36"/>
  <c r="Q5" i="36"/>
  <c r="F5" i="36"/>
  <c r="E1189" i="36" s="1"/>
  <c r="D5" i="36"/>
  <c r="S4" i="36"/>
  <c r="F4" i="36"/>
  <c r="D4" i="36"/>
  <c r="T3" i="36"/>
  <c r="S3" i="36"/>
  <c r="F3" i="36"/>
  <c r="D3" i="36"/>
  <c r="S2" i="36"/>
  <c r="F2" i="36"/>
  <c r="D2" i="36"/>
  <c r="U1" i="36"/>
  <c r="T1" i="36"/>
  <c r="F1" i="36"/>
  <c r="D1" i="36"/>
  <c r="C1" i="36"/>
  <c r="R809" i="8"/>
  <c r="R808" i="8"/>
  <c r="R804" i="8"/>
  <c r="R803" i="8"/>
  <c r="R802" i="8"/>
  <c r="R789" i="8"/>
  <c r="R788" i="8"/>
  <c r="R779" i="8"/>
  <c r="R778" i="8"/>
  <c r="R777" i="8"/>
  <c r="A19" i="35"/>
  <c r="A24" i="35"/>
  <c r="A29" i="35" s="1"/>
  <c r="A34" i="35" s="1"/>
  <c r="A39" i="35" s="1"/>
  <c r="H195" i="31"/>
  <c r="H173" i="31"/>
  <c r="H168" i="31"/>
  <c r="H163" i="31"/>
  <c r="H152" i="31"/>
  <c r="H94" i="31"/>
  <c r="H83" i="31"/>
  <c r="H66" i="31"/>
  <c r="H45" i="31"/>
  <c r="H40" i="31"/>
  <c r="H35" i="31"/>
  <c r="D307" i="36"/>
  <c r="D449" i="36"/>
  <c r="D1030" i="36"/>
  <c r="D425" i="36"/>
  <c r="D204" i="36"/>
  <c r="D983" i="36"/>
  <c r="D434" i="36"/>
  <c r="D837" i="36"/>
  <c r="D414" i="36"/>
  <c r="D416" i="36"/>
  <c r="D233" i="36"/>
  <c r="D504" i="36"/>
  <c r="D892" i="36"/>
  <c r="D857" i="36"/>
  <c r="D999" i="36"/>
  <c r="D990" i="36"/>
  <c r="D227" i="36"/>
  <c r="D835" i="36"/>
  <c r="D477" i="36"/>
  <c r="D1023" i="36"/>
  <c r="D231" i="36"/>
  <c r="D470" i="36"/>
  <c r="D463" i="36"/>
  <c r="D624" i="36"/>
  <c r="D432" i="36"/>
  <c r="D242" i="36"/>
  <c r="D925" i="36"/>
  <c r="D185" i="36"/>
  <c r="D981" i="36"/>
  <c r="D280" i="36"/>
  <c r="D229" i="36"/>
  <c r="D491" i="36"/>
  <c r="D423" i="36"/>
  <c r="D1001" i="36"/>
  <c r="D865" i="36"/>
  <c r="D346" i="36"/>
  <c r="D1016" i="36"/>
  <c r="D511" i="36"/>
  <c r="D187" i="36"/>
  <c r="D811" i="36"/>
  <c r="D456" i="36"/>
  <c r="D225" i="36"/>
  <c r="D914" i="36"/>
  <c r="D484" i="36"/>
  <c r="D807" i="36"/>
  <c r="D244" i="36"/>
  <c r="D992" i="36"/>
  <c r="D335" i="36"/>
  <c r="D899" i="36"/>
  <c r="D314" i="36"/>
  <c r="D235" i="36"/>
  <c r="D809" i="36"/>
  <c r="D273" i="36"/>
  <c r="R479" i="8" l="1"/>
  <c r="R733" i="8"/>
  <c r="R474" i="8"/>
  <c r="R749" i="8"/>
  <c r="AJ1192" i="36"/>
  <c r="AJ1191" i="36"/>
  <c r="AH1191" i="36"/>
  <c r="R780" i="8"/>
  <c r="AH1190" i="36"/>
  <c r="AJ1189" i="36"/>
  <c r="AM67" i="36"/>
  <c r="T1168" i="36"/>
  <c r="T1163" i="36"/>
  <c r="B1164" i="36" s="1"/>
  <c r="T1154" i="36"/>
  <c r="T1101" i="36"/>
  <c r="T1093" i="36"/>
  <c r="T1089" i="36"/>
  <c r="T1069" i="36"/>
  <c r="T985" i="36"/>
  <c r="B986" i="36" s="1"/>
  <c r="T1128" i="36"/>
  <c r="T1064" i="36"/>
  <c r="T1058" i="36"/>
  <c r="T1059" i="36" s="1"/>
  <c r="AN1056" i="36" s="1"/>
  <c r="AO1056" i="36" s="1"/>
  <c r="T1053" i="36"/>
  <c r="T1054" i="36" s="1"/>
  <c r="AN1051" i="36" s="1"/>
  <c r="T1048" i="36"/>
  <c r="T1049" i="36" s="1"/>
  <c r="AN1046" i="36" s="1"/>
  <c r="AO1046" i="36" s="1"/>
  <c r="T1043" i="36"/>
  <c r="T1044" i="36" s="1"/>
  <c r="AN1041" i="36" s="1"/>
  <c r="T919" i="36"/>
  <c r="T1127" i="36"/>
  <c r="T1169" i="36"/>
  <c r="T1155" i="36"/>
  <c r="T1151" i="36"/>
  <c r="T1102" i="36"/>
  <c r="T1094" i="36"/>
  <c r="B1095" i="36" s="1"/>
  <c r="T1090" i="36"/>
  <c r="T1066" i="36"/>
  <c r="T1025" i="36"/>
  <c r="B1026" i="36" s="1"/>
  <c r="T968" i="36"/>
  <c r="T959" i="36"/>
  <c r="T946" i="36"/>
  <c r="T883" i="36"/>
  <c r="T1162" i="36"/>
  <c r="T1164" i="36" s="1"/>
  <c r="AN1160" i="36" s="1"/>
  <c r="T1130" i="36"/>
  <c r="B1131" i="36" s="1"/>
  <c r="T1125" i="36"/>
  <c r="T1067" i="36"/>
  <c r="T1171" i="36"/>
  <c r="B1172" i="36" s="1"/>
  <c r="T1129" i="36"/>
  <c r="T948" i="36"/>
  <c r="B949" i="36" s="1"/>
  <c r="T918" i="36"/>
  <c r="T877" i="36"/>
  <c r="B878" i="36" s="1"/>
  <c r="T859" i="36"/>
  <c r="T826" i="36"/>
  <c r="T1170" i="36"/>
  <c r="T1092" i="36"/>
  <c r="T1153" i="36"/>
  <c r="T1103" i="36"/>
  <c r="T967" i="36"/>
  <c r="T920" i="36"/>
  <c r="B921" i="36" s="1"/>
  <c r="T901" i="36"/>
  <c r="T802" i="36"/>
  <c r="B803" i="36" s="1"/>
  <c r="T798" i="36"/>
  <c r="T793" i="36"/>
  <c r="T783" i="36"/>
  <c r="T779" i="36"/>
  <c r="T769" i="36"/>
  <c r="T765" i="36"/>
  <c r="T712" i="36"/>
  <c r="T1152" i="36"/>
  <c r="T1018" i="36"/>
  <c r="B1019" i="36" s="1"/>
  <c r="T961" i="36"/>
  <c r="B962" i="36" s="1"/>
  <c r="T882" i="36"/>
  <c r="T828" i="36"/>
  <c r="T792" i="36"/>
  <c r="T785" i="36"/>
  <c r="B786" i="36" s="1"/>
  <c r="T770" i="36"/>
  <c r="T706" i="36"/>
  <c r="T702" i="36"/>
  <c r="T686" i="36"/>
  <c r="T682" i="36"/>
  <c r="T677" i="36"/>
  <c r="B678" i="36" s="1"/>
  <c r="T668" i="36"/>
  <c r="T655" i="36"/>
  <c r="T651" i="36"/>
  <c r="T647" i="36"/>
  <c r="T643" i="36"/>
  <c r="T639" i="36"/>
  <c r="T1156" i="36"/>
  <c r="T1099" i="36"/>
  <c r="T1091" i="36"/>
  <c r="T1126" i="36"/>
  <c r="T1068" i="36"/>
  <c r="T1003" i="36"/>
  <c r="T966" i="36"/>
  <c r="T958" i="36"/>
  <c r="T825" i="36"/>
  <c r="T794" i="36"/>
  <c r="T782" i="36"/>
  <c r="T772" i="36"/>
  <c r="T767" i="36"/>
  <c r="T759" i="36"/>
  <c r="T754" i="36"/>
  <c r="T744" i="36"/>
  <c r="T738" i="36"/>
  <c r="T733" i="36"/>
  <c r="T729" i="36"/>
  <c r="T722" i="36"/>
  <c r="B723" i="36" s="1"/>
  <c r="T718" i="36"/>
  <c r="T1104" i="36"/>
  <c r="B1105" i="36" s="1"/>
  <c r="T1032" i="36"/>
  <c r="T994" i="36"/>
  <c r="B995" i="36" s="1"/>
  <c r="T867" i="36"/>
  <c r="B868" i="36" s="1"/>
  <c r="T829" i="36"/>
  <c r="T813" i="36"/>
  <c r="T799" i="36"/>
  <c r="T713" i="36"/>
  <c r="T707" i="36"/>
  <c r="T703" i="36"/>
  <c r="T687" i="36"/>
  <c r="T683" i="36"/>
  <c r="T669" i="36"/>
  <c r="T656" i="36"/>
  <c r="T652" i="36"/>
  <c r="T648" i="36"/>
  <c r="T644" i="36"/>
  <c r="T640" i="36"/>
  <c r="T636" i="36"/>
  <c r="T626" i="36"/>
  <c r="B627" i="36" s="1"/>
  <c r="T486" i="36"/>
  <c r="B487" i="36" s="1"/>
  <c r="T1157" i="36"/>
  <c r="B1158" i="36" s="1"/>
  <c r="T947" i="36"/>
  <c r="T760" i="36"/>
  <c r="B761" i="36" s="1"/>
  <c r="T745" i="36"/>
  <c r="T736" i="36"/>
  <c r="T721" i="36"/>
  <c r="T710" i="36"/>
  <c r="T684" i="36"/>
  <c r="T675" i="36"/>
  <c r="T513" i="36"/>
  <c r="B514" i="36" s="1"/>
  <c r="T957" i="36"/>
  <c r="T800" i="36"/>
  <c r="T730" i="36"/>
  <c r="T716" i="36"/>
  <c r="T704" i="36"/>
  <c r="T689" i="36"/>
  <c r="T654" i="36"/>
  <c r="T649" i="36"/>
  <c r="T638" i="36"/>
  <c r="T622" i="36"/>
  <c r="T615" i="36"/>
  <c r="T611" i="36"/>
  <c r="T607" i="36"/>
  <c r="T603" i="36"/>
  <c r="T599" i="36"/>
  <c r="T595" i="36"/>
  <c r="T591" i="36"/>
  <c r="T587" i="36"/>
  <c r="T583" i="36"/>
  <c r="T579" i="36"/>
  <c r="T575" i="36"/>
  <c r="T571" i="36"/>
  <c r="T567" i="36"/>
  <c r="T563" i="36"/>
  <c r="T559" i="36"/>
  <c r="T555" i="36"/>
  <c r="T551" i="36"/>
  <c r="T547" i="36"/>
  <c r="T543" i="36"/>
  <c r="T539" i="36"/>
  <c r="T535" i="36"/>
  <c r="T531" i="36"/>
  <c r="T465" i="36"/>
  <c r="B466" i="36" s="1"/>
  <c r="T451" i="36"/>
  <c r="B452" i="36" s="1"/>
  <c r="T781" i="36"/>
  <c r="T776" i="36"/>
  <c r="T753" i="36"/>
  <c r="T735" i="36"/>
  <c r="T720" i="36"/>
  <c r="T506" i="36"/>
  <c r="T876" i="36"/>
  <c r="T840" i="36"/>
  <c r="B841" i="36" s="1"/>
  <c r="T739" i="36"/>
  <c r="T715" i="36"/>
  <c r="T670" i="36"/>
  <c r="B671" i="36" s="1"/>
  <c r="T658" i="36"/>
  <c r="B659" i="36" s="1"/>
  <c r="T653" i="36"/>
  <c r="T642" i="36"/>
  <c r="T637" i="36"/>
  <c r="T621" i="36"/>
  <c r="T618" i="36"/>
  <c r="T614" i="36"/>
  <c r="T610" i="36"/>
  <c r="T606" i="36"/>
  <c r="T602" i="36"/>
  <c r="T598" i="36"/>
  <c r="T594" i="36"/>
  <c r="T590" i="36"/>
  <c r="T586" i="36"/>
  <c r="T582" i="36"/>
  <c r="T578" i="36"/>
  <c r="T574" i="36"/>
  <c r="T570" i="36"/>
  <c r="T566" i="36"/>
  <c r="T562" i="36"/>
  <c r="T558" i="36"/>
  <c r="T554" i="36"/>
  <c r="T550" i="36"/>
  <c r="T546" i="36"/>
  <c r="T542" i="36"/>
  <c r="T538" i="36"/>
  <c r="T534" i="36"/>
  <c r="T530" i="36"/>
  <c r="T917" i="36"/>
  <c r="T860" i="36"/>
  <c r="T791" i="36"/>
  <c r="T780" i="36"/>
  <c r="T775" i="36"/>
  <c r="T768" i="36"/>
  <c r="T752" i="36"/>
  <c r="T728" i="36"/>
  <c r="T719" i="36"/>
  <c r="T960" i="36"/>
  <c r="T839" i="36"/>
  <c r="T796" i="36"/>
  <c r="T756" i="36"/>
  <c r="T732" i="36"/>
  <c r="T691" i="36"/>
  <c r="B692" i="36" s="1"/>
  <c r="T657" i="36"/>
  <c r="T646" i="36"/>
  <c r="T641" i="36"/>
  <c r="T617" i="36"/>
  <c r="T613" i="36"/>
  <c r="T609" i="36"/>
  <c r="T605" i="36"/>
  <c r="T601" i="36"/>
  <c r="T597" i="36"/>
  <c r="T593" i="36"/>
  <c r="T589" i="36"/>
  <c r="T585" i="36"/>
  <c r="T581" i="36"/>
  <c r="T577" i="36"/>
  <c r="T573" i="36"/>
  <c r="T569" i="36"/>
  <c r="T565" i="36"/>
  <c r="T561" i="36"/>
  <c r="T557" i="36"/>
  <c r="T553" i="36"/>
  <c r="T549" i="36"/>
  <c r="T545" i="36"/>
  <c r="T541" i="36"/>
  <c r="T537" i="36"/>
  <c r="T533" i="36"/>
  <c r="T472" i="36"/>
  <c r="B473" i="36" s="1"/>
  <c r="T916" i="36"/>
  <c r="T830" i="36"/>
  <c r="B831" i="36" s="1"/>
  <c r="T784" i="36"/>
  <c r="T773" i="36"/>
  <c r="T751" i="36"/>
  <c r="T746" i="36"/>
  <c r="B747" i="36" s="1"/>
  <c r="T737" i="36"/>
  <c r="T685" i="36"/>
  <c r="T676" i="36"/>
  <c r="T493" i="36"/>
  <c r="T731" i="36"/>
  <c r="T667" i="36"/>
  <c r="T588" i="36"/>
  <c r="T556" i="36"/>
  <c r="T339" i="36"/>
  <c r="T275" i="36"/>
  <c r="B276" i="36" s="1"/>
  <c r="T645" i="36"/>
  <c r="T623" i="36"/>
  <c r="T600" i="36"/>
  <c r="T568" i="36"/>
  <c r="T536" i="36"/>
  <c r="T458" i="36"/>
  <c r="B459" i="36" s="1"/>
  <c r="T436" i="36"/>
  <c r="B437" i="36" s="1"/>
  <c r="T394" i="36"/>
  <c r="T390" i="36"/>
  <c r="T381" i="36"/>
  <c r="T376" i="36"/>
  <c r="B377" i="36" s="1"/>
  <c r="T372" i="36"/>
  <c r="T363" i="36"/>
  <c r="B364" i="36" s="1"/>
  <c r="T291" i="36"/>
  <c r="T282" i="36"/>
  <c r="B283" i="36" s="1"/>
  <c r="T255" i="36"/>
  <c r="T251" i="36"/>
  <c r="T246" i="36"/>
  <c r="B247" i="36" s="1"/>
  <c r="T814" i="36"/>
  <c r="T778" i="36"/>
  <c r="T612" i="36"/>
  <c r="T580" i="36"/>
  <c r="T548" i="36"/>
  <c r="T338" i="36"/>
  <c r="T717" i="36"/>
  <c r="T650" i="36"/>
  <c r="T592" i="36"/>
  <c r="T560" i="36"/>
  <c r="T393" i="36"/>
  <c r="T389" i="36"/>
  <c r="T375" i="36"/>
  <c r="T362" i="36"/>
  <c r="T254" i="36"/>
  <c r="T88" i="36"/>
  <c r="B89" i="36" s="1"/>
  <c r="T77" i="36"/>
  <c r="T70" i="36"/>
  <c r="T61" i="36"/>
  <c r="T54" i="36"/>
  <c r="T795" i="36"/>
  <c r="T604" i="36"/>
  <c r="T572" i="36"/>
  <c r="T540" i="36"/>
  <c r="T341" i="36"/>
  <c r="T337" i="36"/>
  <c r="T200" i="36"/>
  <c r="T157" i="36"/>
  <c r="T148" i="36"/>
  <c r="T616" i="36"/>
  <c r="T584" i="36"/>
  <c r="T552" i="36"/>
  <c r="T418" i="36"/>
  <c r="T392" i="36"/>
  <c r="T388" i="36"/>
  <c r="T374" i="36"/>
  <c r="T361" i="36"/>
  <c r="T348" i="36"/>
  <c r="B349" i="36" s="1"/>
  <c r="T298" i="36"/>
  <c r="T253" i="36"/>
  <c r="T206" i="36"/>
  <c r="B207" i="36" s="1"/>
  <c r="T163" i="36"/>
  <c r="B164" i="36" s="1"/>
  <c r="T139" i="36"/>
  <c r="B140" i="36" s="1"/>
  <c r="T894" i="36"/>
  <c r="B895" i="36" s="1"/>
  <c r="T705" i="36"/>
  <c r="T387" i="36"/>
  <c r="T256" i="36"/>
  <c r="B257" i="36" s="1"/>
  <c r="T199" i="36"/>
  <c r="T162" i="36"/>
  <c r="T158" i="36"/>
  <c r="T138" i="36"/>
  <c r="T62" i="36"/>
  <c r="T46" i="36"/>
  <c r="T37" i="36"/>
  <c r="T30" i="36"/>
  <c r="T544" i="36"/>
  <c r="T479" i="36"/>
  <c r="B480" i="36" s="1"/>
  <c r="T373" i="36"/>
  <c r="T203" i="36"/>
  <c r="T171" i="36"/>
  <c r="T149" i="36"/>
  <c r="T130" i="36"/>
  <c r="T120" i="36"/>
  <c r="T80" i="36"/>
  <c r="T72" i="36"/>
  <c r="B73" i="36" s="1"/>
  <c r="T53" i="36"/>
  <c r="T927" i="36"/>
  <c r="B928" i="36" s="1"/>
  <c r="T596" i="36"/>
  <c r="T292" i="36"/>
  <c r="B293" i="36" s="1"/>
  <c r="T198" i="36"/>
  <c r="T45" i="36"/>
  <c r="T40" i="36"/>
  <c r="T29" i="36"/>
  <c r="T766" i="36"/>
  <c r="T755" i="36"/>
  <c r="T391" i="36"/>
  <c r="T202" i="36"/>
  <c r="T170" i="36"/>
  <c r="T129" i="36"/>
  <c r="T126" i="36"/>
  <c r="B127" i="36" s="1"/>
  <c r="T113" i="36"/>
  <c r="B114" i="36" s="1"/>
  <c r="T87" i="36"/>
  <c r="T79" i="36"/>
  <c r="T71" i="36"/>
  <c r="T564" i="36"/>
  <c r="T309" i="36"/>
  <c r="T237" i="36"/>
  <c r="T189" i="36"/>
  <c r="B190" i="36" s="1"/>
  <c r="T64" i="36"/>
  <c r="B65" i="36" s="1"/>
  <c r="T56" i="36"/>
  <c r="B57" i="36" s="1"/>
  <c r="T48" i="36"/>
  <c r="B49" i="36" s="1"/>
  <c r="T39" i="36"/>
  <c r="T32" i="36"/>
  <c r="B33" i="36" s="1"/>
  <c r="T608" i="36"/>
  <c r="T316" i="36"/>
  <c r="B317" i="36" s="1"/>
  <c r="T297" i="36"/>
  <c r="T299" i="36" s="1"/>
  <c r="AN295" i="36" s="1"/>
  <c r="T252" i="36"/>
  <c r="T201" i="36"/>
  <c r="T125" i="36"/>
  <c r="T122" i="36"/>
  <c r="B123" i="36" s="1"/>
  <c r="T112" i="36"/>
  <c r="T86" i="36"/>
  <c r="T78" i="36"/>
  <c r="T801" i="36"/>
  <c r="T532" i="36"/>
  <c r="T427" i="36"/>
  <c r="B428" i="36" s="1"/>
  <c r="T395" i="36"/>
  <c r="B396" i="36" s="1"/>
  <c r="T382" i="36"/>
  <c r="B383" i="36" s="1"/>
  <c r="T159" i="36"/>
  <c r="B160" i="36" s="1"/>
  <c r="T69" i="36"/>
  <c r="T63" i="36"/>
  <c r="T55" i="36"/>
  <c r="T47" i="36"/>
  <c r="T38" i="36"/>
  <c r="T31" i="36"/>
  <c r="T150" i="36"/>
  <c r="B151" i="36" s="1"/>
  <c r="T576" i="36"/>
  <c r="T131" i="36"/>
  <c r="B132" i="36" s="1"/>
  <c r="T111" i="36"/>
  <c r="T85" i="36"/>
  <c r="T340" i="36"/>
  <c r="T172" i="36"/>
  <c r="B173" i="36" s="1"/>
  <c r="T121" i="36"/>
  <c r="T690" i="36"/>
  <c r="T619" i="36"/>
  <c r="E1188" i="36"/>
  <c r="D128" i="36"/>
  <c r="E1186" i="36"/>
  <c r="D156" i="36"/>
  <c r="D119" i="36"/>
  <c r="AM27" i="36"/>
  <c r="E1187" i="36"/>
  <c r="D161" i="36"/>
  <c r="B1290" i="36" s="1"/>
  <c r="D124" i="36"/>
  <c r="B81" i="36"/>
  <c r="AM109" i="36"/>
  <c r="AM83" i="36"/>
  <c r="R160" i="36"/>
  <c r="B238" i="36"/>
  <c r="AM249" i="36"/>
  <c r="AM35" i="36"/>
  <c r="AM43" i="36"/>
  <c r="AM359" i="36"/>
  <c r="AM75" i="36"/>
  <c r="AG127" i="36"/>
  <c r="B41" i="36"/>
  <c r="R57" i="36"/>
  <c r="AM385" i="36"/>
  <c r="AM295" i="36"/>
  <c r="AO295" i="36" s="1"/>
  <c r="B342" i="36"/>
  <c r="AM665" i="36"/>
  <c r="AH1188" i="36"/>
  <c r="B310" i="36"/>
  <c r="AM370" i="36"/>
  <c r="AM289" i="36"/>
  <c r="B299" i="36"/>
  <c r="R123" i="36"/>
  <c r="AG132" i="36"/>
  <c r="R65" i="36"/>
  <c r="R140" i="36"/>
  <c r="R164" i="36"/>
  <c r="B419" i="36"/>
  <c r="B494" i="36"/>
  <c r="R747" i="36"/>
  <c r="AM749" i="36"/>
  <c r="T709" i="36"/>
  <c r="B902" i="36"/>
  <c r="AM964" i="36"/>
  <c r="B507" i="36"/>
  <c r="AM788" i="36"/>
  <c r="R1158" i="36"/>
  <c r="R1108" i="36"/>
  <c r="AM1123" i="36"/>
  <c r="R1134" i="36"/>
  <c r="R1140" i="36" s="1"/>
  <c r="T620" i="36"/>
  <c r="AM944" i="36"/>
  <c r="AO1051" i="36"/>
  <c r="AJ1195" i="36"/>
  <c r="R659" i="36"/>
  <c r="B740" i="36"/>
  <c r="R1044" i="36"/>
  <c r="R692" i="36"/>
  <c r="T758" i="36"/>
  <c r="T827" i="36"/>
  <c r="B884" i="36"/>
  <c r="B969" i="36"/>
  <c r="R827" i="36"/>
  <c r="R831" i="36" s="1"/>
  <c r="AM874" i="36"/>
  <c r="AH1189" i="36"/>
  <c r="R678" i="36"/>
  <c r="R786" i="36"/>
  <c r="R962" i="36"/>
  <c r="B1004" i="36"/>
  <c r="B815" i="36"/>
  <c r="AM1160" i="36"/>
  <c r="T1051" i="36"/>
  <c r="B1070" i="36"/>
  <c r="R1070" i="36"/>
  <c r="AJ1193" i="36"/>
  <c r="B1274" i="36"/>
  <c r="B861" i="36"/>
  <c r="B1033" i="36"/>
  <c r="R1172" i="36"/>
  <c r="AJ1194" i="36"/>
  <c r="T1065" i="36"/>
  <c r="AH1193" i="36"/>
  <c r="AH1195" i="36"/>
  <c r="R1105" i="36"/>
  <c r="AJ1190" i="36"/>
  <c r="AH1192" i="36"/>
  <c r="AH1194" i="36"/>
  <c r="R805" i="8"/>
  <c r="R790" i="8"/>
  <c r="R810" i="8"/>
  <c r="T1056" i="36" l="1"/>
  <c r="T89" i="36"/>
  <c r="AN83" i="36" s="1"/>
  <c r="B1059" i="36"/>
  <c r="B1049" i="36"/>
  <c r="T671" i="36"/>
  <c r="AO1160" i="36"/>
  <c r="T1046" i="36"/>
  <c r="B1054" i="36"/>
  <c r="T364" i="36"/>
  <c r="AN359" i="36" s="1"/>
  <c r="T878" i="36"/>
  <c r="T962" i="36"/>
  <c r="AN955" i="36" s="1"/>
  <c r="R481" i="8"/>
  <c r="AM467" i="8" s="1"/>
  <c r="R792" i="8"/>
  <c r="AM773" i="8" s="1"/>
  <c r="R812" i="8"/>
  <c r="AM798" i="8" s="1"/>
  <c r="T160" i="36"/>
  <c r="T293" i="36"/>
  <c r="T289" i="36" s="1"/>
  <c r="T151" i="36"/>
  <c r="AN146" i="36" s="1"/>
  <c r="AO146" i="36" s="1"/>
  <c r="T1105" i="36"/>
  <c r="AN1097" i="36" s="1"/>
  <c r="T295" i="36"/>
  <c r="T132" i="36"/>
  <c r="T1188" i="36" s="1"/>
  <c r="AM823" i="36"/>
  <c r="T786" i="36"/>
  <c r="AN763" i="36" s="1"/>
  <c r="AM763" i="36"/>
  <c r="B1044" i="36"/>
  <c r="AM59" i="36"/>
  <c r="T127" i="36"/>
  <c r="E124" i="36" s="1"/>
  <c r="T173" i="36"/>
  <c r="T33" i="36"/>
  <c r="T123" i="36"/>
  <c r="T140" i="36"/>
  <c r="AN136" i="36" s="1"/>
  <c r="T65" i="36"/>
  <c r="AN59" i="36" s="1"/>
  <c r="T761" i="36"/>
  <c r="T678" i="36"/>
  <c r="AN673" i="36" s="1"/>
  <c r="B1272" i="36"/>
  <c r="B1284" i="36"/>
  <c r="B1276" i="36"/>
  <c r="B1288" i="36"/>
  <c r="B1280" i="36"/>
  <c r="B1282" i="36"/>
  <c r="B1281" i="36"/>
  <c r="B1279" i="36"/>
  <c r="AM955" i="36"/>
  <c r="AO955" i="36" s="1"/>
  <c r="AM673" i="36"/>
  <c r="AO83" i="36"/>
  <c r="R92" i="36"/>
  <c r="T377" i="36"/>
  <c r="T949" i="36"/>
  <c r="T1158" i="36"/>
  <c r="AN1149" i="36" s="1"/>
  <c r="AM680" i="36"/>
  <c r="T740" i="36"/>
  <c r="AN874" i="36"/>
  <c r="T874" i="36"/>
  <c r="T1095" i="36"/>
  <c r="B1289" i="36"/>
  <c r="B1273" i="36"/>
  <c r="AM742" i="36"/>
  <c r="AM51" i="36"/>
  <c r="AO359" i="36"/>
  <c r="T49" i="36"/>
  <c r="T164" i="36"/>
  <c r="T166" i="36" s="1"/>
  <c r="AN153" i="36" s="1"/>
  <c r="T81" i="36"/>
  <c r="T831" i="36"/>
  <c r="AN823" i="36" s="1"/>
  <c r="T692" i="36"/>
  <c r="AN680" i="36" s="1"/>
  <c r="T884" i="36"/>
  <c r="T1070" i="36"/>
  <c r="AN1061" i="36" s="1"/>
  <c r="B1271" i="36"/>
  <c r="B1278" i="36"/>
  <c r="B1283" i="36"/>
  <c r="AM1166" i="36"/>
  <c r="AM633" i="36"/>
  <c r="R1175" i="36"/>
  <c r="AM1149" i="36"/>
  <c r="AO1149" i="36" s="1"/>
  <c r="AG164" i="36"/>
  <c r="R134" i="36"/>
  <c r="AG123" i="36"/>
  <c r="AG116" i="36" s="1"/>
  <c r="T73" i="36"/>
  <c r="T383" i="36"/>
  <c r="T803" i="36"/>
  <c r="T659" i="36"/>
  <c r="AN633" i="36" s="1"/>
  <c r="T747" i="36"/>
  <c r="AN742" i="36" s="1"/>
  <c r="T1172" i="36"/>
  <c r="AN1166" i="36" s="1"/>
  <c r="B1286" i="36"/>
  <c r="B1285" i="36"/>
  <c r="B1275" i="36"/>
  <c r="AM1061" i="36"/>
  <c r="AM136" i="36"/>
  <c r="AO136" i="36" s="1"/>
  <c r="R1187" i="36"/>
  <c r="AH1187" i="36" s="1"/>
  <c r="T257" i="36"/>
  <c r="T969" i="36"/>
  <c r="T723" i="36"/>
  <c r="AG160" i="36"/>
  <c r="R166" i="36"/>
  <c r="B1277" i="36"/>
  <c r="T1041" i="36"/>
  <c r="R1073" i="36"/>
  <c r="AM1041" i="36"/>
  <c r="AO1041" i="36" s="1"/>
  <c r="T114" i="36"/>
  <c r="B1291" i="36"/>
  <c r="AM1097" i="36"/>
  <c r="AO1097" i="36" s="1"/>
  <c r="B1287" i="36"/>
  <c r="AO874" i="36"/>
  <c r="T57" i="36"/>
  <c r="AN51" i="36" s="1"/>
  <c r="T41" i="36"/>
  <c r="T396" i="36"/>
  <c r="T1131" i="36"/>
  <c r="AG153" i="36" l="1"/>
  <c r="AH153" i="36" s="1"/>
  <c r="AO1061" i="36"/>
  <c r="AN665" i="36"/>
  <c r="AO665" i="36" s="1"/>
  <c r="AO742" i="36"/>
  <c r="AO763" i="36"/>
  <c r="E161" i="36"/>
  <c r="AO673" i="36"/>
  <c r="T134" i="36"/>
  <c r="AN116" i="36" s="1"/>
  <c r="AN289" i="36"/>
  <c r="AO289" i="36" s="1"/>
  <c r="AN700" i="36"/>
  <c r="AO700" i="36" s="1"/>
  <c r="AN964" i="36"/>
  <c r="AO964" i="36" s="1"/>
  <c r="AN725" i="36"/>
  <c r="AO725" i="36" s="1"/>
  <c r="AN67" i="36"/>
  <c r="AO67" i="36" s="1"/>
  <c r="AN880" i="36"/>
  <c r="AO880" i="36" s="1"/>
  <c r="T880" i="36"/>
  <c r="T1187" i="36"/>
  <c r="AJ1187" i="36" s="1"/>
  <c r="AN35" i="36"/>
  <c r="AO35" i="36" s="1"/>
  <c r="R1181" i="36"/>
  <c r="AO680" i="36"/>
  <c r="AN43" i="36"/>
  <c r="AO43" i="36" s="1"/>
  <c r="AN168" i="36"/>
  <c r="AO168" i="36" s="1"/>
  <c r="AO1166" i="36"/>
  <c r="AO51" i="36"/>
  <c r="AN944" i="36"/>
  <c r="AO944" i="36" s="1"/>
  <c r="AO59" i="36"/>
  <c r="AN249" i="36"/>
  <c r="AO249" i="36" s="1"/>
  <c r="AM153" i="36"/>
  <c r="AO153" i="36" s="1"/>
  <c r="AN788" i="36"/>
  <c r="AO788" i="36" s="1"/>
  <c r="AH116" i="36"/>
  <c r="AO633" i="36"/>
  <c r="AN75" i="36"/>
  <c r="AO75" i="36" s="1"/>
  <c r="AN370" i="36"/>
  <c r="AO370" i="36" s="1"/>
  <c r="AN27" i="36"/>
  <c r="AO27" i="36" s="1"/>
  <c r="AN109" i="36"/>
  <c r="AO109" i="36" s="1"/>
  <c r="AN1123" i="36"/>
  <c r="AO1123" i="36" s="1"/>
  <c r="T1123" i="36"/>
  <c r="T1134" i="36" s="1"/>
  <c r="T1140" i="36" s="1"/>
  <c r="AM116" i="36"/>
  <c r="AN1087" i="36"/>
  <c r="AO1087" i="36" s="1"/>
  <c r="T1087" i="36"/>
  <c r="AO823" i="36"/>
  <c r="AN379" i="36"/>
  <c r="AO379" i="36" s="1"/>
  <c r="AN385" i="36"/>
  <c r="AO385" i="36" s="1"/>
  <c r="T633" i="36"/>
  <c r="AN749" i="36"/>
  <c r="AO749" i="36" s="1"/>
  <c r="AO116" i="36" l="1"/>
  <c r="R441" i="8"/>
  <c r="R235" i="8"/>
  <c r="R217" i="8"/>
  <c r="R191" i="8"/>
  <c r="R143" i="8"/>
  <c r="R127" i="8"/>
  <c r="R121" i="8"/>
  <c r="R101" i="8"/>
  <c r="R75" i="8"/>
  <c r="R51" i="8"/>
  <c r="R45" i="8"/>
  <c r="R35" i="8"/>
  <c r="R29" i="8"/>
  <c r="R448" i="8"/>
  <c r="R442" i="8"/>
  <c r="R436" i="8"/>
  <c r="R430" i="8"/>
  <c r="R424" i="8"/>
  <c r="R408" i="8"/>
  <c r="R280" i="8"/>
  <c r="R274" i="8"/>
  <c r="R262" i="8"/>
  <c r="R248" i="8"/>
  <c r="R242" i="8"/>
  <c r="R236" i="8"/>
  <c r="R230" i="8"/>
  <c r="R224" i="8"/>
  <c r="R218" i="8"/>
  <c r="R212" i="8"/>
  <c r="R206" i="8"/>
  <c r="R192" i="8"/>
  <c r="R186" i="8"/>
  <c r="R180" i="8"/>
  <c r="R160" i="8"/>
  <c r="R154" i="8"/>
  <c r="R144" i="8"/>
  <c r="R138" i="8"/>
  <c r="R128" i="8"/>
  <c r="R122" i="8"/>
  <c r="R108" i="8"/>
  <c r="R102" i="8"/>
  <c r="R96" i="8"/>
  <c r="R76" i="8"/>
  <c r="R66" i="8"/>
  <c r="R52" i="8"/>
  <c r="R46" i="8"/>
  <c r="R36" i="8"/>
  <c r="R30" i="8"/>
  <c r="R435" i="8" l="1"/>
  <c r="R437" i="8" s="1"/>
  <c r="R429" i="8"/>
  <c r="R431" i="8" s="1"/>
  <c r="R423" i="8"/>
  <c r="R425" i="8" s="1"/>
  <c r="R447" i="8"/>
  <c r="R449" i="8" s="1"/>
  <c r="R407" i="8"/>
  <c r="R409" i="8" s="1"/>
  <c r="R412" i="8" s="1"/>
  <c r="R261" i="8"/>
  <c r="R263" i="8" s="1"/>
  <c r="R273" i="8"/>
  <c r="R275" i="8" s="1"/>
  <c r="R279" i="8"/>
  <c r="R281" i="8" s="1"/>
  <c r="R241" i="8"/>
  <c r="R243" i="8" s="1"/>
  <c r="R247" i="8"/>
  <c r="R249" i="8" s="1"/>
  <c r="R205" i="8"/>
  <c r="R207" i="8" s="1"/>
  <c r="R223" i="8"/>
  <c r="R225" i="8" s="1"/>
  <c r="R211" i="8"/>
  <c r="R213" i="8" s="1"/>
  <c r="R229" i="8"/>
  <c r="R231" i="8" s="1"/>
  <c r="R153" i="8"/>
  <c r="R155" i="8" s="1"/>
  <c r="R179" i="8"/>
  <c r="R181" i="8" s="1"/>
  <c r="R185" i="8"/>
  <c r="R187" i="8" s="1"/>
  <c r="R137" i="8"/>
  <c r="R139" i="8" s="1"/>
  <c r="R159" i="8"/>
  <c r="R161" i="8" s="1"/>
  <c r="R95" i="8"/>
  <c r="R97" i="8" s="1"/>
  <c r="R107" i="8"/>
  <c r="R109" i="8" s="1"/>
  <c r="R65" i="8"/>
  <c r="R67" i="8" s="1"/>
  <c r="R37" i="8"/>
  <c r="R145" i="8"/>
  <c r="R77" i="8"/>
  <c r="R53" i="8"/>
  <c r="R47" i="8"/>
  <c r="R123" i="8"/>
  <c r="R443" i="8"/>
  <c r="R31" i="8"/>
  <c r="R193" i="8"/>
  <c r="R103" i="8"/>
  <c r="R129" i="8"/>
  <c r="R237" i="8"/>
  <c r="R219" i="8"/>
  <c r="T4" i="1"/>
  <c r="T4" i="36" s="1"/>
  <c r="R164" i="8" l="1"/>
  <c r="R452" i="8"/>
  <c r="R80" i="8"/>
  <c r="R266" i="8"/>
  <c r="AJ1188" i="36"/>
  <c r="E128" i="36"/>
  <c r="AM141" i="8"/>
  <c r="AM221" i="8"/>
  <c r="AM433" i="8"/>
  <c r="AM203" i="8"/>
  <c r="AM125" i="8"/>
  <c r="AM99" i="8"/>
  <c r="AM209" i="8"/>
  <c r="AM427" i="8"/>
  <c r="AM189" i="8"/>
  <c r="AM439" i="8"/>
  <c r="AM245" i="8"/>
  <c r="AM135" i="8"/>
  <c r="AM119" i="8"/>
  <c r="AM239" i="8"/>
  <c r="AM215" i="8"/>
  <c r="AM177" i="8"/>
  <c r="AM405" i="8"/>
  <c r="AM33" i="8"/>
  <c r="AM43" i="8"/>
  <c r="AM277" i="8"/>
  <c r="AM233" i="8"/>
  <c r="AM49" i="8"/>
  <c r="AM151" i="8"/>
  <c r="AM445" i="8"/>
  <c r="AM421" i="8"/>
  <c r="AM27" i="8"/>
  <c r="AM271" i="8"/>
  <c r="AM259" i="8"/>
  <c r="AM183" i="8"/>
  <c r="AM73" i="8"/>
  <c r="AM227" i="8"/>
  <c r="AM157" i="8"/>
  <c r="AM63" i="8"/>
  <c r="AM93" i="8"/>
  <c r="AM105" i="8"/>
  <c r="D1068" i="8" l="1"/>
  <c r="D1067" i="8"/>
  <c r="D1066" i="8"/>
  <c r="R346" i="11"/>
  <c r="Q343" i="11"/>
  <c r="Q341" i="11"/>
  <c r="Q340" i="11"/>
  <c r="Q337" i="11"/>
  <c r="R336" i="11"/>
  <c r="R331" i="11"/>
  <c r="Q330" i="11"/>
  <c r="Q329" i="11"/>
  <c r="Q327" i="11"/>
  <c r="Q325" i="11"/>
  <c r="Q324" i="11"/>
  <c r="R323" i="11"/>
  <c r="R318" i="11"/>
  <c r="Q314" i="11"/>
  <c r="R312" i="11"/>
  <c r="A140" i="11"/>
  <c r="A106" i="11"/>
  <c r="D1049" i="8"/>
  <c r="R137" i="11"/>
  <c r="A125" i="11"/>
  <c r="Q302" i="11"/>
  <c r="Q301" i="11"/>
  <c r="Q291" i="11"/>
  <c r="Q290" i="11"/>
  <c r="Q279" i="11"/>
  <c r="Q280" i="11"/>
  <c r="Q269" i="11"/>
  <c r="D1065" i="8" l="1"/>
  <c r="R307" i="11"/>
  <c r="D1064" i="8" l="1"/>
  <c r="D1063" i="8"/>
  <c r="D1062" i="8"/>
  <c r="D1061" i="8"/>
  <c r="D1060" i="8"/>
  <c r="D1059" i="8"/>
  <c r="D1058" i="8"/>
  <c r="D1057" i="8"/>
  <c r="D1056" i="8"/>
  <c r="D1055" i="8"/>
  <c r="D1054" i="8"/>
  <c r="D1053" i="8"/>
  <c r="D1052" i="8"/>
  <c r="D1051" i="8"/>
  <c r="D1050" i="8"/>
  <c r="D1048" i="8"/>
  <c r="R247" i="11" l="1"/>
  <c r="R237" i="11"/>
  <c r="R296" i="11"/>
  <c r="R285" i="11"/>
  <c r="R274" i="11"/>
  <c r="R196" i="11" l="1"/>
  <c r="R186" i="11"/>
  <c r="R227" i="11"/>
  <c r="R207" i="11"/>
  <c r="R165" i="11" l="1"/>
  <c r="R263" i="11"/>
  <c r="R255" i="11"/>
  <c r="R148" i="11"/>
  <c r="R122" i="11"/>
  <c r="R217" i="11"/>
  <c r="F22" i="18" l="1"/>
  <c r="D7" i="18" l="1"/>
  <c r="D8" i="18"/>
  <c r="D9" i="18"/>
  <c r="D10" i="18"/>
  <c r="D6" i="18"/>
  <c r="A1" i="18" l="1"/>
  <c r="A2" i="18" l="1"/>
  <c r="D5" i="18" s="1"/>
  <c r="S5" i="18"/>
  <c r="F962" i="8" l="1"/>
  <c r="F961" i="8"/>
  <c r="F31" i="1" s="1"/>
  <c r="A31" i="1" s="1"/>
  <c r="F960" i="8"/>
  <c r="F30" i="1" s="1"/>
  <c r="F959" i="8"/>
  <c r="F29" i="1" s="1"/>
  <c r="F958" i="8"/>
  <c r="F28" i="1" s="1"/>
  <c r="A28" i="1" s="1"/>
  <c r="F957" i="8"/>
  <c r="F27" i="1" s="1"/>
  <c r="T1" i="8"/>
  <c r="T2" i="1"/>
  <c r="R2" i="1" s="1"/>
  <c r="J24" i="1"/>
  <c r="J25" i="1"/>
  <c r="J26" i="1"/>
  <c r="J27" i="1"/>
  <c r="J28" i="1"/>
  <c r="J29" i="1"/>
  <c r="J30" i="1"/>
  <c r="J31" i="1"/>
  <c r="J32" i="1"/>
  <c r="J23" i="1"/>
  <c r="H24" i="1"/>
  <c r="I24" i="1"/>
  <c r="H25" i="1"/>
  <c r="I25" i="1"/>
  <c r="H26" i="1"/>
  <c r="I26" i="1"/>
  <c r="H27" i="1"/>
  <c r="I27" i="1"/>
  <c r="H28" i="1"/>
  <c r="I28" i="1"/>
  <c r="H29" i="1"/>
  <c r="I29" i="1"/>
  <c r="H30" i="1"/>
  <c r="I30" i="1"/>
  <c r="H31" i="1"/>
  <c r="I31" i="1"/>
  <c r="H32" i="1"/>
  <c r="I32" i="1"/>
  <c r="H23" i="1"/>
  <c r="R962" i="8"/>
  <c r="R32" i="1" s="1"/>
  <c r="T962" i="8"/>
  <c r="T32" i="1" s="1"/>
  <c r="T961" i="8"/>
  <c r="R961" i="8"/>
  <c r="R31" i="1" s="1"/>
  <c r="T960" i="8"/>
  <c r="R960" i="8"/>
  <c r="R30" i="1" s="1"/>
  <c r="T959" i="8"/>
  <c r="R959" i="8"/>
  <c r="R29" i="1" s="1"/>
  <c r="T958" i="8"/>
  <c r="R958" i="8"/>
  <c r="R28" i="1" s="1"/>
  <c r="T957" i="8"/>
  <c r="R957" i="8"/>
  <c r="R27" i="1" s="1"/>
  <c r="R955" i="8"/>
  <c r="R25" i="1" s="1"/>
  <c r="R954" i="8"/>
  <c r="R24" i="1" s="1"/>
  <c r="S2" i="8"/>
  <c r="S12" i="11"/>
  <c r="T12" i="11"/>
  <c r="F1" i="11"/>
  <c r="S12" i="8"/>
  <c r="T12" i="8"/>
  <c r="F1" i="8"/>
  <c r="O6" i="1"/>
  <c r="B18" i="1"/>
  <c r="Q1" i="1"/>
  <c r="C11" i="1"/>
  <c r="C11" i="11" s="1"/>
  <c r="S1" i="1"/>
  <c r="S1" i="8" s="1"/>
  <c r="T13" i="1"/>
  <c r="T1" i="11"/>
  <c r="S2" i="11"/>
  <c r="F77" i="1"/>
  <c r="T356" i="11"/>
  <c r="T357" i="11"/>
  <c r="T1209" i="36" s="1"/>
  <c r="T358" i="11"/>
  <c r="T359" i="11"/>
  <c r="T1211" i="36" s="1"/>
  <c r="T360" i="11"/>
  <c r="T361" i="11"/>
  <c r="T362" i="11"/>
  <c r="T363" i="11"/>
  <c r="T1215" i="36" s="1"/>
  <c r="T369" i="11"/>
  <c r="T370" i="11"/>
  <c r="T371" i="11"/>
  <c r="T1223" i="36" s="1"/>
  <c r="T372" i="11"/>
  <c r="T1224" i="36" s="1"/>
  <c r="T373" i="11"/>
  <c r="T374" i="11"/>
  <c r="T375" i="11"/>
  <c r="T377" i="11"/>
  <c r="T379" i="11"/>
  <c r="T380" i="11"/>
  <c r="T381" i="11"/>
  <c r="T382" i="11"/>
  <c r="T383" i="11"/>
  <c r="T384" i="11"/>
  <c r="T385" i="11"/>
  <c r="T386" i="11"/>
  <c r="T387" i="11"/>
  <c r="T388" i="11"/>
  <c r="T389" i="11"/>
  <c r="T1241" i="36" s="1"/>
  <c r="T390" i="11"/>
  <c r="T391" i="11"/>
  <c r="T394" i="11"/>
  <c r="T395" i="11"/>
  <c r="T396" i="11"/>
  <c r="T397" i="11"/>
  <c r="T398" i="11"/>
  <c r="T399" i="11"/>
  <c r="T400" i="11"/>
  <c r="T402" i="11"/>
  <c r="T1254" i="36" s="1"/>
  <c r="T403" i="11"/>
  <c r="T405" i="11"/>
  <c r="T1257" i="36" s="1"/>
  <c r="T406" i="11"/>
  <c r="T1258" i="36" s="1"/>
  <c r="T407" i="11"/>
  <c r="T1259" i="36" s="1"/>
  <c r="T408" i="11"/>
  <c r="T409" i="11"/>
  <c r="T1261" i="36" s="1"/>
  <c r="T410" i="11"/>
  <c r="R356" i="11"/>
  <c r="R357" i="11"/>
  <c r="R358" i="11"/>
  <c r="R359" i="11"/>
  <c r="R360" i="11"/>
  <c r="R361" i="11"/>
  <c r="R362" i="11"/>
  <c r="R363" i="11"/>
  <c r="R369" i="11"/>
  <c r="R1221" i="36" s="1"/>
  <c r="R370" i="11"/>
  <c r="R371" i="11"/>
  <c r="R372" i="11"/>
  <c r="R373" i="11"/>
  <c r="R374" i="11"/>
  <c r="R375" i="11"/>
  <c r="R377" i="11"/>
  <c r="R379" i="11"/>
  <c r="R380" i="11"/>
  <c r="R381" i="11"/>
  <c r="R1233" i="36" s="1"/>
  <c r="R382" i="11"/>
  <c r="R383" i="11"/>
  <c r="R384" i="11"/>
  <c r="R385" i="11"/>
  <c r="R386" i="11"/>
  <c r="R387" i="11"/>
  <c r="R388" i="11"/>
  <c r="R389" i="11"/>
  <c r="R390" i="11"/>
  <c r="R391" i="11"/>
  <c r="R394" i="11"/>
  <c r="R395" i="11"/>
  <c r="R396" i="11"/>
  <c r="R397" i="11"/>
  <c r="R398" i="11"/>
  <c r="R399" i="11"/>
  <c r="R400" i="11"/>
  <c r="R402" i="11"/>
  <c r="R403" i="11"/>
  <c r="R405" i="11"/>
  <c r="R406" i="11"/>
  <c r="R407" i="11"/>
  <c r="R408" i="11"/>
  <c r="R409" i="11"/>
  <c r="R410" i="11"/>
  <c r="C5" i="1"/>
  <c r="C6" i="1"/>
  <c r="C7" i="1"/>
  <c r="C8" i="1"/>
  <c r="C9" i="1"/>
  <c r="C9" i="36" s="1"/>
  <c r="B1193" i="36" s="1"/>
  <c r="C10" i="1"/>
  <c r="F12" i="11"/>
  <c r="T11" i="11"/>
  <c r="S11" i="11"/>
  <c r="Q11" i="11"/>
  <c r="F11" i="11"/>
  <c r="T10" i="11"/>
  <c r="S10" i="11"/>
  <c r="Q10" i="11"/>
  <c r="O10" i="1"/>
  <c r="N10" i="1"/>
  <c r="M10" i="1"/>
  <c r="L10" i="1"/>
  <c r="K10" i="1"/>
  <c r="J10" i="1"/>
  <c r="F10" i="11"/>
  <c r="T9" i="11"/>
  <c r="S9" i="11"/>
  <c r="Q9" i="11"/>
  <c r="O9" i="11"/>
  <c r="N9" i="1"/>
  <c r="M9" i="1"/>
  <c r="L9" i="1"/>
  <c r="K9" i="1"/>
  <c r="J9" i="1"/>
  <c r="F9" i="11"/>
  <c r="D9" i="11"/>
  <c r="T8" i="11"/>
  <c r="S8" i="11"/>
  <c r="Q8" i="11"/>
  <c r="O8" i="11"/>
  <c r="N8" i="1"/>
  <c r="N8" i="36" s="1"/>
  <c r="M8" i="1"/>
  <c r="L8" i="1"/>
  <c r="K8" i="1"/>
  <c r="J8" i="1"/>
  <c r="J8" i="36" s="1"/>
  <c r="F8" i="11"/>
  <c r="D8" i="11"/>
  <c r="T7" i="11"/>
  <c r="S7" i="11"/>
  <c r="Q7" i="11"/>
  <c r="O7" i="11"/>
  <c r="N7" i="1"/>
  <c r="M7" i="1"/>
  <c r="L7" i="1"/>
  <c r="K7" i="1"/>
  <c r="J7" i="1"/>
  <c r="F7" i="11"/>
  <c r="T6" i="11"/>
  <c r="S6" i="11"/>
  <c r="Q6" i="11"/>
  <c r="O6" i="11"/>
  <c r="N6" i="1"/>
  <c r="M6" i="1"/>
  <c r="L6" i="1"/>
  <c r="K6" i="1"/>
  <c r="J6" i="1"/>
  <c r="F6" i="11"/>
  <c r="D6" i="11"/>
  <c r="T5" i="11"/>
  <c r="S5" i="11"/>
  <c r="Q5" i="11"/>
  <c r="O5" i="1"/>
  <c r="N5" i="1"/>
  <c r="M5" i="1"/>
  <c r="L5" i="1"/>
  <c r="K5" i="1"/>
  <c r="J5" i="1"/>
  <c r="F5" i="11"/>
  <c r="D5" i="11"/>
  <c r="T4" i="11"/>
  <c r="S4" i="11"/>
  <c r="O4" i="1"/>
  <c r="N4" i="1"/>
  <c r="M4" i="1"/>
  <c r="L4" i="1"/>
  <c r="K4" i="1"/>
  <c r="J4" i="1"/>
  <c r="F4" i="11"/>
  <c r="D4" i="11"/>
  <c r="T3" i="11"/>
  <c r="S3" i="11"/>
  <c r="O3" i="1"/>
  <c r="N3" i="1"/>
  <c r="M3" i="1"/>
  <c r="L3" i="1"/>
  <c r="K3" i="1"/>
  <c r="J3" i="1"/>
  <c r="F3" i="11"/>
  <c r="D3" i="11"/>
  <c r="O2" i="1"/>
  <c r="N2" i="1"/>
  <c r="M2" i="1"/>
  <c r="L2" i="1"/>
  <c r="K2" i="1"/>
  <c r="J2" i="1"/>
  <c r="F2" i="11"/>
  <c r="D2" i="11"/>
  <c r="U1" i="11"/>
  <c r="O1" i="1"/>
  <c r="N1" i="1"/>
  <c r="M1" i="1"/>
  <c r="L1" i="1"/>
  <c r="K1" i="1"/>
  <c r="J1" i="1"/>
  <c r="D1" i="11"/>
  <c r="C1" i="11"/>
  <c r="B16" i="1"/>
  <c r="S3" i="8"/>
  <c r="T3" i="8"/>
  <c r="B14" i="1"/>
  <c r="D95" i="1"/>
  <c r="D175" i="1" s="1"/>
  <c r="S11" i="8"/>
  <c r="T11" i="8"/>
  <c r="S10" i="8"/>
  <c r="T10" i="8"/>
  <c r="S9" i="8"/>
  <c r="T9" i="8"/>
  <c r="S8" i="8"/>
  <c r="T8" i="8"/>
  <c r="S7" i="8"/>
  <c r="T7" i="8"/>
  <c r="S6" i="8"/>
  <c r="T6" i="8"/>
  <c r="S5" i="8"/>
  <c r="T5" i="8"/>
  <c r="S4" i="8"/>
  <c r="T4" i="8"/>
  <c r="F11" i="8"/>
  <c r="E962" i="8" s="1"/>
  <c r="F10" i="8"/>
  <c r="E961" i="8" s="1"/>
  <c r="F9" i="8"/>
  <c r="E960" i="8" s="1"/>
  <c r="F8" i="8"/>
  <c r="E959" i="8" s="1"/>
  <c r="F7" i="8"/>
  <c r="E958" i="8" s="1"/>
  <c r="F6" i="8"/>
  <c r="E957" i="8" s="1"/>
  <c r="F5" i="8"/>
  <c r="F4" i="8"/>
  <c r="D24" i="1"/>
  <c r="D25" i="1"/>
  <c r="D26" i="1"/>
  <c r="D27" i="1"/>
  <c r="D28" i="1"/>
  <c r="D29" i="1"/>
  <c r="D30" i="1"/>
  <c r="D31" i="1"/>
  <c r="D32" i="1"/>
  <c r="D23" i="1"/>
  <c r="F3" i="8"/>
  <c r="F2" i="8"/>
  <c r="R11" i="1"/>
  <c r="R10" i="1"/>
  <c r="R9" i="1"/>
  <c r="R8" i="1"/>
  <c r="R7" i="1"/>
  <c r="R6" i="1"/>
  <c r="R5" i="1"/>
  <c r="R4" i="1"/>
  <c r="R3" i="1"/>
  <c r="U1" i="8"/>
  <c r="Q5" i="8"/>
  <c r="Q6" i="8"/>
  <c r="Q7" i="8"/>
  <c r="Q8" i="8"/>
  <c r="Q9" i="8"/>
  <c r="Q10" i="8"/>
  <c r="Q11" i="8"/>
  <c r="D8" i="8"/>
  <c r="D9" i="8"/>
  <c r="D6" i="8"/>
  <c r="D4" i="8"/>
  <c r="D2" i="8"/>
  <c r="F12" i="8"/>
  <c r="C1" i="8"/>
  <c r="D1" i="8"/>
  <c r="O7" i="8"/>
  <c r="O8" i="8"/>
  <c r="O9" i="8"/>
  <c r="S107" i="1"/>
  <c r="D55" i="1"/>
  <c r="D5" i="8"/>
  <c r="V1" i="1" a="1"/>
  <c r="V1" i="1" s="1"/>
  <c r="E64" i="1"/>
  <c r="E103" i="1" s="1"/>
  <c r="D3" i="8"/>
  <c r="A36" i="1"/>
  <c r="E63" i="1"/>
  <c r="E61" i="1"/>
  <c r="E101" i="1" s="1"/>
  <c r="E62" i="1"/>
  <c r="E102" i="1" s="1"/>
  <c r="E60" i="1"/>
  <c r="D51" i="1"/>
  <c r="C5" i="36" l="1"/>
  <c r="B1189" i="36" s="1"/>
  <c r="AC26" i="1"/>
  <c r="T389" i="8"/>
  <c r="T401" i="8"/>
  <c r="T390" i="8"/>
  <c r="B391" i="8" s="1"/>
  <c r="T396" i="8"/>
  <c r="B397" i="8" s="1"/>
  <c r="T391" i="8"/>
  <c r="T384" i="8"/>
  <c r="B385" i="8" s="1"/>
  <c r="T402" i="8"/>
  <c r="B403" i="8" s="1"/>
  <c r="T395" i="8"/>
  <c r="T397" i="8" s="1"/>
  <c r="T383" i="8"/>
  <c r="T365" i="8"/>
  <c r="T377" i="8"/>
  <c r="T353" i="8"/>
  <c r="T347" i="8"/>
  <c r="T366" i="8"/>
  <c r="B367" i="8" s="1"/>
  <c r="T360" i="8"/>
  <c r="B361" i="8" s="1"/>
  <c r="T372" i="8"/>
  <c r="B373" i="8" s="1"/>
  <c r="T354" i="8"/>
  <c r="B355" i="8" s="1"/>
  <c r="T371" i="8"/>
  <c r="T378" i="8"/>
  <c r="B379" i="8" s="1"/>
  <c r="T348" i="8"/>
  <c r="B349" i="8" s="1"/>
  <c r="T359" i="8"/>
  <c r="T335" i="8"/>
  <c r="T329" i="8"/>
  <c r="T323" i="8"/>
  <c r="T317" i="8"/>
  <c r="T324" i="8"/>
  <c r="B325" i="8" s="1"/>
  <c r="T336" i="8"/>
  <c r="B337" i="8" s="1"/>
  <c r="T318" i="8"/>
  <c r="B319" i="8" s="1"/>
  <c r="T330" i="8"/>
  <c r="B331" i="8" s="1"/>
  <c r="T311" i="8"/>
  <c r="T305" i="8"/>
  <c r="T299" i="8"/>
  <c r="T312" i="8"/>
  <c r="B313" i="8" s="1"/>
  <c r="T306" i="8"/>
  <c r="B307" i="8" s="1"/>
  <c r="T293" i="8"/>
  <c r="T300" i="8"/>
  <c r="B301" i="8" s="1"/>
  <c r="T294" i="8"/>
  <c r="B295" i="8" s="1"/>
  <c r="M1" i="11"/>
  <c r="M1" i="36"/>
  <c r="L2" i="11"/>
  <c r="L2" i="36"/>
  <c r="L3" i="11"/>
  <c r="L3" i="36"/>
  <c r="J4" i="11"/>
  <c r="J4" i="36"/>
  <c r="M6" i="11"/>
  <c r="M6" i="36"/>
  <c r="K7" i="11"/>
  <c r="K7" i="36"/>
  <c r="M9" i="11"/>
  <c r="M9" i="36"/>
  <c r="K10" i="11"/>
  <c r="K10" i="36"/>
  <c r="K3" i="11"/>
  <c r="K3" i="36"/>
  <c r="O1" i="11"/>
  <c r="O1" i="36"/>
  <c r="N2" i="11"/>
  <c r="N2" i="36"/>
  <c r="N3" i="8"/>
  <c r="N3" i="36"/>
  <c r="L4" i="11"/>
  <c r="L4" i="36"/>
  <c r="J5" i="11"/>
  <c r="J5" i="36"/>
  <c r="M7" i="11"/>
  <c r="M7" i="36"/>
  <c r="M10" i="11"/>
  <c r="M10" i="36"/>
  <c r="E36" i="1"/>
  <c r="Q1" i="36"/>
  <c r="K2" i="11"/>
  <c r="K2" i="36"/>
  <c r="O5" i="11"/>
  <c r="O5" i="36"/>
  <c r="L6" i="11"/>
  <c r="L6" i="36"/>
  <c r="J7" i="11"/>
  <c r="J7" i="36"/>
  <c r="L9" i="11"/>
  <c r="L9" i="36"/>
  <c r="J10" i="11"/>
  <c r="J10" i="36"/>
  <c r="O2" i="11"/>
  <c r="O2" i="36"/>
  <c r="O3" i="11"/>
  <c r="O3" i="36"/>
  <c r="M4" i="11"/>
  <c r="M4" i="36"/>
  <c r="K5" i="11"/>
  <c r="K5" i="36"/>
  <c r="K8" i="11"/>
  <c r="K8" i="36"/>
  <c r="O6" i="8"/>
  <c r="O6" i="36"/>
  <c r="N1" i="11"/>
  <c r="N1" i="36"/>
  <c r="M2" i="8"/>
  <c r="M2" i="36"/>
  <c r="M3" i="11"/>
  <c r="M3" i="36"/>
  <c r="K4" i="11"/>
  <c r="K4" i="36"/>
  <c r="N6" i="11"/>
  <c r="N6" i="36"/>
  <c r="L7" i="11"/>
  <c r="L7" i="36"/>
  <c r="N9" i="11"/>
  <c r="N9" i="36"/>
  <c r="L10" i="11"/>
  <c r="L10" i="36"/>
  <c r="L1" i="11"/>
  <c r="L1" i="36"/>
  <c r="N7" i="11"/>
  <c r="N7" i="36"/>
  <c r="N10" i="11"/>
  <c r="N10" i="36"/>
  <c r="N4" i="11"/>
  <c r="N4" i="36"/>
  <c r="L5" i="8"/>
  <c r="L5" i="36"/>
  <c r="L8" i="11"/>
  <c r="L8" i="36"/>
  <c r="O10" i="11"/>
  <c r="O10" i="36"/>
  <c r="M9" i="8"/>
  <c r="J1" i="8"/>
  <c r="J1" i="36"/>
  <c r="O4" i="11"/>
  <c r="O4" i="36"/>
  <c r="M5" i="11"/>
  <c r="M5" i="36"/>
  <c r="J6" i="11"/>
  <c r="J6" i="36"/>
  <c r="M8" i="11"/>
  <c r="M8" i="36"/>
  <c r="J9" i="11"/>
  <c r="J9" i="36"/>
  <c r="K1" i="11"/>
  <c r="K1" i="36"/>
  <c r="J2" i="11"/>
  <c r="J2" i="36"/>
  <c r="J3" i="11"/>
  <c r="J3" i="36"/>
  <c r="N5" i="11"/>
  <c r="N5" i="36"/>
  <c r="K6" i="11"/>
  <c r="K6" i="36"/>
  <c r="K9" i="11"/>
  <c r="K9" i="36"/>
  <c r="G32" i="1"/>
  <c r="C11" i="36"/>
  <c r="B1195" i="36" s="1"/>
  <c r="C11" i="8"/>
  <c r="G29" i="1"/>
  <c r="C8" i="36"/>
  <c r="B1192" i="36" s="1"/>
  <c r="G31" i="1"/>
  <c r="C10" i="36"/>
  <c r="B1194" i="36" s="1"/>
  <c r="G28" i="1"/>
  <c r="C7" i="36"/>
  <c r="B1191" i="36" s="1"/>
  <c r="G27" i="1"/>
  <c r="C6" i="36"/>
  <c r="B1190" i="36" s="1"/>
  <c r="S1" i="11"/>
  <c r="S1" i="36"/>
  <c r="AG785" i="8"/>
  <c r="T782" i="8"/>
  <c r="D781" i="8"/>
  <c r="T784" i="8"/>
  <c r="B785" i="8" s="1"/>
  <c r="T783" i="8"/>
  <c r="T2" i="8"/>
  <c r="T2" i="36"/>
  <c r="T832" i="8"/>
  <c r="T825" i="8"/>
  <c r="T833" i="8"/>
  <c r="T826" i="8"/>
  <c r="T828" i="8"/>
  <c r="T829" i="8"/>
  <c r="T831" i="8"/>
  <c r="T830" i="8"/>
  <c r="E956" i="8"/>
  <c r="D504" i="8"/>
  <c r="D500" i="8"/>
  <c r="T719" i="8"/>
  <c r="T720" i="8"/>
  <c r="T722" i="8"/>
  <c r="T721" i="8"/>
  <c r="T724" i="8"/>
  <c r="T723" i="8"/>
  <c r="T926" i="8"/>
  <c r="T497" i="8"/>
  <c r="T925" i="8"/>
  <c r="T923" i="8"/>
  <c r="T924" i="8"/>
  <c r="T927" i="8"/>
  <c r="T495" i="8"/>
  <c r="T501" i="8"/>
  <c r="T496" i="8"/>
  <c r="T1028" i="8" s="1"/>
  <c r="T163" i="1" s="1"/>
  <c r="S163" i="1" s="1"/>
  <c r="T505" i="8"/>
  <c r="D494" i="8"/>
  <c r="AG503" i="8"/>
  <c r="T502" i="8"/>
  <c r="B503" i="8" s="1"/>
  <c r="T498" i="8"/>
  <c r="B499" i="8" s="1"/>
  <c r="T506" i="8"/>
  <c r="B507" i="8" s="1"/>
  <c r="AG499" i="8"/>
  <c r="AG507" i="8"/>
  <c r="T659" i="8"/>
  <c r="T476" i="8"/>
  <c r="T658" i="8"/>
  <c r="T661" i="8"/>
  <c r="T660" i="8"/>
  <c r="T656" i="8"/>
  <c r="T567" i="8"/>
  <c r="T563" i="8"/>
  <c r="T559" i="8"/>
  <c r="T566" i="8"/>
  <c r="T562" i="8"/>
  <c r="T565" i="8"/>
  <c r="T561" i="8"/>
  <c r="T564" i="8"/>
  <c r="T560" i="8"/>
  <c r="T558" i="8"/>
  <c r="T554" i="8"/>
  <c r="T550" i="8"/>
  <c r="T546" i="8"/>
  <c r="T542" i="8"/>
  <c r="T557" i="8"/>
  <c r="T553" i="8"/>
  <c r="T549" i="8"/>
  <c r="T545" i="8"/>
  <c r="T541" i="8"/>
  <c r="T556" i="8"/>
  <c r="T552" i="8"/>
  <c r="T548" i="8"/>
  <c r="T544" i="8"/>
  <c r="T555" i="8"/>
  <c r="T547" i="8"/>
  <c r="T551" i="8"/>
  <c r="T543" i="8"/>
  <c r="T540" i="8"/>
  <c r="T536" i="8"/>
  <c r="T532" i="8"/>
  <c r="T539" i="8"/>
  <c r="T535" i="8"/>
  <c r="T538" i="8"/>
  <c r="T534" i="8"/>
  <c r="T537" i="8"/>
  <c r="T533" i="8"/>
  <c r="T531" i="8"/>
  <c r="T527" i="8"/>
  <c r="T523" i="8"/>
  <c r="T530" i="8"/>
  <c r="T526" i="8"/>
  <c r="T529" i="8"/>
  <c r="T525" i="8"/>
  <c r="T528" i="8"/>
  <c r="T524" i="8"/>
  <c r="T717" i="8"/>
  <c r="T707" i="8"/>
  <c r="T697" i="8"/>
  <c r="T681" i="8"/>
  <c r="T671" i="8"/>
  <c r="T712" i="8"/>
  <c r="T704" i="8"/>
  <c r="T696" i="8"/>
  <c r="T692" i="8"/>
  <c r="T684" i="8"/>
  <c r="T676" i="8"/>
  <c r="T668" i="8"/>
  <c r="T665" i="8"/>
  <c r="T685" i="8"/>
  <c r="T716" i="8"/>
  <c r="T706" i="8"/>
  <c r="T690" i="8"/>
  <c r="T680" i="8"/>
  <c r="T670" i="8"/>
  <c r="T711" i="8"/>
  <c r="T703" i="8"/>
  <c r="T695" i="8"/>
  <c r="T687" i="8"/>
  <c r="T683" i="8"/>
  <c r="T675" i="8"/>
  <c r="T667" i="8"/>
  <c r="T669" i="8"/>
  <c r="T715" i="8"/>
  <c r="T699" i="8"/>
  <c r="T689" i="8"/>
  <c r="T679" i="8"/>
  <c r="T714" i="8"/>
  <c r="T710" i="8"/>
  <c r="T702" i="8"/>
  <c r="T694" i="8"/>
  <c r="T686" i="8"/>
  <c r="T678" i="8"/>
  <c r="T674" i="8"/>
  <c r="T666" i="8"/>
  <c r="T698" i="8"/>
  <c r="T688" i="8"/>
  <c r="T672" i="8"/>
  <c r="T713" i="8"/>
  <c r="T705" i="8"/>
  <c r="T693" i="8"/>
  <c r="T677" i="8"/>
  <c r="T708" i="8"/>
  <c r="T701" i="8"/>
  <c r="T709" i="8"/>
  <c r="T700" i="8"/>
  <c r="T691" i="8"/>
  <c r="T682" i="8"/>
  <c r="T673" i="8"/>
  <c r="T664" i="8"/>
  <c r="T663" i="8"/>
  <c r="T655" i="8"/>
  <c r="T662" i="8"/>
  <c r="T657" i="8"/>
  <c r="AG810" i="8"/>
  <c r="AG790" i="8"/>
  <c r="D806" i="8"/>
  <c r="D786" i="8"/>
  <c r="T75" i="11"/>
  <c r="B76" i="11" s="1"/>
  <c r="T39" i="11"/>
  <c r="B40" i="11" s="1"/>
  <c r="T27" i="11"/>
  <c r="B28" i="11" s="1"/>
  <c r="T99" i="11"/>
  <c r="B100" i="11" s="1"/>
  <c r="T63" i="11"/>
  <c r="B64" i="11" s="1"/>
  <c r="T87" i="11"/>
  <c r="B88" i="11" s="1"/>
  <c r="T51" i="11"/>
  <c r="B52" i="11" s="1"/>
  <c r="T917" i="8"/>
  <c r="AG861" i="8"/>
  <c r="AG937" i="8"/>
  <c r="AG880" i="8"/>
  <c r="T935" i="8"/>
  <c r="T928" i="8"/>
  <c r="B929" i="8" s="1"/>
  <c r="T913" i="8"/>
  <c r="T841" i="8"/>
  <c r="B842" i="8" s="1"/>
  <c r="T839" i="8"/>
  <c r="T897" i="8"/>
  <c r="T892" i="8"/>
  <c r="T878" i="8"/>
  <c r="T932" i="8"/>
  <c r="B933" i="8" s="1"/>
  <c r="T854" i="8"/>
  <c r="T879" i="8"/>
  <c r="B880" i="8" s="1"/>
  <c r="T836" i="8"/>
  <c r="B837" i="8" s="1"/>
  <c r="T916" i="8"/>
  <c r="T860" i="8"/>
  <c r="B861" i="8" s="1"/>
  <c r="T840" i="8"/>
  <c r="T807" i="8"/>
  <c r="T787" i="8"/>
  <c r="T912" i="8"/>
  <c r="T873" i="8"/>
  <c r="T915" i="8"/>
  <c r="T908" i="8"/>
  <c r="T936" i="8"/>
  <c r="B937" i="8" s="1"/>
  <c r="T914" i="8"/>
  <c r="T907" i="8"/>
  <c r="T931" i="8"/>
  <c r="T875" i="8"/>
  <c r="B876" i="8" s="1"/>
  <c r="T855" i="8"/>
  <c r="T823" i="8"/>
  <c r="T874" i="8"/>
  <c r="T822" i="8"/>
  <c r="T859" i="8"/>
  <c r="T856" i="8"/>
  <c r="B857" i="8" s="1"/>
  <c r="AG876" i="8"/>
  <c r="D821" i="8"/>
  <c r="D891" i="8"/>
  <c r="D853" i="8"/>
  <c r="D872" i="8"/>
  <c r="AG933" i="8"/>
  <c r="AG842" i="8"/>
  <c r="D930" i="8"/>
  <c r="D838" i="8"/>
  <c r="D877" i="8"/>
  <c r="D934" i="8"/>
  <c r="D858" i="8"/>
  <c r="T625" i="8"/>
  <c r="T609" i="8"/>
  <c r="T597" i="8"/>
  <c r="T589" i="8"/>
  <c r="T577" i="8"/>
  <c r="T652" i="8"/>
  <c r="T636" i="8"/>
  <c r="T620" i="8"/>
  <c r="T608" i="8"/>
  <c r="T588" i="8"/>
  <c r="T580" i="8"/>
  <c r="T718" i="8"/>
  <c r="T643" i="8"/>
  <c r="T627" i="8"/>
  <c r="T615" i="8"/>
  <c r="T607" i="8"/>
  <c r="T591" i="8"/>
  <c r="T579" i="8"/>
  <c r="T654" i="8"/>
  <c r="T650" i="8"/>
  <c r="T646" i="8"/>
  <c r="T642" i="8"/>
  <c r="T638" i="8"/>
  <c r="T634" i="8"/>
  <c r="T630" i="8"/>
  <c r="T626" i="8"/>
  <c r="T622" i="8"/>
  <c r="T618" i="8"/>
  <c r="T614" i="8"/>
  <c r="T610" i="8"/>
  <c r="T606" i="8"/>
  <c r="T602" i="8"/>
  <c r="T598" i="8"/>
  <c r="T594" i="8"/>
  <c r="T590" i="8"/>
  <c r="T586" i="8"/>
  <c r="T582" i="8"/>
  <c r="T578" i="8"/>
  <c r="T574" i="8"/>
  <c r="T570" i="8"/>
  <c r="T617" i="8"/>
  <c r="T601" i="8"/>
  <c r="T593" i="8"/>
  <c r="T585" i="8"/>
  <c r="T573" i="8"/>
  <c r="T569" i="8"/>
  <c r="T648" i="8"/>
  <c r="T628" i="8"/>
  <c r="T616" i="8"/>
  <c r="T600" i="8"/>
  <c r="T584" i="8"/>
  <c r="T576" i="8"/>
  <c r="T635" i="8"/>
  <c r="T623" i="8"/>
  <c r="T611" i="8"/>
  <c r="T587" i="8"/>
  <c r="T571" i="8"/>
  <c r="T605" i="8"/>
  <c r="T644" i="8"/>
  <c r="T604" i="8"/>
  <c r="T651" i="8"/>
  <c r="T595" i="8"/>
  <c r="T653" i="8"/>
  <c r="T649" i="8"/>
  <c r="T645" i="8"/>
  <c r="T641" i="8"/>
  <c r="T637" i="8"/>
  <c r="T633" i="8"/>
  <c r="T629" i="8"/>
  <c r="T621" i="8"/>
  <c r="T613" i="8"/>
  <c r="T581" i="8"/>
  <c r="T632" i="8"/>
  <c r="T596" i="8"/>
  <c r="T572" i="8"/>
  <c r="T647" i="8"/>
  <c r="T603" i="8"/>
  <c r="T640" i="8"/>
  <c r="T624" i="8"/>
  <c r="T612" i="8"/>
  <c r="T592" i="8"/>
  <c r="T568" i="8"/>
  <c r="T639" i="8"/>
  <c r="T631" i="8"/>
  <c r="T619" i="8"/>
  <c r="T599" i="8"/>
  <c r="T583" i="8"/>
  <c r="T575" i="8"/>
  <c r="T742" i="8"/>
  <c r="T472" i="8"/>
  <c r="T748" i="8"/>
  <c r="B749" i="8" s="1"/>
  <c r="T732" i="8"/>
  <c r="B733" i="8" s="1"/>
  <c r="T478" i="8"/>
  <c r="B479" i="8" s="1"/>
  <c r="T741" i="8"/>
  <c r="T471" i="8"/>
  <c r="T747" i="8"/>
  <c r="T731" i="8"/>
  <c r="T477" i="8"/>
  <c r="T743" i="8"/>
  <c r="B744" i="8" s="1"/>
  <c r="T746" i="8"/>
  <c r="T730" i="8"/>
  <c r="T727" i="8"/>
  <c r="B728" i="8" s="1"/>
  <c r="T473" i="8"/>
  <c r="B474" i="8" s="1"/>
  <c r="AG474" i="8"/>
  <c r="AG749" i="8"/>
  <c r="AG479" i="8"/>
  <c r="AG733" i="8"/>
  <c r="D745" i="8"/>
  <c r="D729" i="8"/>
  <c r="D475" i="8"/>
  <c r="D740" i="8"/>
  <c r="D522" i="8"/>
  <c r="D470" i="8"/>
  <c r="R1010" i="8"/>
  <c r="R145" i="1" s="1"/>
  <c r="R1243" i="36"/>
  <c r="T996" i="8"/>
  <c r="T131" i="1" s="1"/>
  <c r="S131" i="1" s="1"/>
  <c r="T1229" i="36"/>
  <c r="T975" i="8"/>
  <c r="T110" i="1" s="1"/>
  <c r="S110" i="1" s="1"/>
  <c r="T1208" i="36"/>
  <c r="R1025" i="8"/>
  <c r="R160" i="1" s="1"/>
  <c r="R1258" i="36"/>
  <c r="R1015" i="8"/>
  <c r="R150" i="1" s="1"/>
  <c r="R1248" i="36"/>
  <c r="R1006" i="8"/>
  <c r="R141" i="1" s="1"/>
  <c r="R1239" i="36"/>
  <c r="R998" i="8"/>
  <c r="R133" i="1" s="1"/>
  <c r="R1231" i="36"/>
  <c r="R976" i="8"/>
  <c r="R111" i="1" s="1"/>
  <c r="R1209" i="36"/>
  <c r="T1022" i="8"/>
  <c r="T157" i="1" s="1"/>
  <c r="S157" i="1" s="1"/>
  <c r="T1255" i="36"/>
  <c r="T1013" i="8"/>
  <c r="T148" i="1" s="1"/>
  <c r="S148" i="1" s="1"/>
  <c r="T1246" i="36"/>
  <c r="T1004" i="8"/>
  <c r="T139" i="1" s="1"/>
  <c r="S139" i="1" s="1"/>
  <c r="T1237" i="36"/>
  <c r="T994" i="8"/>
  <c r="T129" i="1" s="1"/>
  <c r="S129" i="1" s="1"/>
  <c r="T1227" i="36"/>
  <c r="R1259" i="36"/>
  <c r="R999" i="8"/>
  <c r="R134" i="1" s="1"/>
  <c r="R1232" i="36"/>
  <c r="R977" i="8"/>
  <c r="R112" i="1" s="1"/>
  <c r="R1210" i="36"/>
  <c r="T1005" i="8"/>
  <c r="T140" i="1" s="1"/>
  <c r="S140" i="1" s="1"/>
  <c r="T1238" i="36"/>
  <c r="R1024" i="8"/>
  <c r="R159" i="1" s="1"/>
  <c r="R1257" i="36"/>
  <c r="R1014" i="8"/>
  <c r="R149" i="1" s="1"/>
  <c r="R1247" i="36"/>
  <c r="R1005" i="8"/>
  <c r="R140" i="1" s="1"/>
  <c r="R1238" i="36"/>
  <c r="R996" i="8"/>
  <c r="R131" i="1" s="1"/>
  <c r="R1229" i="36"/>
  <c r="R975" i="8"/>
  <c r="R110" i="1" s="1"/>
  <c r="R1208" i="36"/>
  <c r="T1003" i="8"/>
  <c r="T138" i="1" s="1"/>
  <c r="S138" i="1" s="1"/>
  <c r="T1236" i="36"/>
  <c r="T993" i="8"/>
  <c r="T128" i="1" s="1"/>
  <c r="S128" i="1" s="1"/>
  <c r="T1226" i="36"/>
  <c r="T981" i="8"/>
  <c r="T116" i="1" s="1"/>
  <c r="S116" i="1" s="1"/>
  <c r="T1214" i="36"/>
  <c r="R1029" i="8"/>
  <c r="R164" i="1" s="1"/>
  <c r="R1262" i="36"/>
  <c r="R1007" i="8"/>
  <c r="R142" i="1" s="1"/>
  <c r="R1240" i="36"/>
  <c r="R1022" i="8"/>
  <c r="R157" i="1" s="1"/>
  <c r="R1255" i="36"/>
  <c r="R1013" i="8"/>
  <c r="R148" i="1" s="1"/>
  <c r="R1246" i="36"/>
  <c r="R1004" i="8"/>
  <c r="R139" i="1" s="1"/>
  <c r="R1237" i="36"/>
  <c r="R994" i="8"/>
  <c r="R129" i="1" s="1"/>
  <c r="R1227" i="36"/>
  <c r="R982" i="8"/>
  <c r="R117" i="1" s="1"/>
  <c r="R1215" i="36"/>
  <c r="T1029" i="8"/>
  <c r="T164" i="1" s="1"/>
  <c r="S164" i="1" s="1"/>
  <c r="T1262" i="36"/>
  <c r="T1019" i="8"/>
  <c r="T154" i="1" s="1"/>
  <c r="T1252" i="36"/>
  <c r="T1010" i="8"/>
  <c r="T145" i="1" s="1"/>
  <c r="S145" i="1" s="1"/>
  <c r="T1243" i="36"/>
  <c r="T1002" i="8"/>
  <c r="T137" i="1" s="1"/>
  <c r="S137" i="1" s="1"/>
  <c r="T1235" i="36"/>
  <c r="T992" i="8"/>
  <c r="T127" i="1" s="1"/>
  <c r="S127" i="1" s="1"/>
  <c r="T1225" i="36"/>
  <c r="T980" i="8"/>
  <c r="T115" i="1" s="1"/>
  <c r="S115" i="1" s="1"/>
  <c r="T1213" i="36"/>
  <c r="R1019" i="8"/>
  <c r="R154" i="1" s="1"/>
  <c r="R1252" i="36"/>
  <c r="R1016" i="8"/>
  <c r="R151" i="1" s="1"/>
  <c r="R1249" i="36"/>
  <c r="R989" i="8"/>
  <c r="R124" i="1" s="1"/>
  <c r="R1222" i="36"/>
  <c r="T1014" i="8"/>
  <c r="T149" i="1" s="1"/>
  <c r="S149" i="1" s="1"/>
  <c r="T1247" i="36"/>
  <c r="R1021" i="8"/>
  <c r="R156" i="1" s="1"/>
  <c r="R1254" i="36"/>
  <c r="R1003" i="8"/>
  <c r="R138" i="1" s="1"/>
  <c r="R1236" i="36"/>
  <c r="R993" i="8"/>
  <c r="R128" i="1" s="1"/>
  <c r="R1226" i="36"/>
  <c r="R981" i="8"/>
  <c r="R116" i="1" s="1"/>
  <c r="R1214" i="36"/>
  <c r="T1018" i="8"/>
  <c r="T153" i="1" s="1"/>
  <c r="S153" i="1" s="1"/>
  <c r="T1251" i="36"/>
  <c r="T1009" i="8"/>
  <c r="T144" i="1" s="1"/>
  <c r="S144" i="1" s="1"/>
  <c r="T1242" i="36"/>
  <c r="T1001" i="8"/>
  <c r="T136" i="1" s="1"/>
  <c r="S136" i="1" s="1"/>
  <c r="T1234" i="36"/>
  <c r="T979" i="8"/>
  <c r="T114" i="1" s="1"/>
  <c r="S114" i="1" s="1"/>
  <c r="T1212" i="36"/>
  <c r="R980" i="8"/>
  <c r="R115" i="1" s="1"/>
  <c r="R1213" i="36"/>
  <c r="T1000" i="8"/>
  <c r="T135" i="1" s="1"/>
  <c r="S135" i="1" s="1"/>
  <c r="T1233" i="36"/>
  <c r="R992" i="8"/>
  <c r="R127" i="1" s="1"/>
  <c r="R1225" i="36"/>
  <c r="T1027" i="8"/>
  <c r="T162" i="1" s="1"/>
  <c r="S162" i="1" s="1"/>
  <c r="T1260" i="36"/>
  <c r="T1017" i="8"/>
  <c r="T152" i="1" s="1"/>
  <c r="S152" i="1" s="1"/>
  <c r="T1250" i="36"/>
  <c r="R1028" i="8"/>
  <c r="R163" i="1" s="1"/>
  <c r="R1261" i="36"/>
  <c r="R1018" i="8"/>
  <c r="R153" i="1" s="1"/>
  <c r="R1251" i="36"/>
  <c r="R1009" i="8"/>
  <c r="R144" i="1" s="1"/>
  <c r="R1242" i="36"/>
  <c r="R1001" i="8"/>
  <c r="R136" i="1" s="1"/>
  <c r="R1234" i="36"/>
  <c r="R991" i="8"/>
  <c r="R126" i="1" s="1"/>
  <c r="R1224" i="36"/>
  <c r="R979" i="8"/>
  <c r="R114" i="1" s="1"/>
  <c r="R1212" i="36"/>
  <c r="T1016" i="8"/>
  <c r="T151" i="1" s="1"/>
  <c r="S151" i="1" s="1"/>
  <c r="T1249" i="36"/>
  <c r="T1007" i="8"/>
  <c r="T142" i="1" s="1"/>
  <c r="S142" i="1" s="1"/>
  <c r="T1240" i="36"/>
  <c r="T999" i="8"/>
  <c r="T134" i="1" s="1"/>
  <c r="S134" i="1" s="1"/>
  <c r="T1232" i="36"/>
  <c r="T989" i="8"/>
  <c r="T124" i="1" s="1"/>
  <c r="S124" i="1" s="1"/>
  <c r="T1222" i="36"/>
  <c r="T977" i="8"/>
  <c r="T112" i="1" s="1"/>
  <c r="S112" i="1" s="1"/>
  <c r="T1210" i="36"/>
  <c r="R1002" i="8"/>
  <c r="R137" i="1" s="1"/>
  <c r="R1235" i="36"/>
  <c r="R1027" i="8"/>
  <c r="R162" i="1" s="1"/>
  <c r="R1260" i="36"/>
  <c r="R1017" i="8"/>
  <c r="R152" i="1" s="1"/>
  <c r="R1250" i="36"/>
  <c r="R1008" i="8"/>
  <c r="R143" i="1" s="1"/>
  <c r="R1241" i="36"/>
  <c r="R990" i="8"/>
  <c r="R125" i="1" s="1"/>
  <c r="R1223" i="36"/>
  <c r="R978" i="8"/>
  <c r="R113" i="1" s="1"/>
  <c r="R1211" i="36"/>
  <c r="T1015" i="8"/>
  <c r="T150" i="1" s="1"/>
  <c r="S150" i="1" s="1"/>
  <c r="T1248" i="36"/>
  <c r="T1006" i="8"/>
  <c r="T141" i="1" s="1"/>
  <c r="S141" i="1" s="1"/>
  <c r="T1239" i="36"/>
  <c r="T998" i="8"/>
  <c r="T133" i="1" s="1"/>
  <c r="S133" i="1" s="1"/>
  <c r="T1231" i="36"/>
  <c r="T988" i="8"/>
  <c r="T123" i="1" s="1"/>
  <c r="S123" i="1" s="1"/>
  <c r="T1221" i="36"/>
  <c r="T802" i="8"/>
  <c r="T809" i="8"/>
  <c r="B810" i="8" s="1"/>
  <c r="T777" i="8"/>
  <c r="T804" i="8"/>
  <c r="B805" i="8" s="1"/>
  <c r="T789" i="8"/>
  <c r="B790" i="8" s="1"/>
  <c r="T778" i="8"/>
  <c r="T779" i="8"/>
  <c r="B780" i="8" s="1"/>
  <c r="T788" i="8"/>
  <c r="T808" i="8"/>
  <c r="T803" i="8"/>
  <c r="AG805" i="8"/>
  <c r="AG780" i="8"/>
  <c r="D801" i="8"/>
  <c r="D776" i="8"/>
  <c r="Q1" i="8"/>
  <c r="K1" i="8"/>
  <c r="C6" i="8"/>
  <c r="B957" i="8" s="1"/>
  <c r="T407" i="8"/>
  <c r="T435" i="8"/>
  <c r="T447" i="8"/>
  <c r="T429" i="8"/>
  <c r="T423" i="8"/>
  <c r="T441" i="8"/>
  <c r="T261" i="8"/>
  <c r="T279" i="8"/>
  <c r="T273" i="8"/>
  <c r="T235" i="8"/>
  <c r="T241" i="8"/>
  <c r="T247" i="8"/>
  <c r="T217" i="8"/>
  <c r="T205" i="8"/>
  <c r="T211" i="8"/>
  <c r="T223" i="8"/>
  <c r="T229" i="8"/>
  <c r="T143" i="8"/>
  <c r="T153" i="8"/>
  <c r="T191" i="8"/>
  <c r="T127" i="8"/>
  <c r="T159" i="8"/>
  <c r="T121" i="8"/>
  <c r="T137" i="8"/>
  <c r="T179" i="8"/>
  <c r="T185" i="8"/>
  <c r="T101" i="8"/>
  <c r="T95" i="8"/>
  <c r="T107" i="8"/>
  <c r="T75" i="8"/>
  <c r="T51" i="8"/>
  <c r="T65" i="8"/>
  <c r="T45" i="8"/>
  <c r="T35" i="8"/>
  <c r="T29" i="8"/>
  <c r="M7" i="8"/>
  <c r="M1" i="8"/>
  <c r="F22" i="1"/>
  <c r="K6" i="8"/>
  <c r="J10" i="8"/>
  <c r="O2" i="8"/>
  <c r="T436" i="8"/>
  <c r="B437" i="8" s="1"/>
  <c r="T262" i="8"/>
  <c r="B263" i="8" s="1"/>
  <c r="T160" i="8"/>
  <c r="B161" i="8" s="1"/>
  <c r="T138" i="8"/>
  <c r="B139" i="8" s="1"/>
  <c r="T76" i="8"/>
  <c r="B77" i="8" s="1"/>
  <c r="T242" i="8"/>
  <c r="B243" i="8" s="1"/>
  <c r="T224" i="8"/>
  <c r="B225" i="8" s="1"/>
  <c r="T206" i="8"/>
  <c r="B207" i="8" s="1"/>
  <c r="T180" i="8"/>
  <c r="B181" i="8" s="1"/>
  <c r="T230" i="8"/>
  <c r="B231" i="8" s="1"/>
  <c r="T144" i="8"/>
  <c r="B145" i="8" s="1"/>
  <c r="T424" i="8"/>
  <c r="B425" i="8" s="1"/>
  <c r="T274" i="8"/>
  <c r="B275" i="8" s="1"/>
  <c r="T36" i="8"/>
  <c r="B37" i="8" s="1"/>
  <c r="T122" i="8"/>
  <c r="B123" i="8" s="1"/>
  <c r="T46" i="8"/>
  <c r="B47" i="8" s="1"/>
  <c r="T442" i="8"/>
  <c r="B443" i="8" s="1"/>
  <c r="T96" i="8"/>
  <c r="B97" i="8" s="1"/>
  <c r="T280" i="8"/>
  <c r="B281" i="8" s="1"/>
  <c r="T236" i="8"/>
  <c r="B237" i="8" s="1"/>
  <c r="T154" i="8"/>
  <c r="B155" i="8" s="1"/>
  <c r="T128" i="8"/>
  <c r="B129" i="8" s="1"/>
  <c r="T102" i="8"/>
  <c r="B103" i="8" s="1"/>
  <c r="T66" i="8"/>
  <c r="B67" i="8" s="1"/>
  <c r="T408" i="8"/>
  <c r="B409" i="8" s="1"/>
  <c r="T218" i="8"/>
  <c r="B219" i="8" s="1"/>
  <c r="T192" i="8"/>
  <c r="B193" i="8" s="1"/>
  <c r="T108" i="8"/>
  <c r="B109" i="8" s="1"/>
  <c r="T30" i="8"/>
  <c r="B31" i="8" s="1"/>
  <c r="T212" i="8"/>
  <c r="B213" i="8" s="1"/>
  <c r="T430" i="8"/>
  <c r="B431" i="8" s="1"/>
  <c r="T248" i="8"/>
  <c r="B249" i="8" s="1"/>
  <c r="T186" i="8"/>
  <c r="B187" i="8" s="1"/>
  <c r="T52" i="8"/>
  <c r="B53" i="8" s="1"/>
  <c r="T448" i="8"/>
  <c r="B449" i="8" s="1"/>
  <c r="J4" i="8"/>
  <c r="C6" i="11"/>
  <c r="E955" i="8"/>
  <c r="T990" i="8"/>
  <c r="T125" i="1" s="1"/>
  <c r="S125" i="1" s="1"/>
  <c r="T323" i="11"/>
  <c r="T336" i="11"/>
  <c r="T346" i="11"/>
  <c r="B347" i="11" s="1"/>
  <c r="T318" i="11"/>
  <c r="B319" i="11" s="1"/>
  <c r="T331" i="11"/>
  <c r="B332" i="11" s="1"/>
  <c r="T312" i="11"/>
  <c r="T137" i="11"/>
  <c r="B138" i="11" s="1"/>
  <c r="T307" i="11"/>
  <c r="B308" i="11" s="1"/>
  <c r="T415" i="11"/>
  <c r="T247" i="11"/>
  <c r="B248" i="11" s="1"/>
  <c r="T237" i="11"/>
  <c r="B238" i="11" s="1"/>
  <c r="T296" i="11"/>
  <c r="B297" i="11" s="1"/>
  <c r="T285" i="11"/>
  <c r="B286" i="11" s="1"/>
  <c r="T274" i="11"/>
  <c r="B275" i="11" s="1"/>
  <c r="T196" i="11"/>
  <c r="T186" i="11"/>
  <c r="T227" i="11"/>
  <c r="T207" i="11"/>
  <c r="T165" i="11"/>
  <c r="B166" i="11" s="1"/>
  <c r="T263" i="11"/>
  <c r="B264" i="11" s="1"/>
  <c r="T255" i="11"/>
  <c r="B256" i="11" s="1"/>
  <c r="T148" i="11"/>
  <c r="B149" i="11" s="1"/>
  <c r="T122" i="11"/>
  <c r="B123" i="11" s="1"/>
  <c r="T217" i="11"/>
  <c r="E954" i="8"/>
  <c r="E953" i="8"/>
  <c r="M3" i="8"/>
  <c r="J2" i="8"/>
  <c r="J1" i="11"/>
  <c r="L10" i="8"/>
  <c r="O5" i="8"/>
  <c r="J3" i="8"/>
  <c r="K10" i="8"/>
  <c r="N1" i="8"/>
  <c r="C10" i="11"/>
  <c r="N5" i="8"/>
  <c r="M5" i="8"/>
  <c r="L4" i="8"/>
  <c r="K7" i="8"/>
  <c r="J5" i="8"/>
  <c r="O1" i="8"/>
  <c r="J7" i="8"/>
  <c r="N4" i="8"/>
  <c r="C10" i="8"/>
  <c r="B961" i="8" s="1"/>
  <c r="L9" i="8"/>
  <c r="M6" i="8"/>
  <c r="O10" i="8"/>
  <c r="J9" i="8"/>
  <c r="N10" i="8"/>
  <c r="K3" i="8"/>
  <c r="R415" i="11"/>
  <c r="K9" i="8"/>
  <c r="O4" i="8"/>
  <c r="O3" i="8"/>
  <c r="C8" i="8"/>
  <c r="B959" i="8" s="1"/>
  <c r="N9" i="8"/>
  <c r="L7" i="8"/>
  <c r="N2" i="8"/>
  <c r="L6" i="8"/>
  <c r="K2" i="8"/>
  <c r="M10" i="8"/>
  <c r="J6" i="8"/>
  <c r="L3" i="8"/>
  <c r="M2" i="11"/>
  <c r="L5" i="11"/>
  <c r="M4" i="8"/>
  <c r="N3" i="11"/>
  <c r="E22" i="1"/>
  <c r="M8" i="8"/>
  <c r="K4" i="8"/>
  <c r="L8" i="8"/>
  <c r="N6" i="8"/>
  <c r="C7" i="11"/>
  <c r="C8" i="11"/>
  <c r="K5" i="8"/>
  <c r="N7" i="8"/>
  <c r="L2" i="8"/>
  <c r="L1" i="8"/>
  <c r="Q1" i="11"/>
  <c r="I23" i="1"/>
  <c r="T2" i="11"/>
  <c r="AH961" i="8"/>
  <c r="AH959" i="8"/>
  <c r="AH955" i="8"/>
  <c r="AH957" i="8"/>
  <c r="T991" i="8"/>
  <c r="T126" i="1" s="1"/>
  <c r="S126" i="1" s="1"/>
  <c r="E28" i="1"/>
  <c r="B28" i="1"/>
  <c r="B962" i="8"/>
  <c r="AH962" i="8"/>
  <c r="AH958" i="8"/>
  <c r="AJ959" i="8"/>
  <c r="F32" i="1"/>
  <c r="AH960" i="8"/>
  <c r="AH954" i="8"/>
  <c r="R988" i="8"/>
  <c r="J8" i="11"/>
  <c r="J8" i="8"/>
  <c r="N8" i="11"/>
  <c r="N8" i="8"/>
  <c r="G30" i="1"/>
  <c r="C9" i="8"/>
  <c r="B960" i="8" s="1"/>
  <c r="C9" i="11"/>
  <c r="G26" i="1"/>
  <c r="C5" i="8"/>
  <c r="C5" i="11"/>
  <c r="R1000" i="8"/>
  <c r="R135" i="1" s="1"/>
  <c r="AJ957" i="8"/>
  <c r="T27" i="1"/>
  <c r="AJ961" i="8"/>
  <c r="T31" i="1"/>
  <c r="B27" i="1"/>
  <c r="E27" i="1"/>
  <c r="B30" i="1"/>
  <c r="E30" i="1"/>
  <c r="A30" i="1"/>
  <c r="K8" i="8"/>
  <c r="AJ962" i="8"/>
  <c r="T29" i="1"/>
  <c r="AJ958" i="8"/>
  <c r="T28" i="1"/>
  <c r="AJ960" i="8"/>
  <c r="T30" i="1"/>
  <c r="B31" i="1"/>
  <c r="E31" i="1"/>
  <c r="C7" i="8"/>
  <c r="B958" i="8" s="1"/>
  <c r="A27" i="1"/>
  <c r="E29" i="1"/>
  <c r="A29" i="1"/>
  <c r="B29" i="1"/>
  <c r="T385" i="8" l="1"/>
  <c r="T379" i="8"/>
  <c r="AN381" i="8"/>
  <c r="AO381" i="8" s="1"/>
  <c r="AN393" i="8"/>
  <c r="AO393" i="8" s="1"/>
  <c r="T403" i="8"/>
  <c r="AN387" i="8"/>
  <c r="AO387" i="8" s="1"/>
  <c r="T367" i="8"/>
  <c r="E363" i="8" s="1"/>
  <c r="E387" i="8"/>
  <c r="T361" i="8"/>
  <c r="AN357" i="8" s="1"/>
  <c r="AO357" i="8" s="1"/>
  <c r="T373" i="8"/>
  <c r="AN369" i="8" s="1"/>
  <c r="AO369" i="8" s="1"/>
  <c r="AN375" i="8"/>
  <c r="AO375" i="8" s="1"/>
  <c r="T355" i="8"/>
  <c r="E375" i="8"/>
  <c r="T349" i="8"/>
  <c r="T325" i="8"/>
  <c r="AN321" i="8" s="1"/>
  <c r="AO321" i="8" s="1"/>
  <c r="T301" i="8"/>
  <c r="AN297" i="8" s="1"/>
  <c r="AO297" i="8" s="1"/>
  <c r="T337" i="8"/>
  <c r="AN333" i="8" s="1"/>
  <c r="AO333" i="8" s="1"/>
  <c r="T331" i="8"/>
  <c r="T319" i="8"/>
  <c r="T295" i="8"/>
  <c r="AN291" i="8" s="1"/>
  <c r="AO291" i="8" s="1"/>
  <c r="T313" i="8"/>
  <c r="E309" i="8" s="1"/>
  <c r="T307" i="8"/>
  <c r="E297" i="8"/>
  <c r="AG297" i="8" s="1"/>
  <c r="T785" i="8"/>
  <c r="E781" i="8" s="1"/>
  <c r="E156" i="36"/>
  <c r="E119" i="36"/>
  <c r="AG491" i="8"/>
  <c r="AH491" i="8" s="1"/>
  <c r="T503" i="8"/>
  <c r="E500" i="8" s="1"/>
  <c r="T507" i="8"/>
  <c r="E504" i="8" s="1"/>
  <c r="T499" i="8"/>
  <c r="B1039" i="8"/>
  <c r="B19" i="11" s="1"/>
  <c r="B1040" i="8"/>
  <c r="B30" i="11" s="1"/>
  <c r="B1041" i="8"/>
  <c r="B42" i="11" s="1"/>
  <c r="B1042" i="8"/>
  <c r="B54" i="11" s="1"/>
  <c r="B1043" i="8"/>
  <c r="B66" i="11" s="1"/>
  <c r="B1044" i="8"/>
  <c r="B78" i="11" s="1"/>
  <c r="B1045" i="8"/>
  <c r="B90" i="11" s="1"/>
  <c r="T861" i="8"/>
  <c r="E858" i="8" s="1"/>
  <c r="AG869" i="8"/>
  <c r="AH869" i="8" s="1"/>
  <c r="T978" i="8"/>
  <c r="T113" i="1" s="1"/>
  <c r="S113" i="1" s="1"/>
  <c r="T937" i="8"/>
  <c r="E934" i="8" s="1"/>
  <c r="T880" i="8"/>
  <c r="E877" i="8" s="1"/>
  <c r="T876" i="8"/>
  <c r="T842" i="8"/>
  <c r="E838" i="8" s="1"/>
  <c r="T933" i="8"/>
  <c r="E930" i="8" s="1"/>
  <c r="T749" i="8"/>
  <c r="E745" i="8" s="1"/>
  <c r="AG467" i="8"/>
  <c r="AH467" i="8" s="1"/>
  <c r="T479" i="8"/>
  <c r="E475" i="8" s="1"/>
  <c r="T733" i="8"/>
  <c r="E729" i="8" s="1"/>
  <c r="T474" i="8"/>
  <c r="T1267" i="36"/>
  <c r="R1267" i="36"/>
  <c r="AG773" i="8"/>
  <c r="AH773" i="8" s="1"/>
  <c r="T810" i="8"/>
  <c r="E806" i="8" s="1"/>
  <c r="AG798" i="8"/>
  <c r="T790" i="8"/>
  <c r="E786" i="8" s="1"/>
  <c r="T780" i="8"/>
  <c r="T805" i="8"/>
  <c r="T1026" i="8"/>
  <c r="T161" i="1" s="1"/>
  <c r="S161" i="1" s="1"/>
  <c r="T231" i="8"/>
  <c r="T53" i="8"/>
  <c r="T161" i="8"/>
  <c r="T281" i="8"/>
  <c r="T425" i="8"/>
  <c r="T67" i="8"/>
  <c r="T145" i="8"/>
  <c r="T155" i="8"/>
  <c r="T213" i="8"/>
  <c r="T275" i="8"/>
  <c r="T97" i="8"/>
  <c r="T443" i="8"/>
  <c r="T77" i="8"/>
  <c r="T109" i="8"/>
  <c r="T37" i="8"/>
  <c r="T181" i="8"/>
  <c r="T139" i="8"/>
  <c r="T129" i="8"/>
  <c r="T47" i="8"/>
  <c r="T431" i="8"/>
  <c r="T103" i="8"/>
  <c r="T263" i="8"/>
  <c r="T193" i="8"/>
  <c r="T123" i="8"/>
  <c r="T207" i="8"/>
  <c r="T243" i="8"/>
  <c r="T187" i="8"/>
  <c r="T237" i="8"/>
  <c r="T225" i="8"/>
  <c r="T249" i="8"/>
  <c r="T449" i="8"/>
  <c r="T437" i="8"/>
  <c r="T31" i="8"/>
  <c r="T219" i="8"/>
  <c r="T409" i="8"/>
  <c r="T1025" i="8"/>
  <c r="T160" i="1" s="1"/>
  <c r="S160" i="1" s="1"/>
  <c r="B1066" i="8"/>
  <c r="B310" i="11" s="1"/>
  <c r="B1067" i="8"/>
  <c r="B321" i="11" s="1"/>
  <c r="B1068" i="8"/>
  <c r="B334" i="11" s="1"/>
  <c r="B1050" i="8"/>
  <c r="B140" i="11" s="1"/>
  <c r="B1049" i="8"/>
  <c r="B125" i="11" s="1"/>
  <c r="B1065" i="8"/>
  <c r="B299" i="11" s="1"/>
  <c r="B1054" i="8"/>
  <c r="B189" i="11" s="1"/>
  <c r="B1058" i="8"/>
  <c r="B230" i="11" s="1"/>
  <c r="B1062" i="8"/>
  <c r="B266" i="11" s="1"/>
  <c r="B1051" i="8"/>
  <c r="B151" i="11" s="1"/>
  <c r="B1055" i="8"/>
  <c r="B199" i="11" s="1"/>
  <c r="B1059" i="8"/>
  <c r="B240" i="11" s="1"/>
  <c r="B1063" i="8"/>
  <c r="B277" i="11" s="1"/>
  <c r="B1052" i="8"/>
  <c r="B168" i="11" s="1"/>
  <c r="Q168" i="11" s="1"/>
  <c r="B1056" i="8"/>
  <c r="B210" i="11" s="1"/>
  <c r="B1060" i="8"/>
  <c r="B250" i="11" s="1"/>
  <c r="B1064" i="8"/>
  <c r="B288" i="11" s="1"/>
  <c r="B1053" i="8"/>
  <c r="B179" i="11" s="1"/>
  <c r="B1057" i="8"/>
  <c r="B220" i="11" s="1"/>
  <c r="B1061" i="8"/>
  <c r="B258" i="11" s="1"/>
  <c r="T982" i="8"/>
  <c r="T117" i="1" s="1"/>
  <c r="S117" i="1" s="1"/>
  <c r="T1021" i="8"/>
  <c r="T156" i="1" s="1"/>
  <c r="S156" i="1" s="1"/>
  <c r="T1024" i="8"/>
  <c r="T159" i="1" s="1"/>
  <c r="S159" i="1" s="1"/>
  <c r="B1048" i="8"/>
  <c r="B106" i="11" s="1"/>
  <c r="T976" i="8"/>
  <c r="T111" i="1" s="1"/>
  <c r="S111" i="1" s="1"/>
  <c r="T1008" i="8"/>
  <c r="T143" i="1" s="1"/>
  <c r="S143" i="1" s="1"/>
  <c r="A32" i="1"/>
  <c r="B32" i="1"/>
  <c r="E32" i="1"/>
  <c r="S154" i="1"/>
  <c r="R123" i="1"/>
  <c r="E321" i="8" l="1"/>
  <c r="F321" i="8" s="1"/>
  <c r="T321" i="8" s="1"/>
  <c r="F363" i="8"/>
  <c r="T363" i="8" s="1"/>
  <c r="AG363" i="8"/>
  <c r="AN363" i="8"/>
  <c r="AO363" i="8" s="1"/>
  <c r="AN399" i="8"/>
  <c r="AO399" i="8" s="1"/>
  <c r="E399" i="8"/>
  <c r="F387" i="8"/>
  <c r="T387" i="8" s="1"/>
  <c r="AG387" i="8"/>
  <c r="AN345" i="8"/>
  <c r="AO345" i="8" s="1"/>
  <c r="F375" i="8"/>
  <c r="T375" i="8" s="1"/>
  <c r="AG375" i="8"/>
  <c r="AN351" i="8"/>
  <c r="AO351" i="8" s="1"/>
  <c r="E351" i="8"/>
  <c r="AH363" i="8"/>
  <c r="AI363" i="8"/>
  <c r="AJ363" i="8" s="1"/>
  <c r="E333" i="8"/>
  <c r="AG333" i="8" s="1"/>
  <c r="AN309" i="8"/>
  <c r="AO309" i="8" s="1"/>
  <c r="AN315" i="8"/>
  <c r="AO315" i="8" s="1"/>
  <c r="AN327" i="8"/>
  <c r="AO327" i="8" s="1"/>
  <c r="F309" i="8"/>
  <c r="T309" i="8" s="1"/>
  <c r="AG309" i="8"/>
  <c r="AH309" i="8" s="1"/>
  <c r="AN303" i="8"/>
  <c r="AO303" i="8" s="1"/>
  <c r="E433" i="8"/>
  <c r="AG433" i="8" s="1"/>
  <c r="E239" i="8"/>
  <c r="AG239" i="8" s="1"/>
  <c r="E99" i="8"/>
  <c r="AG99" i="8" s="1"/>
  <c r="E73" i="8"/>
  <c r="AG73" i="8" s="1"/>
  <c r="AN63" i="8"/>
  <c r="AO63" i="8" s="1"/>
  <c r="E63" i="8"/>
  <c r="AG63" i="8" s="1"/>
  <c r="E203" i="8"/>
  <c r="AG203" i="8" s="1"/>
  <c r="E427" i="8"/>
  <c r="AG427" i="8" s="1"/>
  <c r="T439" i="8"/>
  <c r="E439" i="8"/>
  <c r="AG439" i="8" s="1"/>
  <c r="AN421" i="8"/>
  <c r="AO421" i="8" s="1"/>
  <c r="E421" i="8"/>
  <c r="AG421" i="8" s="1"/>
  <c r="E245" i="8"/>
  <c r="AG245" i="8" s="1"/>
  <c r="E119" i="8"/>
  <c r="AG119" i="8" s="1"/>
  <c r="E125" i="8"/>
  <c r="AG125" i="8" s="1"/>
  <c r="E271" i="8"/>
  <c r="AG271" i="8" s="1"/>
  <c r="E445" i="8"/>
  <c r="AG445" i="8" s="1"/>
  <c r="E43" i="8"/>
  <c r="AG43" i="8" s="1"/>
  <c r="E93" i="8"/>
  <c r="AG93" i="8" s="1"/>
  <c r="E405" i="8"/>
  <c r="AG405" i="8" s="1"/>
  <c r="E221" i="8"/>
  <c r="AG221" i="8" s="1"/>
  <c r="E189" i="8"/>
  <c r="AG189" i="8" s="1"/>
  <c r="E135" i="8"/>
  <c r="AG135" i="8" s="1"/>
  <c r="E209" i="8"/>
  <c r="AG209" i="8" s="1"/>
  <c r="E277" i="8"/>
  <c r="AG277" i="8" s="1"/>
  <c r="E233" i="8"/>
  <c r="AG233" i="8" s="1"/>
  <c r="E177" i="8"/>
  <c r="AG177" i="8" s="1"/>
  <c r="AN151" i="8"/>
  <c r="AO151" i="8" s="1"/>
  <c r="E151" i="8"/>
  <c r="AG151" i="8" s="1"/>
  <c r="E157" i="8"/>
  <c r="AG157" i="8" s="1"/>
  <c r="E215" i="8"/>
  <c r="AG215" i="8" s="1"/>
  <c r="E33" i="8"/>
  <c r="AG33" i="8" s="1"/>
  <c r="E141" i="8"/>
  <c r="AG141" i="8" s="1"/>
  <c r="AN49" i="8"/>
  <c r="AO49" i="8" s="1"/>
  <c r="E49" i="8"/>
  <c r="AG49" i="8" s="1"/>
  <c r="E27" i="8"/>
  <c r="AG27" i="8" s="1"/>
  <c r="E183" i="8"/>
  <c r="AG183" i="8" s="1"/>
  <c r="E259" i="8"/>
  <c r="AG259" i="8" s="1"/>
  <c r="E105" i="8"/>
  <c r="AG105" i="8" s="1"/>
  <c r="E227" i="8"/>
  <c r="AG227" i="8" s="1"/>
  <c r="T509" i="8"/>
  <c r="E494" i="8"/>
  <c r="Q90" i="11"/>
  <c r="Q78" i="11"/>
  <c r="Q66" i="11"/>
  <c r="A69" i="11" s="1"/>
  <c r="Q54" i="11"/>
  <c r="A58" i="11" s="1"/>
  <c r="Q42" i="11"/>
  <c r="Q30" i="11"/>
  <c r="A32" i="11" s="1"/>
  <c r="Q19" i="11"/>
  <c r="A21" i="11" s="1"/>
  <c r="T955" i="8"/>
  <c r="T25" i="1" s="1"/>
  <c r="T882" i="8"/>
  <c r="E872" i="8"/>
  <c r="T481" i="8"/>
  <c r="E470" i="8"/>
  <c r="T169" i="1"/>
  <c r="T792" i="8"/>
  <c r="E776" i="8"/>
  <c r="T812" i="8"/>
  <c r="E801" i="8"/>
  <c r="AH798" i="8"/>
  <c r="AN157" i="8"/>
  <c r="AO157" i="8" s="1"/>
  <c r="AN227" i="8"/>
  <c r="AO227" i="8" s="1"/>
  <c r="AN141" i="8"/>
  <c r="AO141" i="8" s="1"/>
  <c r="T1034" i="8"/>
  <c r="AN209" i="8"/>
  <c r="AO209" i="8" s="1"/>
  <c r="AN277" i="8"/>
  <c r="AO277" i="8" s="1"/>
  <c r="AN433" i="8"/>
  <c r="AO433" i="8" s="1"/>
  <c r="AN125" i="8"/>
  <c r="AO125" i="8" s="1"/>
  <c r="AN177" i="8"/>
  <c r="AO177" i="8" s="1"/>
  <c r="AN189" i="8"/>
  <c r="AO189" i="8" s="1"/>
  <c r="AN43" i="8"/>
  <c r="AO43" i="8" s="1"/>
  <c r="AN445" i="8"/>
  <c r="AO445" i="8" s="1"/>
  <c r="AN135" i="8"/>
  <c r="AO135" i="8" s="1"/>
  <c r="AN33" i="8"/>
  <c r="AO33" i="8" s="1"/>
  <c r="AN93" i="8"/>
  <c r="AO93" i="8" s="1"/>
  <c r="AN27" i="8"/>
  <c r="AO27" i="8" s="1"/>
  <c r="AN203" i="8"/>
  <c r="AO203" i="8" s="1"/>
  <c r="AN439" i="8"/>
  <c r="AO439" i="8" s="1"/>
  <c r="AN245" i="8"/>
  <c r="AO245" i="8" s="1"/>
  <c r="AN233" i="8"/>
  <c r="AO233" i="8" s="1"/>
  <c r="AN119" i="8"/>
  <c r="AO119" i="8" s="1"/>
  <c r="AN271" i="8"/>
  <c r="AO271" i="8" s="1"/>
  <c r="AN405" i="8"/>
  <c r="AO405" i="8" s="1"/>
  <c r="AN221" i="8"/>
  <c r="AO221" i="8" s="1"/>
  <c r="AN259" i="8"/>
  <c r="AO259" i="8" s="1"/>
  <c r="AN183" i="8"/>
  <c r="AO183" i="8" s="1"/>
  <c r="AN99" i="8"/>
  <c r="AO99" i="8" s="1"/>
  <c r="AN105" i="8"/>
  <c r="AO105" i="8" s="1"/>
  <c r="AN215" i="8"/>
  <c r="AO215" i="8" s="1"/>
  <c r="AN239" i="8"/>
  <c r="AO239" i="8" s="1"/>
  <c r="AN427" i="8"/>
  <c r="AO427" i="8" s="1"/>
  <c r="AN73" i="8"/>
  <c r="AO73" i="8" s="1"/>
  <c r="T954" i="8"/>
  <c r="T24" i="1" s="1"/>
  <c r="A174" i="11"/>
  <c r="T174" i="11" s="1"/>
  <c r="A175" i="11"/>
  <c r="Q334" i="11"/>
  <c r="Q321" i="11"/>
  <c r="Q310" i="11"/>
  <c r="A313" i="11" s="1"/>
  <c r="Q125" i="11"/>
  <c r="A172" i="11"/>
  <c r="R172" i="11" s="1"/>
  <c r="A173" i="11"/>
  <c r="A170" i="11"/>
  <c r="T170" i="11" s="1"/>
  <c r="A171" i="11"/>
  <c r="Q299" i="11"/>
  <c r="Q220" i="11"/>
  <c r="A226" i="11" s="1"/>
  <c r="Q199" i="11"/>
  <c r="A206" i="11" s="1"/>
  <c r="Q179" i="11"/>
  <c r="A185" i="11" s="1"/>
  <c r="Q151" i="11"/>
  <c r="A164" i="11" s="1"/>
  <c r="Q210" i="11"/>
  <c r="A216" i="11" s="1"/>
  <c r="Q189" i="11"/>
  <c r="A195" i="11" s="1"/>
  <c r="Q288" i="11"/>
  <c r="Q277" i="11"/>
  <c r="Q266" i="11"/>
  <c r="Q258" i="11"/>
  <c r="Q250" i="11"/>
  <c r="Q240" i="11"/>
  <c r="A246" i="11" s="1"/>
  <c r="Q230" i="11"/>
  <c r="A236" i="11" s="1"/>
  <c r="Q140" i="11"/>
  <c r="Q106" i="11"/>
  <c r="AG321" i="8" l="1"/>
  <c r="AH321" i="8" s="1"/>
  <c r="AI321" i="8"/>
  <c r="AJ321" i="8" s="1"/>
  <c r="AH387" i="8"/>
  <c r="AI387" i="8"/>
  <c r="AJ387" i="8" s="1"/>
  <c r="F399" i="8"/>
  <c r="T399" i="8" s="1"/>
  <c r="AG399" i="8"/>
  <c r="F333" i="8"/>
  <c r="T333" i="8" s="1"/>
  <c r="AH375" i="8"/>
  <c r="AI375" i="8"/>
  <c r="AJ375" i="8" s="1"/>
  <c r="AK363" i="8"/>
  <c r="AG351" i="8"/>
  <c r="AI351" i="8" s="1"/>
  <c r="AJ351" i="8" s="1"/>
  <c r="F351" i="8"/>
  <c r="T351" i="8" s="1"/>
  <c r="AH333" i="8"/>
  <c r="AI333" i="8"/>
  <c r="AJ333" i="8" s="1"/>
  <c r="AK321" i="8"/>
  <c r="AI309" i="8"/>
  <c r="AJ309" i="8" s="1"/>
  <c r="H190" i="31"/>
  <c r="E128" i="34"/>
  <c r="F128" i="34" s="1"/>
  <c r="H183" i="31"/>
  <c r="E112" i="34"/>
  <c r="F112" i="34" s="1"/>
  <c r="E126" i="34"/>
  <c r="F126" i="34" s="1"/>
  <c r="E77" i="34"/>
  <c r="F77" i="34" s="1"/>
  <c r="E205" i="34"/>
  <c r="F205" i="34" s="1"/>
  <c r="E110" i="34"/>
  <c r="F110" i="34" s="1"/>
  <c r="E122" i="34"/>
  <c r="F122" i="34" s="1"/>
  <c r="E245" i="34"/>
  <c r="F245" i="34" s="1"/>
  <c r="E82" i="34"/>
  <c r="F82" i="34" s="1"/>
  <c r="E235" i="34"/>
  <c r="F235" i="34" s="1"/>
  <c r="E65" i="34"/>
  <c r="F65" i="34" s="1"/>
  <c r="F227" i="8"/>
  <c r="T227" i="8" s="1"/>
  <c r="F277" i="8"/>
  <c r="T277" i="8" s="1"/>
  <c r="H30" i="31"/>
  <c r="E162" i="34"/>
  <c r="F162" i="34" s="1"/>
  <c r="E15" i="34"/>
  <c r="F15" i="34" s="1"/>
  <c r="E242" i="34"/>
  <c r="F242" i="34" s="1"/>
  <c r="E20" i="34"/>
  <c r="F20" i="34" s="1"/>
  <c r="E134" i="34"/>
  <c r="F134" i="34" s="1"/>
  <c r="E75" i="34"/>
  <c r="F75" i="34" s="1"/>
  <c r="E33" i="34"/>
  <c r="F33" i="34" s="1"/>
  <c r="E68" i="34"/>
  <c r="F68" i="34" s="1"/>
  <c r="E114" i="34"/>
  <c r="F114" i="34" s="1"/>
  <c r="E238" i="34"/>
  <c r="F238" i="34" s="1"/>
  <c r="E132" i="34"/>
  <c r="F132" i="34" s="1"/>
  <c r="E13" i="34"/>
  <c r="F13" i="34" s="1"/>
  <c r="E144" i="34"/>
  <c r="F144" i="34" s="1"/>
  <c r="E159" i="34"/>
  <c r="F159" i="34" s="1"/>
  <c r="E136" i="34"/>
  <c r="F136" i="34" s="1"/>
  <c r="E62" i="34"/>
  <c r="F62" i="34" s="1"/>
  <c r="E130" i="34"/>
  <c r="F130" i="34" s="1"/>
  <c r="A56" i="11"/>
  <c r="A57" i="11"/>
  <c r="A22" i="11"/>
  <c r="A33" i="11"/>
  <c r="AN491" i="8"/>
  <c r="AO491" i="8" s="1"/>
  <c r="A95" i="11"/>
  <c r="A97" i="11"/>
  <c r="A92" i="11"/>
  <c r="A98" i="11"/>
  <c r="A93" i="11"/>
  <c r="A94" i="11"/>
  <c r="A96" i="11"/>
  <c r="A81" i="11"/>
  <c r="A83" i="11"/>
  <c r="A85" i="11"/>
  <c r="A84" i="11"/>
  <c r="A82" i="11"/>
  <c r="A80" i="11"/>
  <c r="A86" i="11"/>
  <c r="A74" i="11"/>
  <c r="A71" i="11"/>
  <c r="A73" i="11"/>
  <c r="A72" i="11"/>
  <c r="A68" i="11"/>
  <c r="A70" i="11"/>
  <c r="A61" i="11"/>
  <c r="A59" i="11"/>
  <c r="A60" i="11"/>
  <c r="A62" i="11"/>
  <c r="A44" i="11"/>
  <c r="A49" i="11"/>
  <c r="A45" i="11"/>
  <c r="A48" i="11"/>
  <c r="A47" i="11"/>
  <c r="A46" i="11"/>
  <c r="A50" i="11"/>
  <c r="A35" i="11"/>
  <c r="A36" i="11"/>
  <c r="A37" i="11"/>
  <c r="A34" i="11"/>
  <c r="A38" i="11"/>
  <c r="A23" i="11"/>
  <c r="A25" i="11"/>
  <c r="A24" i="11"/>
  <c r="A26" i="11"/>
  <c r="AJ955" i="8"/>
  <c r="AN869" i="8"/>
  <c r="AO869" i="8" s="1"/>
  <c r="AN467" i="8"/>
  <c r="AO467" i="8" s="1"/>
  <c r="AN798" i="8"/>
  <c r="AO798" i="8" s="1"/>
  <c r="AN773" i="8"/>
  <c r="AO773" i="8" s="1"/>
  <c r="AI157" i="8"/>
  <c r="AJ157" i="8" s="1"/>
  <c r="E91" i="34"/>
  <c r="F91" i="34" s="1"/>
  <c r="AH151" i="8"/>
  <c r="E89" i="34"/>
  <c r="F89" i="34" s="1"/>
  <c r="F209" i="8"/>
  <c r="T209" i="8" s="1"/>
  <c r="E124" i="34"/>
  <c r="F124" i="34" s="1"/>
  <c r="AI49" i="8"/>
  <c r="AJ49" i="8" s="1"/>
  <c r="E22" i="34"/>
  <c r="F22" i="34" s="1"/>
  <c r="F141" i="8"/>
  <c r="T141" i="8" s="1"/>
  <c r="E84" i="34"/>
  <c r="F84" i="34" s="1"/>
  <c r="F63" i="8"/>
  <c r="T63" i="8" s="1"/>
  <c r="E28" i="34"/>
  <c r="F28" i="34" s="1"/>
  <c r="F421" i="8"/>
  <c r="E232" i="34"/>
  <c r="F232" i="34" s="1"/>
  <c r="F49" i="8"/>
  <c r="T49" i="8" s="1"/>
  <c r="AH141" i="8"/>
  <c r="F157" i="8"/>
  <c r="T157" i="8" s="1"/>
  <c r="AI421" i="8"/>
  <c r="AJ421" i="8" s="1"/>
  <c r="AI63" i="8"/>
  <c r="AJ63" i="8" s="1"/>
  <c r="F151" i="8"/>
  <c r="T151" i="8" s="1"/>
  <c r="AI209" i="8"/>
  <c r="AJ209" i="8" s="1"/>
  <c r="F105" i="8"/>
  <c r="T105" i="8" s="1"/>
  <c r="AH277" i="8"/>
  <c r="AI93" i="8"/>
  <c r="AJ93" i="8" s="1"/>
  <c r="F93" i="8"/>
  <c r="F189" i="8"/>
  <c r="T189" i="8" s="1"/>
  <c r="AI189" i="8"/>
  <c r="AJ189" i="8" s="1"/>
  <c r="F239" i="8"/>
  <c r="T239" i="8" s="1"/>
  <c r="AI239" i="8"/>
  <c r="AJ239" i="8" s="1"/>
  <c r="F183" i="8"/>
  <c r="T183" i="8" s="1"/>
  <c r="F245" i="8"/>
  <c r="T245" i="8" s="1"/>
  <c r="AI245" i="8"/>
  <c r="AJ245" i="8" s="1"/>
  <c r="F445" i="8"/>
  <c r="T445" i="8" s="1"/>
  <c r="AI259" i="8"/>
  <c r="AJ259" i="8" s="1"/>
  <c r="F259" i="8"/>
  <c r="T259" i="8" s="1"/>
  <c r="F203" i="8"/>
  <c r="T203" i="8" s="1"/>
  <c r="AI427" i="8"/>
  <c r="AJ427" i="8" s="1"/>
  <c r="F427" i="8"/>
  <c r="T427" i="8" s="1"/>
  <c r="AI99" i="8"/>
  <c r="AJ99" i="8" s="1"/>
  <c r="F99" i="8"/>
  <c r="T99" i="8" s="1"/>
  <c r="F271" i="8"/>
  <c r="AI271" i="8"/>
  <c r="AJ271" i="8" s="1"/>
  <c r="F119" i="8"/>
  <c r="T119" i="8" s="1"/>
  <c r="F33" i="8"/>
  <c r="T33" i="8" s="1"/>
  <c r="AI33" i="8"/>
  <c r="AJ33" i="8" s="1"/>
  <c r="AI177" i="8"/>
  <c r="AJ177" i="8" s="1"/>
  <c r="F177" i="8"/>
  <c r="AI215" i="8"/>
  <c r="AJ215" i="8" s="1"/>
  <c r="F215" i="8"/>
  <c r="T215" i="8" s="1"/>
  <c r="F221" i="8"/>
  <c r="T221" i="8" s="1"/>
  <c r="AI221" i="8"/>
  <c r="AJ221" i="8" s="1"/>
  <c r="AI27" i="8"/>
  <c r="AJ27" i="8" s="1"/>
  <c r="F27" i="8"/>
  <c r="F43" i="8"/>
  <c r="T43" i="8" s="1"/>
  <c r="F433" i="8"/>
  <c r="T433" i="8" s="1"/>
  <c r="AI277" i="8"/>
  <c r="AJ277" i="8" s="1"/>
  <c r="F233" i="8"/>
  <c r="T233" i="8" s="1"/>
  <c r="F135" i="8"/>
  <c r="T135" i="8" s="1"/>
  <c r="AI125" i="8"/>
  <c r="AJ125" i="8" s="1"/>
  <c r="F125" i="8"/>
  <c r="T125" i="8" s="1"/>
  <c r="F73" i="8"/>
  <c r="T73" i="8" s="1"/>
  <c r="AI73" i="8"/>
  <c r="AJ73" i="8" s="1"/>
  <c r="F405" i="8"/>
  <c r="T405" i="8" s="1"/>
  <c r="AI405" i="8"/>
  <c r="AJ405" i="8" s="1"/>
  <c r="F439" i="8"/>
  <c r="AI227" i="8"/>
  <c r="AJ227" i="8" s="1"/>
  <c r="AH227" i="8"/>
  <c r="AJ954" i="8"/>
  <c r="R174" i="11"/>
  <c r="A204" i="11"/>
  <c r="A205" i="11"/>
  <c r="R205" i="11" s="1"/>
  <c r="A203" i="11"/>
  <c r="R203" i="11" s="1"/>
  <c r="R176" i="11"/>
  <c r="T176" i="11"/>
  <c r="A304" i="11"/>
  <c r="A305" i="11"/>
  <c r="A282" i="11"/>
  <c r="A283" i="11"/>
  <c r="A293" i="11"/>
  <c r="A294" i="11"/>
  <c r="A271" i="11"/>
  <c r="A272" i="11"/>
  <c r="A270" i="11"/>
  <c r="A269" i="11"/>
  <c r="A268" i="11"/>
  <c r="R268" i="11" s="1"/>
  <c r="A273" i="11"/>
  <c r="A295" i="11"/>
  <c r="A292" i="11"/>
  <c r="A291" i="11"/>
  <c r="A290" i="11"/>
  <c r="A281" i="11"/>
  <c r="A284" i="11"/>
  <c r="A280" i="11"/>
  <c r="A279" i="11"/>
  <c r="T279" i="11" s="1"/>
  <c r="A316" i="11"/>
  <c r="A317" i="11"/>
  <c r="A315" i="11"/>
  <c r="A345" i="11"/>
  <c r="A314" i="11"/>
  <c r="A330" i="11"/>
  <c r="A329" i="11"/>
  <c r="A328" i="11"/>
  <c r="A327" i="11"/>
  <c r="A326" i="11"/>
  <c r="A325" i="11"/>
  <c r="A324" i="11"/>
  <c r="A344" i="11"/>
  <c r="R344" i="11" s="1"/>
  <c r="A342" i="11"/>
  <c r="A343" i="11"/>
  <c r="A340" i="11"/>
  <c r="A341" i="11"/>
  <c r="A338" i="11"/>
  <c r="A339" i="11"/>
  <c r="A337" i="11"/>
  <c r="A158" i="11"/>
  <c r="A119" i="11"/>
  <c r="A112" i="11"/>
  <c r="R112" i="11" s="1"/>
  <c r="A135" i="11"/>
  <c r="A133" i="11"/>
  <c r="A134" i="11"/>
  <c r="A131" i="11"/>
  <c r="A129" i="11"/>
  <c r="A136" i="11"/>
  <c r="A128" i="11"/>
  <c r="A130" i="11"/>
  <c r="A160" i="11"/>
  <c r="R160" i="11" s="1"/>
  <c r="A161" i="11"/>
  <c r="A154" i="11"/>
  <c r="R154" i="11" s="1"/>
  <c r="A155" i="11"/>
  <c r="A162" i="11"/>
  <c r="A163" i="11"/>
  <c r="A157" i="11"/>
  <c r="A156" i="11"/>
  <c r="A146" i="11"/>
  <c r="R146" i="11" s="1"/>
  <c r="A147" i="11"/>
  <c r="A143" i="11"/>
  <c r="R143" i="11" s="1"/>
  <c r="A144" i="11"/>
  <c r="A117" i="11"/>
  <c r="R117" i="11" s="1"/>
  <c r="A110" i="11"/>
  <c r="A120" i="11"/>
  <c r="R120" i="11" s="1"/>
  <c r="A121" i="11"/>
  <c r="A118" i="11"/>
  <c r="A114" i="11"/>
  <c r="R114" i="11" s="1"/>
  <c r="A116" i="11"/>
  <c r="A111" i="11"/>
  <c r="R111" i="11" s="1"/>
  <c r="A113" i="11"/>
  <c r="A109" i="11"/>
  <c r="R109" i="11" s="1"/>
  <c r="A262" i="11"/>
  <c r="R262" i="11" s="1"/>
  <c r="A260" i="11"/>
  <c r="T260" i="11" s="1"/>
  <c r="A261" i="11"/>
  <c r="A254" i="11"/>
  <c r="R254" i="11" s="1"/>
  <c r="A252" i="11"/>
  <c r="R252" i="11" s="1"/>
  <c r="A253" i="11"/>
  <c r="R246" i="11"/>
  <c r="T246" i="11"/>
  <c r="A244" i="11"/>
  <c r="R244" i="11" s="1"/>
  <c r="A245" i="11"/>
  <c r="A242" i="11"/>
  <c r="R242" i="11" s="1"/>
  <c r="A243" i="11"/>
  <c r="R236" i="11"/>
  <c r="T236" i="11"/>
  <c r="A234" i="11"/>
  <c r="R234" i="11" s="1"/>
  <c r="A235" i="11"/>
  <c r="A232" i="11"/>
  <c r="R232" i="11" s="1"/>
  <c r="A233" i="11"/>
  <c r="R226" i="11"/>
  <c r="T226" i="11"/>
  <c r="A224" i="11"/>
  <c r="R224" i="11" s="1"/>
  <c r="A225" i="11"/>
  <c r="A222" i="11"/>
  <c r="R222" i="11" s="1"/>
  <c r="A223" i="11"/>
  <c r="R216" i="11"/>
  <c r="T216" i="11"/>
  <c r="A214" i="11"/>
  <c r="R214" i="11" s="1"/>
  <c r="A215" i="11"/>
  <c r="A212" i="11"/>
  <c r="R212" i="11" s="1"/>
  <c r="A213" i="11"/>
  <c r="A201" i="11"/>
  <c r="R201" i="11" s="1"/>
  <c r="A202" i="11"/>
  <c r="R195" i="11"/>
  <c r="T195" i="11"/>
  <c r="A193" i="11"/>
  <c r="R193" i="11" s="1"/>
  <c r="A194" i="11"/>
  <c r="A191" i="11"/>
  <c r="T191" i="11" s="1"/>
  <c r="A192" i="11"/>
  <c r="T172" i="11"/>
  <c r="R185" i="11"/>
  <c r="T185" i="11"/>
  <c r="A183" i="11"/>
  <c r="T183" i="11" s="1"/>
  <c r="A184" i="11"/>
  <c r="A181" i="11"/>
  <c r="R181" i="11" s="1"/>
  <c r="A182" i="11"/>
  <c r="R170" i="11"/>
  <c r="R173" i="11"/>
  <c r="T173" i="11"/>
  <c r="R171" i="11"/>
  <c r="T171" i="11"/>
  <c r="A306" i="11"/>
  <c r="A302" i="11"/>
  <c r="A303" i="11"/>
  <c r="A301" i="11"/>
  <c r="AK309" i="8" l="1"/>
  <c r="AH399" i="8"/>
  <c r="AI399" i="8"/>
  <c r="AJ399" i="8" s="1"/>
  <c r="AK387" i="8"/>
  <c r="AH351" i="8"/>
  <c r="AK351" i="8"/>
  <c r="AK375" i="8"/>
  <c r="AK333" i="8"/>
  <c r="T421" i="8"/>
  <c r="T452" i="8" s="1"/>
  <c r="F452" i="8"/>
  <c r="T27" i="8"/>
  <c r="T80" i="8" s="1"/>
  <c r="F80" i="8"/>
  <c r="T271" i="8"/>
  <c r="T93" i="8"/>
  <c r="T164" i="8" s="1"/>
  <c r="F164" i="8"/>
  <c r="T177" i="8"/>
  <c r="T266" i="8" s="1"/>
  <c r="F266" i="8"/>
  <c r="F269" i="34"/>
  <c r="F25" i="31" s="1"/>
  <c r="F150" i="34"/>
  <c r="F19" i="31" s="1"/>
  <c r="R94" i="11"/>
  <c r="T94" i="11"/>
  <c r="R96" i="11"/>
  <c r="T96" i="11"/>
  <c r="R98" i="11"/>
  <c r="T98" i="11"/>
  <c r="R93" i="11"/>
  <c r="T93" i="11"/>
  <c r="R92" i="11"/>
  <c r="T92" i="11"/>
  <c r="R97" i="11"/>
  <c r="T97" i="11"/>
  <c r="R95" i="11"/>
  <c r="T95" i="11"/>
  <c r="R80" i="11"/>
  <c r="T80" i="11"/>
  <c r="R82" i="11"/>
  <c r="T82" i="11"/>
  <c r="R84" i="11"/>
  <c r="T84" i="11"/>
  <c r="R85" i="11"/>
  <c r="T85" i="11"/>
  <c r="R83" i="11"/>
  <c r="T83" i="11"/>
  <c r="R86" i="11"/>
  <c r="T86" i="11"/>
  <c r="R81" i="11"/>
  <c r="T81" i="11"/>
  <c r="R68" i="11"/>
  <c r="T68" i="11"/>
  <c r="R72" i="11"/>
  <c r="T72" i="11"/>
  <c r="R70" i="11"/>
  <c r="T70" i="11"/>
  <c r="R73" i="11"/>
  <c r="T73" i="11"/>
  <c r="R69" i="11"/>
  <c r="T69" i="11"/>
  <c r="R71" i="11"/>
  <c r="T71" i="11"/>
  <c r="R74" i="11"/>
  <c r="T74" i="11"/>
  <c r="R62" i="11"/>
  <c r="T62" i="11"/>
  <c r="R57" i="11"/>
  <c r="T57" i="11"/>
  <c r="R60" i="11"/>
  <c r="T60" i="11"/>
  <c r="R58" i="11"/>
  <c r="T58" i="11"/>
  <c r="R59" i="11"/>
  <c r="T59" i="11"/>
  <c r="R61" i="11"/>
  <c r="T61" i="11"/>
  <c r="R56" i="11"/>
  <c r="T56" i="11"/>
  <c r="R46" i="11"/>
  <c r="T46" i="11"/>
  <c r="R50" i="11"/>
  <c r="T50" i="11"/>
  <c r="R47" i="11"/>
  <c r="T47" i="11"/>
  <c r="R45" i="11"/>
  <c r="T45" i="11"/>
  <c r="R48" i="11"/>
  <c r="T48" i="11"/>
  <c r="R49" i="11"/>
  <c r="T49" i="11"/>
  <c r="R44" i="11"/>
  <c r="T44" i="11"/>
  <c r="R37" i="11"/>
  <c r="T37" i="11"/>
  <c r="R36" i="11"/>
  <c r="T36" i="11"/>
  <c r="R34" i="11"/>
  <c r="T34" i="11"/>
  <c r="R32" i="11"/>
  <c r="T32" i="11"/>
  <c r="R38" i="11"/>
  <c r="T38" i="11"/>
  <c r="R35" i="11"/>
  <c r="T35" i="11"/>
  <c r="R33" i="11"/>
  <c r="T33" i="11"/>
  <c r="R26" i="11"/>
  <c r="T26" i="11"/>
  <c r="R24" i="11"/>
  <c r="T24" i="11"/>
  <c r="R25" i="11"/>
  <c r="T25" i="11"/>
  <c r="R22" i="11"/>
  <c r="T22" i="11"/>
  <c r="R23" i="11"/>
  <c r="T23" i="11"/>
  <c r="R21" i="11"/>
  <c r="T21" i="11"/>
  <c r="F49" i="34"/>
  <c r="F15" i="31" s="1"/>
  <c r="AH157" i="8"/>
  <c r="AK49" i="8"/>
  <c r="AH49" i="8"/>
  <c r="F98" i="34"/>
  <c r="F17" i="31" s="1"/>
  <c r="AK157" i="8"/>
  <c r="AI151" i="8"/>
  <c r="AJ151" i="8" s="1"/>
  <c r="AI141" i="8"/>
  <c r="AJ141" i="8" s="1"/>
  <c r="AK63" i="8"/>
  <c r="AH421" i="8"/>
  <c r="AH63" i="8"/>
  <c r="AK421" i="8"/>
  <c r="AH209" i="8"/>
  <c r="AK209" i="8"/>
  <c r="AH233" i="8"/>
  <c r="AI43" i="8"/>
  <c r="AJ43" i="8" s="1"/>
  <c r="AH43" i="8"/>
  <c r="AH119" i="8"/>
  <c r="AH203" i="8"/>
  <c r="AH445" i="8"/>
  <c r="AH125" i="8"/>
  <c r="AK125" i="8"/>
  <c r="AH135" i="8"/>
  <c r="AK27" i="8"/>
  <c r="AH27" i="8"/>
  <c r="AH177" i="8"/>
  <c r="AK177" i="8"/>
  <c r="AK259" i="8"/>
  <c r="AH259" i="8"/>
  <c r="AH189" i="8"/>
  <c r="AK189" i="8"/>
  <c r="AK277" i="8"/>
  <c r="AH439" i="8"/>
  <c r="AI445" i="8"/>
  <c r="AJ445" i="8" s="1"/>
  <c r="AI135" i="8"/>
  <c r="AJ135" i="8" s="1"/>
  <c r="AI433" i="8"/>
  <c r="AJ433" i="8" s="1"/>
  <c r="AH433" i="8"/>
  <c r="AI439" i="8"/>
  <c r="AJ439" i="8" s="1"/>
  <c r="AH271" i="8"/>
  <c r="AK271" i="8"/>
  <c r="AH427" i="8"/>
  <c r="AK427" i="8"/>
  <c r="AK33" i="8"/>
  <c r="AH33" i="8"/>
  <c r="AK227" i="8"/>
  <c r="AH73" i="8"/>
  <c r="AK73" i="8"/>
  <c r="AK221" i="8"/>
  <c r="AH221" i="8"/>
  <c r="AK215" i="8"/>
  <c r="AH215" i="8"/>
  <c r="AI203" i="8"/>
  <c r="AJ203" i="8" s="1"/>
  <c r="AI183" i="8"/>
  <c r="AJ183" i="8" s="1"/>
  <c r="AH183" i="8"/>
  <c r="AH105" i="8"/>
  <c r="AK405" i="8"/>
  <c r="AH405" i="8"/>
  <c r="AI233" i="8"/>
  <c r="AJ233" i="8" s="1"/>
  <c r="AI119" i="8"/>
  <c r="AJ119" i="8" s="1"/>
  <c r="AH99" i="8"/>
  <c r="AK99" i="8"/>
  <c r="AH245" i="8"/>
  <c r="AK245" i="8"/>
  <c r="AH239" i="8"/>
  <c r="AK239" i="8"/>
  <c r="AK93" i="8"/>
  <c r="AH93" i="8"/>
  <c r="AI105" i="8"/>
  <c r="AJ105" i="8" s="1"/>
  <c r="T175" i="11"/>
  <c r="T177" i="11" s="1"/>
  <c r="T168" i="11" s="1"/>
  <c r="R175" i="11"/>
  <c r="R177" i="11" s="1"/>
  <c r="R168" i="11" s="1"/>
  <c r="T205" i="11"/>
  <c r="R206" i="11"/>
  <c r="T206" i="11"/>
  <c r="T268" i="11"/>
  <c r="T313" i="11"/>
  <c r="R313" i="11"/>
  <c r="R316" i="11"/>
  <c r="T316" i="11"/>
  <c r="T317" i="11"/>
  <c r="R317" i="11"/>
  <c r="T344" i="11"/>
  <c r="R345" i="11"/>
  <c r="T345" i="11"/>
  <c r="T112" i="11"/>
  <c r="T164" i="11"/>
  <c r="R164" i="11"/>
  <c r="T158" i="11"/>
  <c r="R158" i="11"/>
  <c r="T119" i="11"/>
  <c r="R119" i="11"/>
  <c r="R342" i="11"/>
  <c r="T342" i="11"/>
  <c r="R324" i="11"/>
  <c r="T324" i="11"/>
  <c r="R338" i="11"/>
  <c r="T338" i="11"/>
  <c r="R325" i="11"/>
  <c r="T325" i="11"/>
  <c r="R315" i="11"/>
  <c r="T315" i="11"/>
  <c r="R340" i="11"/>
  <c r="T340" i="11"/>
  <c r="R330" i="11"/>
  <c r="T330" i="11"/>
  <c r="R343" i="11"/>
  <c r="T343" i="11"/>
  <c r="R326" i="11"/>
  <c r="T326" i="11"/>
  <c r="R341" i="11"/>
  <c r="T341" i="11"/>
  <c r="R327" i="11"/>
  <c r="T327" i="11"/>
  <c r="R337" i="11"/>
  <c r="T337" i="11"/>
  <c r="R329" i="11"/>
  <c r="T329" i="11"/>
  <c r="R339" i="11"/>
  <c r="T339" i="11"/>
  <c r="R328" i="11"/>
  <c r="T328" i="11"/>
  <c r="R314" i="11"/>
  <c r="T314" i="11"/>
  <c r="R130" i="11"/>
  <c r="T130" i="11"/>
  <c r="R128" i="11"/>
  <c r="T128" i="11"/>
  <c r="R136" i="11"/>
  <c r="T136" i="11"/>
  <c r="R129" i="11"/>
  <c r="T129" i="11"/>
  <c r="R131" i="11"/>
  <c r="T131" i="11"/>
  <c r="R134" i="11"/>
  <c r="T134" i="11"/>
  <c r="R133" i="11"/>
  <c r="T133" i="11"/>
  <c r="R135" i="11"/>
  <c r="T135" i="11"/>
  <c r="T154" i="11"/>
  <c r="T160" i="11"/>
  <c r="R161" i="11"/>
  <c r="T161" i="11"/>
  <c r="R155" i="11"/>
  <c r="T155" i="11"/>
  <c r="T146" i="11"/>
  <c r="T156" i="11"/>
  <c r="R156" i="11"/>
  <c r="T143" i="11"/>
  <c r="T157" i="11"/>
  <c r="R157" i="11"/>
  <c r="R147" i="11"/>
  <c r="T147" i="11"/>
  <c r="R144" i="11"/>
  <c r="T144" i="11"/>
  <c r="T120" i="11"/>
  <c r="T114" i="11"/>
  <c r="T117" i="11"/>
  <c r="R121" i="11"/>
  <c r="T121" i="11"/>
  <c r="R118" i="11"/>
  <c r="T118" i="11"/>
  <c r="T111" i="11"/>
  <c r="R116" i="11"/>
  <c r="T116" i="11"/>
  <c r="T109" i="11"/>
  <c r="R113" i="11"/>
  <c r="T113" i="11"/>
  <c r="R110" i="11"/>
  <c r="T110" i="11"/>
  <c r="T262" i="11"/>
  <c r="R260" i="11"/>
  <c r="R393" i="11" s="1"/>
  <c r="T254" i="11"/>
  <c r="R261" i="11"/>
  <c r="T261" i="11"/>
  <c r="T252" i="11"/>
  <c r="T393" i="11" s="1"/>
  <c r="T244" i="11"/>
  <c r="R253" i="11"/>
  <c r="T253" i="11"/>
  <c r="T242" i="11"/>
  <c r="R245" i="11"/>
  <c r="T245" i="11"/>
  <c r="R243" i="11"/>
  <c r="T243" i="11"/>
  <c r="T234" i="11"/>
  <c r="T232" i="11"/>
  <c r="R235" i="11"/>
  <c r="T235" i="11"/>
  <c r="T224" i="11"/>
  <c r="R233" i="11"/>
  <c r="T233" i="11"/>
  <c r="T222" i="11"/>
  <c r="R225" i="11"/>
  <c r="T225" i="11"/>
  <c r="T214" i="11"/>
  <c r="R223" i="11"/>
  <c r="T223" i="11"/>
  <c r="T212" i="11"/>
  <c r="R215" i="11"/>
  <c r="T215" i="11"/>
  <c r="R213" i="11"/>
  <c r="T213" i="11"/>
  <c r="T203" i="11"/>
  <c r="T201" i="11"/>
  <c r="R204" i="11"/>
  <c r="T204" i="11"/>
  <c r="T193" i="11"/>
  <c r="R202" i="11"/>
  <c r="T202" i="11"/>
  <c r="R191" i="11"/>
  <c r="R194" i="11"/>
  <c r="T194" i="11"/>
  <c r="R183" i="11"/>
  <c r="R192" i="11"/>
  <c r="T192" i="11"/>
  <c r="T181" i="11"/>
  <c r="R184" i="11"/>
  <c r="T184" i="11"/>
  <c r="R182" i="11"/>
  <c r="T182" i="11"/>
  <c r="T306" i="11"/>
  <c r="R306" i="11"/>
  <c r="T301" i="11"/>
  <c r="R301" i="11"/>
  <c r="T304" i="11"/>
  <c r="R304" i="11"/>
  <c r="T303" i="11"/>
  <c r="R303" i="11"/>
  <c r="R302" i="11"/>
  <c r="T302" i="11"/>
  <c r="R305" i="11"/>
  <c r="T305" i="11"/>
  <c r="R290" i="11"/>
  <c r="T290" i="11"/>
  <c r="R293" i="11"/>
  <c r="T293" i="11"/>
  <c r="R294" i="11"/>
  <c r="T294" i="11"/>
  <c r="R291" i="11"/>
  <c r="T291" i="11"/>
  <c r="R292" i="11"/>
  <c r="T292" i="11"/>
  <c r="R295" i="11"/>
  <c r="T295" i="11"/>
  <c r="R279" i="11"/>
  <c r="R284" i="11"/>
  <c r="T284" i="11"/>
  <c r="R281" i="11"/>
  <c r="T281" i="11"/>
  <c r="R283" i="11"/>
  <c r="T283" i="11"/>
  <c r="R280" i="11"/>
  <c r="T280" i="11"/>
  <c r="R282" i="11"/>
  <c r="T282" i="11"/>
  <c r="R270" i="11"/>
  <c r="T270" i="11"/>
  <c r="R272" i="11"/>
  <c r="T272" i="11"/>
  <c r="R269" i="11"/>
  <c r="T269" i="11"/>
  <c r="R271" i="11"/>
  <c r="T271" i="11"/>
  <c r="R273" i="11"/>
  <c r="T273" i="11"/>
  <c r="R162" i="11"/>
  <c r="T162" i="11"/>
  <c r="R163" i="11"/>
  <c r="T163" i="11"/>
  <c r="AK399" i="8" l="1"/>
  <c r="H10" i="31"/>
  <c r="AK151" i="8"/>
  <c r="T392" i="11"/>
  <c r="T1011" i="8" s="1"/>
  <c r="T146" i="1" s="1"/>
  <c r="S146" i="1" s="1"/>
  <c r="R392" i="11"/>
  <c r="R1011" i="8" s="1"/>
  <c r="R146" i="1" s="1"/>
  <c r="T100" i="11"/>
  <c r="T90" i="11" s="1"/>
  <c r="S835" i="8" s="1"/>
  <c r="T835" i="8" s="1"/>
  <c r="T837" i="8" s="1"/>
  <c r="R100" i="11"/>
  <c r="T88" i="11"/>
  <c r="T78" i="11" s="1"/>
  <c r="S903" i="8" s="1"/>
  <c r="T903" i="8" s="1"/>
  <c r="R88" i="11"/>
  <c r="T76" i="11"/>
  <c r="T66" i="11" s="1"/>
  <c r="S901" i="8" s="1"/>
  <c r="T901" i="8" s="1"/>
  <c r="R76" i="11"/>
  <c r="T64" i="11"/>
  <c r="T54" i="11" s="1"/>
  <c r="S906" i="8" s="1"/>
  <c r="T906" i="8" s="1"/>
  <c r="R64" i="11"/>
  <c r="T40" i="11"/>
  <c r="T30" i="11" s="1"/>
  <c r="S896" i="8" s="1"/>
  <c r="T896" i="8" s="1"/>
  <c r="T52" i="11"/>
  <c r="T42" i="11" s="1"/>
  <c r="S899" i="8" s="1"/>
  <c r="T899" i="8" s="1"/>
  <c r="R40" i="11"/>
  <c r="R30" i="11" s="1"/>
  <c r="Q896" i="8" s="1"/>
  <c r="R896" i="8" s="1"/>
  <c r="R52" i="11"/>
  <c r="R366" i="11"/>
  <c r="R1218" i="36" s="1"/>
  <c r="T366" i="11"/>
  <c r="T1218" i="36" s="1"/>
  <c r="T28" i="11"/>
  <c r="T19" i="11" s="1"/>
  <c r="S894" i="8" s="1"/>
  <c r="T894" i="8" s="1"/>
  <c r="R28" i="11"/>
  <c r="R1012" i="8"/>
  <c r="R147" i="1" s="1"/>
  <c r="R1245" i="36"/>
  <c r="Q230" i="36"/>
  <c r="R230" i="36" s="1"/>
  <c r="Q234" i="36"/>
  <c r="R234" i="36" s="1"/>
  <c r="Q236" i="36"/>
  <c r="R236" i="36" s="1"/>
  <c r="Q232" i="36"/>
  <c r="R232" i="36" s="1"/>
  <c r="Q228" i="36"/>
  <c r="R228" i="36" s="1"/>
  <c r="Q226" i="36"/>
  <c r="R226" i="36" s="1"/>
  <c r="S234" i="36"/>
  <c r="T234" i="36" s="1"/>
  <c r="S226" i="36"/>
  <c r="T226" i="36" s="1"/>
  <c r="S232" i="36"/>
  <c r="T232" i="36" s="1"/>
  <c r="S228" i="36"/>
  <c r="T228" i="36" s="1"/>
  <c r="S230" i="36"/>
  <c r="T230" i="36" s="1"/>
  <c r="S236" i="36"/>
  <c r="T236" i="36" s="1"/>
  <c r="T1012" i="8"/>
  <c r="T147" i="1" s="1"/>
  <c r="S147" i="1" s="1"/>
  <c r="T1245" i="36"/>
  <c r="AK141" i="8"/>
  <c r="AK43" i="8"/>
  <c r="AK433" i="8"/>
  <c r="AK203" i="8"/>
  <c r="AK183" i="8"/>
  <c r="AK119" i="8"/>
  <c r="AK135" i="8"/>
  <c r="AK445" i="8"/>
  <c r="AK105" i="8"/>
  <c r="AK439" i="8"/>
  <c r="AK233" i="8"/>
  <c r="T404" i="11"/>
  <c r="R404" i="11"/>
  <c r="T347" i="11"/>
  <c r="T334" i="11" s="1"/>
  <c r="T319" i="11"/>
  <c r="T310" i="11" s="1"/>
  <c r="R347" i="11"/>
  <c r="R319" i="11"/>
  <c r="T332" i="11"/>
  <c r="T321" i="11" s="1"/>
  <c r="S921" i="8" s="1"/>
  <c r="T921" i="8" s="1"/>
  <c r="R332" i="11"/>
  <c r="R376" i="11"/>
  <c r="T138" i="11"/>
  <c r="T125" i="11" s="1"/>
  <c r="R138" i="11"/>
  <c r="R149" i="11"/>
  <c r="R140" i="11" s="1"/>
  <c r="T149" i="11"/>
  <c r="T140" i="11" s="1"/>
  <c r="T376" i="11"/>
  <c r="R123" i="11"/>
  <c r="R106" i="11" s="1"/>
  <c r="T123" i="11"/>
  <c r="T106" i="11" s="1"/>
  <c r="T264" i="11"/>
  <c r="T258" i="11" s="1"/>
  <c r="R264" i="11"/>
  <c r="R365" i="11"/>
  <c r="T256" i="11"/>
  <c r="T250" i="11" s="1"/>
  <c r="R256" i="11"/>
  <c r="R248" i="11"/>
  <c r="R240" i="11" s="1"/>
  <c r="T248" i="11"/>
  <c r="T240" i="11" s="1"/>
  <c r="R238" i="11"/>
  <c r="R230" i="11" s="1"/>
  <c r="T238" i="11"/>
  <c r="T230" i="11" s="1"/>
  <c r="R228" i="11"/>
  <c r="T228" i="11"/>
  <c r="T220" i="11" s="1"/>
  <c r="T218" i="11"/>
  <c r="T210" i="11" s="1"/>
  <c r="R218" i="11"/>
  <c r="T365" i="11"/>
  <c r="R208" i="11"/>
  <c r="R199" i="11" s="1"/>
  <c r="T208" i="11"/>
  <c r="T199" i="11" s="1"/>
  <c r="T367" i="11"/>
  <c r="T197" i="11"/>
  <c r="T189" i="11" s="1"/>
  <c r="R197" i="11"/>
  <c r="R189" i="11" s="1"/>
  <c r="R367" i="11"/>
  <c r="T187" i="11"/>
  <c r="T179" i="11" s="1"/>
  <c r="E177" i="11"/>
  <c r="F177" i="11" s="1"/>
  <c r="R187" i="11"/>
  <c r="R179" i="11" s="1"/>
  <c r="B177" i="11"/>
  <c r="T364" i="11"/>
  <c r="T1216" i="36" s="1"/>
  <c r="R364" i="11"/>
  <c r="R308" i="11"/>
  <c r="T308" i="11"/>
  <c r="T299" i="11" s="1"/>
  <c r="T297" i="11"/>
  <c r="T288" i="11" s="1"/>
  <c r="R297" i="11"/>
  <c r="R355" i="11"/>
  <c r="T355" i="11"/>
  <c r="T401" i="11"/>
  <c r="T286" i="11"/>
  <c r="T277" i="11" s="1"/>
  <c r="R286" i="11"/>
  <c r="R401" i="11"/>
  <c r="T368" i="11"/>
  <c r="T275" i="11"/>
  <c r="T266" i="11" s="1"/>
  <c r="R275" i="11"/>
  <c r="R368" i="11"/>
  <c r="T378" i="11"/>
  <c r="T1230" i="36" s="1"/>
  <c r="T351" i="11"/>
  <c r="T166" i="11"/>
  <c r="R166" i="11"/>
  <c r="R378" i="11"/>
  <c r="R1230" i="36" s="1"/>
  <c r="R351" i="11"/>
  <c r="T844" i="8" l="1"/>
  <c r="AN818" i="8" s="1"/>
  <c r="S910" i="8"/>
  <c r="T910" i="8" s="1"/>
  <c r="T857" i="8"/>
  <c r="T863" i="8" s="1"/>
  <c r="AN850" i="8" s="1"/>
  <c r="S919" i="8"/>
  <c r="T919" i="8" s="1"/>
  <c r="T1244" i="36"/>
  <c r="R1244" i="36"/>
  <c r="R90" i="11"/>
  <c r="Q835" i="8" s="1"/>
  <c r="R835" i="8" s="1"/>
  <c r="R837" i="8" s="1"/>
  <c r="R78" i="11"/>
  <c r="Q903" i="8" s="1"/>
  <c r="R903" i="8" s="1"/>
  <c r="R66" i="11"/>
  <c r="Q901" i="8" s="1"/>
  <c r="R901" i="8" s="1"/>
  <c r="R985" i="8"/>
  <c r="R120" i="1" s="1"/>
  <c r="T985" i="8"/>
  <c r="T120" i="1" s="1"/>
  <c r="S120" i="1" s="1"/>
  <c r="R54" i="11"/>
  <c r="Q906" i="8" s="1"/>
  <c r="R906" i="8" s="1"/>
  <c r="R42" i="11"/>
  <c r="Q899" i="8" s="1"/>
  <c r="R899" i="8" s="1"/>
  <c r="R19" i="11"/>
  <c r="Q894" i="8" s="1"/>
  <c r="R894" i="8" s="1"/>
  <c r="S726" i="8"/>
  <c r="T726" i="8" s="1"/>
  <c r="T728" i="8" s="1"/>
  <c r="T735" i="8" s="1"/>
  <c r="AN519" i="8" s="1"/>
  <c r="T744" i="8"/>
  <c r="T751" i="8" s="1"/>
  <c r="AN737" i="8" s="1"/>
  <c r="R238" i="36"/>
  <c r="AM223" i="36" s="1"/>
  <c r="T986" i="8"/>
  <c r="T121" i="1" s="1"/>
  <c r="S121" i="1" s="1"/>
  <c r="T1219" i="36"/>
  <c r="S900" i="36"/>
  <c r="T900" i="36" s="1"/>
  <c r="T902" i="36" s="1"/>
  <c r="AN897" i="36" s="1"/>
  <c r="S315" i="36"/>
  <c r="T315" i="36" s="1"/>
  <c r="T317" i="36" s="1"/>
  <c r="AN312" i="36" s="1"/>
  <c r="R995" i="8"/>
  <c r="R130" i="1" s="1"/>
  <c r="R1228" i="36"/>
  <c r="T987" i="8"/>
  <c r="T122" i="1" s="1"/>
  <c r="S122" i="1" s="1"/>
  <c r="T1220" i="36"/>
  <c r="S1000" i="36"/>
  <c r="T1000" i="36" s="1"/>
  <c r="S433" i="36"/>
  <c r="T433" i="36" s="1"/>
  <c r="S464" i="36"/>
  <c r="T464" i="36" s="1"/>
  <c r="T466" i="36" s="1"/>
  <c r="AN461" i="36" s="1"/>
  <c r="S492" i="36"/>
  <c r="T492" i="36" s="1"/>
  <c r="T494" i="36" s="1"/>
  <c r="AN489" i="36" s="1"/>
  <c r="S478" i="36"/>
  <c r="T478" i="36" s="1"/>
  <c r="T480" i="36" s="1"/>
  <c r="AN475" i="36" s="1"/>
  <c r="S505" i="36"/>
  <c r="T505" i="36" s="1"/>
  <c r="T507" i="36" s="1"/>
  <c r="AN502" i="36" s="1"/>
  <c r="S485" i="36"/>
  <c r="T485" i="36" s="1"/>
  <c r="T487" i="36" s="1"/>
  <c r="AN482" i="36" s="1"/>
  <c r="S450" i="36"/>
  <c r="T450" i="36" s="1"/>
  <c r="T452" i="36" s="1"/>
  <c r="AN447" i="36" s="1"/>
  <c r="S457" i="36"/>
  <c r="T457" i="36" s="1"/>
  <c r="T459" i="36" s="1"/>
  <c r="AN454" i="36" s="1"/>
  <c r="S471" i="36"/>
  <c r="T471" i="36" s="1"/>
  <c r="T473" i="36" s="1"/>
  <c r="AN468" i="36" s="1"/>
  <c r="Q1017" i="36"/>
  <c r="R1017" i="36" s="1"/>
  <c r="R1019" i="36" s="1"/>
  <c r="S858" i="36"/>
  <c r="T858" i="36" s="1"/>
  <c r="T861" i="36" s="1"/>
  <c r="AN855" i="36" s="1"/>
  <c r="S274" i="36"/>
  <c r="T274" i="36" s="1"/>
  <c r="T276" i="36" s="1"/>
  <c r="AN271" i="36" s="1"/>
  <c r="R987" i="8"/>
  <c r="R122" i="1" s="1"/>
  <c r="R1220" i="36"/>
  <c r="T1023" i="8"/>
  <c r="T158" i="1" s="1"/>
  <c r="S158" i="1" s="1"/>
  <c r="T1256" i="36"/>
  <c r="S982" i="36"/>
  <c r="T982" i="36" s="1"/>
  <c r="S415" i="36"/>
  <c r="T415" i="36" s="1"/>
  <c r="Q812" i="36"/>
  <c r="R812" i="36" s="1"/>
  <c r="Q808" i="36"/>
  <c r="R808" i="36" s="1"/>
  <c r="Q810" i="36"/>
  <c r="R810" i="36" s="1"/>
  <c r="S1017" i="36"/>
  <c r="T1017" i="36" s="1"/>
  <c r="T1019" i="36" s="1"/>
  <c r="AN1014" i="36" s="1"/>
  <c r="R1020" i="8"/>
  <c r="R155" i="1" s="1"/>
  <c r="R1253" i="36"/>
  <c r="S186" i="36"/>
  <c r="T186" i="36" s="1"/>
  <c r="S808" i="36"/>
  <c r="T808" i="36" s="1"/>
  <c r="S812" i="36"/>
  <c r="T812" i="36" s="1"/>
  <c r="S810" i="36"/>
  <c r="T810" i="36" s="1"/>
  <c r="Q450" i="36"/>
  <c r="R450" i="36" s="1"/>
  <c r="R452" i="36" s="1"/>
  <c r="Q471" i="36"/>
  <c r="R471" i="36" s="1"/>
  <c r="R473" i="36" s="1"/>
  <c r="Q457" i="36"/>
  <c r="R457" i="36" s="1"/>
  <c r="R459" i="36" s="1"/>
  <c r="Q492" i="36"/>
  <c r="R492" i="36" s="1"/>
  <c r="R494" i="36" s="1"/>
  <c r="Q505" i="36"/>
  <c r="R505" i="36" s="1"/>
  <c r="R507" i="36" s="1"/>
  <c r="Q478" i="36"/>
  <c r="R478" i="36" s="1"/>
  <c r="R480" i="36" s="1"/>
  <c r="Q485" i="36"/>
  <c r="R485" i="36" s="1"/>
  <c r="R487" i="36" s="1"/>
  <c r="Q464" i="36"/>
  <c r="R464" i="36" s="1"/>
  <c r="R466" i="36" s="1"/>
  <c r="S1024" i="36"/>
  <c r="T1024" i="36" s="1"/>
  <c r="T1026" i="36" s="1"/>
  <c r="AN1021" i="36" s="1"/>
  <c r="S1031" i="36"/>
  <c r="T1031" i="36" s="1"/>
  <c r="T1033" i="36" s="1"/>
  <c r="AN1028" i="36" s="1"/>
  <c r="Q858" i="36"/>
  <c r="R858" i="36" s="1"/>
  <c r="R861" i="36" s="1"/>
  <c r="Q274" i="36"/>
  <c r="R274" i="36" s="1"/>
  <c r="R276" i="36" s="1"/>
  <c r="S1002" i="36"/>
  <c r="T1002" i="36" s="1"/>
  <c r="S625" i="36"/>
  <c r="T625" i="36" s="1"/>
  <c r="T627" i="36" s="1"/>
  <c r="AN528" i="36" s="1"/>
  <c r="S993" i="36"/>
  <c r="T993" i="36" s="1"/>
  <c r="S426" i="36"/>
  <c r="T426" i="36" s="1"/>
  <c r="S435" i="36"/>
  <c r="T435" i="36" s="1"/>
  <c r="R1023" i="8"/>
  <c r="R158" i="1" s="1"/>
  <c r="R1256" i="36"/>
  <c r="R984" i="8"/>
  <c r="R119" i="1" s="1"/>
  <c r="R1217" i="36"/>
  <c r="S188" i="36"/>
  <c r="T188" i="36" s="1"/>
  <c r="S205" i="36"/>
  <c r="T205" i="36" s="1"/>
  <c r="T207" i="36" s="1"/>
  <c r="AN196" i="36" s="1"/>
  <c r="R974" i="8"/>
  <c r="R109" i="1" s="1"/>
  <c r="R1207" i="36"/>
  <c r="S836" i="36"/>
  <c r="T836" i="36" s="1"/>
  <c r="S838" i="36"/>
  <c r="T838" i="36" s="1"/>
  <c r="S866" i="36"/>
  <c r="T866" i="36" s="1"/>
  <c r="T868" i="36" s="1"/>
  <c r="AN863" i="36" s="1"/>
  <c r="S281" i="36"/>
  <c r="T281" i="36" s="1"/>
  <c r="T283" i="36" s="1"/>
  <c r="AN278" i="36" s="1"/>
  <c r="T984" i="8"/>
  <c r="T119" i="1" s="1"/>
  <c r="S119" i="1" s="1"/>
  <c r="T1217" i="36"/>
  <c r="Q1024" i="36"/>
  <c r="R1024" i="36" s="1"/>
  <c r="R1026" i="36" s="1"/>
  <c r="Q1031" i="36"/>
  <c r="R1031" i="36" s="1"/>
  <c r="R1033" i="36" s="1"/>
  <c r="T995" i="8"/>
  <c r="T130" i="1" s="1"/>
  <c r="S130" i="1" s="1"/>
  <c r="T1228" i="36"/>
  <c r="T238" i="36"/>
  <c r="AN223" i="36" s="1"/>
  <c r="T1020" i="8"/>
  <c r="T155" i="1" s="1"/>
  <c r="S155" i="1" s="1"/>
  <c r="T1253" i="36"/>
  <c r="R986" i="8"/>
  <c r="R121" i="1" s="1"/>
  <c r="R1219" i="36"/>
  <c r="S243" i="36"/>
  <c r="T243" i="36" s="1"/>
  <c r="S245" i="36"/>
  <c r="T245" i="36" s="1"/>
  <c r="S893" i="36"/>
  <c r="T893" i="36" s="1"/>
  <c r="T895" i="36" s="1"/>
  <c r="AN890" i="36" s="1"/>
  <c r="S308" i="36"/>
  <c r="T308" i="36" s="1"/>
  <c r="T310" i="36" s="1"/>
  <c r="AN305" i="36" s="1"/>
  <c r="Q915" i="36"/>
  <c r="R915" i="36" s="1"/>
  <c r="R921" i="36" s="1"/>
  <c r="Q336" i="36"/>
  <c r="R336" i="36" s="1"/>
  <c r="R342" i="36" s="1"/>
  <c r="S984" i="36"/>
  <c r="T984" i="36" s="1"/>
  <c r="S417" i="36"/>
  <c r="T417" i="36" s="1"/>
  <c r="T974" i="8"/>
  <c r="T109" i="1" s="1"/>
  <c r="T1207" i="36"/>
  <c r="Q836" i="36"/>
  <c r="R836" i="36" s="1"/>
  <c r="Q838" i="36"/>
  <c r="R838" i="36" s="1"/>
  <c r="S512" i="36"/>
  <c r="T512" i="36" s="1"/>
  <c r="T514" i="36" s="1"/>
  <c r="AN509" i="36" s="1"/>
  <c r="S991" i="36"/>
  <c r="T991" i="36" s="1"/>
  <c r="S424" i="36"/>
  <c r="T424" i="36" s="1"/>
  <c r="R983" i="8"/>
  <c r="R118" i="1" s="1"/>
  <c r="R1216" i="36"/>
  <c r="S915" i="36"/>
  <c r="T915" i="36" s="1"/>
  <c r="T921" i="36" s="1"/>
  <c r="AN912" i="36" s="1"/>
  <c r="S336" i="36"/>
  <c r="T336" i="36" s="1"/>
  <c r="T342" i="36" s="1"/>
  <c r="AN333" i="36" s="1"/>
  <c r="R310" i="11"/>
  <c r="E319" i="11"/>
  <c r="F319" i="11" s="1"/>
  <c r="R321" i="11"/>
  <c r="Q921" i="8" s="1"/>
  <c r="R921" i="8" s="1"/>
  <c r="R334" i="11"/>
  <c r="E347" i="11"/>
  <c r="F347" i="11" s="1"/>
  <c r="R125" i="11"/>
  <c r="E138" i="11"/>
  <c r="F138" i="11" s="1"/>
  <c r="E149" i="11"/>
  <c r="F149" i="11" s="1"/>
  <c r="E123" i="11"/>
  <c r="F123" i="11" s="1"/>
  <c r="E264" i="11"/>
  <c r="F264" i="11" s="1"/>
  <c r="R258" i="11"/>
  <c r="E256" i="11"/>
  <c r="F256" i="11" s="1"/>
  <c r="E248" i="11"/>
  <c r="F248" i="11" s="1"/>
  <c r="R250" i="11"/>
  <c r="B228" i="11"/>
  <c r="E238" i="11"/>
  <c r="F238" i="11" s="1"/>
  <c r="R220" i="11"/>
  <c r="B218" i="11"/>
  <c r="E218" i="11"/>
  <c r="F218" i="11" s="1"/>
  <c r="R210" i="11"/>
  <c r="E228" i="11"/>
  <c r="F228" i="11" s="1"/>
  <c r="T413" i="11"/>
  <c r="B208" i="11"/>
  <c r="E208" i="11"/>
  <c r="F208" i="11" s="1"/>
  <c r="B197" i="11"/>
  <c r="E197" i="11"/>
  <c r="F197" i="11" s="1"/>
  <c r="B187" i="11"/>
  <c r="E187" i="11"/>
  <c r="F187" i="11" s="1"/>
  <c r="R413" i="11"/>
  <c r="T983" i="8"/>
  <c r="R299" i="11"/>
  <c r="E308" i="11"/>
  <c r="F308" i="11" s="1"/>
  <c r="R288" i="11"/>
  <c r="E286" i="11"/>
  <c r="F286" i="11" s="1"/>
  <c r="R277" i="11"/>
  <c r="R412" i="11"/>
  <c r="R266" i="11"/>
  <c r="E275" i="11"/>
  <c r="F275" i="11" s="1"/>
  <c r="T412" i="11"/>
  <c r="R997" i="8"/>
  <c r="R354" i="11"/>
  <c r="R414" i="11"/>
  <c r="R352" i="11"/>
  <c r="E166" i="11"/>
  <c r="F166" i="11" s="1"/>
  <c r="R151" i="11"/>
  <c r="T151" i="11"/>
  <c r="T352" i="11"/>
  <c r="T414" i="11"/>
  <c r="T997" i="8"/>
  <c r="T354" i="11"/>
  <c r="R844" i="8" l="1"/>
  <c r="AG837" i="8"/>
  <c r="AG818" i="8" s="1"/>
  <c r="E821" i="8"/>
  <c r="T929" i="8"/>
  <c r="T939" i="8" s="1"/>
  <c r="Q910" i="8"/>
  <c r="R910" i="8" s="1"/>
  <c r="R857" i="8"/>
  <c r="Q919" i="8"/>
  <c r="R919" i="8" s="1"/>
  <c r="T1266" i="36"/>
  <c r="R1266" i="36"/>
  <c r="Q726" i="8"/>
  <c r="R726" i="8" s="1"/>
  <c r="R728" i="8" s="1"/>
  <c r="AG728" i="8" s="1"/>
  <c r="AG519" i="8" s="1"/>
  <c r="R744" i="8"/>
  <c r="T1265" i="36"/>
  <c r="T995" i="36"/>
  <c r="AN988" i="36" s="1"/>
  <c r="T1032" i="8"/>
  <c r="T247" i="36"/>
  <c r="AN240" i="36" s="1"/>
  <c r="T437" i="36"/>
  <c r="AN430" i="36" s="1"/>
  <c r="T419" i="36"/>
  <c r="AN412" i="36" s="1"/>
  <c r="T841" i="36"/>
  <c r="AN833" i="36" s="1"/>
  <c r="R167" i="1"/>
  <c r="R166" i="1"/>
  <c r="T1031" i="8"/>
  <c r="R1264" i="36"/>
  <c r="R1206" i="36"/>
  <c r="Q926" i="36"/>
  <c r="R926" i="36" s="1"/>
  <c r="R928" i="36" s="1"/>
  <c r="Q347" i="36"/>
  <c r="R347" i="36" s="1"/>
  <c r="R349" i="36" s="1"/>
  <c r="R399" i="36" s="1"/>
  <c r="Q991" i="36"/>
  <c r="R991" i="36" s="1"/>
  <c r="Q424" i="36"/>
  <c r="R424" i="36" s="1"/>
  <c r="R1032" i="8"/>
  <c r="AM461" i="36"/>
  <c r="AO461" i="36" s="1"/>
  <c r="T986" i="36"/>
  <c r="AN979" i="36" s="1"/>
  <c r="S926" i="36"/>
  <c r="T926" i="36" s="1"/>
  <c r="T928" i="36" s="1"/>
  <c r="AN923" i="36" s="1"/>
  <c r="S347" i="36"/>
  <c r="T347" i="36" s="1"/>
  <c r="T349" i="36" s="1"/>
  <c r="AN344" i="36" s="1"/>
  <c r="AM447" i="36"/>
  <c r="AO447" i="36" s="1"/>
  <c r="Q243" i="36"/>
  <c r="R243" i="36" s="1"/>
  <c r="Q245" i="36"/>
  <c r="R245" i="36" s="1"/>
  <c r="Q900" i="36"/>
  <c r="R900" i="36" s="1"/>
  <c r="R902" i="36" s="1"/>
  <c r="Q315" i="36"/>
  <c r="R315" i="36" s="1"/>
  <c r="R317" i="36" s="1"/>
  <c r="Q188" i="36"/>
  <c r="R188" i="36" s="1"/>
  <c r="Q205" i="36"/>
  <c r="R205" i="36" s="1"/>
  <c r="R207" i="36" s="1"/>
  <c r="AM482" i="36"/>
  <c r="AO482" i="36" s="1"/>
  <c r="AM475" i="36"/>
  <c r="AO475" i="36" s="1"/>
  <c r="AM1014" i="36"/>
  <c r="AO1014" i="36" s="1"/>
  <c r="Q982" i="36"/>
  <c r="R982" i="36" s="1"/>
  <c r="Q415" i="36"/>
  <c r="R415" i="36" s="1"/>
  <c r="AM333" i="36"/>
  <c r="AO333" i="36" s="1"/>
  <c r="AM1028" i="36"/>
  <c r="AO1028" i="36" s="1"/>
  <c r="AM502" i="36"/>
  <c r="AO502" i="36" s="1"/>
  <c r="T815" i="36"/>
  <c r="AN805" i="36" s="1"/>
  <c r="Q1000" i="36"/>
  <c r="R1000" i="36" s="1"/>
  <c r="Q433" i="36"/>
  <c r="R433" i="36" s="1"/>
  <c r="R1031" i="8"/>
  <c r="Q186" i="36"/>
  <c r="R186" i="36" s="1"/>
  <c r="Q893" i="36"/>
  <c r="R893" i="36" s="1"/>
  <c r="R895" i="36" s="1"/>
  <c r="Q308" i="36"/>
  <c r="R308" i="36" s="1"/>
  <c r="R310" i="36" s="1"/>
  <c r="Q984" i="36"/>
  <c r="R984" i="36" s="1"/>
  <c r="Q417" i="36"/>
  <c r="R417" i="36" s="1"/>
  <c r="R1265" i="36"/>
  <c r="R841" i="36"/>
  <c r="AM912" i="36"/>
  <c r="AO912" i="36" s="1"/>
  <c r="AM1021" i="36"/>
  <c r="AO1021" i="36" s="1"/>
  <c r="AM271" i="36"/>
  <c r="AO271" i="36" s="1"/>
  <c r="AM489" i="36"/>
  <c r="AO489" i="36" s="1"/>
  <c r="R815" i="36"/>
  <c r="AO223" i="36"/>
  <c r="AM855" i="36"/>
  <c r="AO855" i="36" s="1"/>
  <c r="AM454" i="36"/>
  <c r="AO454" i="36" s="1"/>
  <c r="T190" i="36"/>
  <c r="AN183" i="36" s="1"/>
  <c r="Q512" i="36"/>
  <c r="R512" i="36" s="1"/>
  <c r="R514" i="36" s="1"/>
  <c r="Q866" i="36"/>
  <c r="R866" i="36" s="1"/>
  <c r="R868" i="36" s="1"/>
  <c r="Q281" i="36"/>
  <c r="R281" i="36" s="1"/>
  <c r="R283" i="36" s="1"/>
  <c r="Q1002" i="36"/>
  <c r="R1002" i="36" s="1"/>
  <c r="Q625" i="36"/>
  <c r="R625" i="36" s="1"/>
  <c r="R627" i="36" s="1"/>
  <c r="Q993" i="36"/>
  <c r="R993" i="36" s="1"/>
  <c r="Q426" i="36"/>
  <c r="R426" i="36" s="1"/>
  <c r="Q435" i="36"/>
  <c r="R435" i="36" s="1"/>
  <c r="T428" i="36"/>
  <c r="AN421" i="36" s="1"/>
  <c r="T1264" i="36"/>
  <c r="T1206" i="36"/>
  <c r="AM468" i="36"/>
  <c r="AO468" i="36" s="1"/>
  <c r="T1004" i="36"/>
  <c r="AN997" i="36" s="1"/>
  <c r="T118" i="1"/>
  <c r="S118" i="1" s="1"/>
  <c r="R416" i="11"/>
  <c r="T416" i="11"/>
  <c r="S109" i="1"/>
  <c r="T166" i="1"/>
  <c r="T132" i="1"/>
  <c r="T973" i="8"/>
  <c r="T1033" i="8"/>
  <c r="R132" i="1"/>
  <c r="R1033" i="8"/>
  <c r="AM818" i="8" l="1"/>
  <c r="AO818" i="8" s="1"/>
  <c r="AH818" i="8"/>
  <c r="AN888" i="8"/>
  <c r="R929" i="8"/>
  <c r="AG929" i="8" s="1"/>
  <c r="AG888" i="8" s="1"/>
  <c r="AH888" i="8" s="1"/>
  <c r="R863" i="8"/>
  <c r="AG857" i="8"/>
  <c r="AG850" i="8" s="1"/>
  <c r="E853" i="8"/>
  <c r="T1268" i="36"/>
  <c r="R735" i="8"/>
  <c r="E522" i="8"/>
  <c r="R751" i="8"/>
  <c r="AG744" i="8"/>
  <c r="AG737" i="8" s="1"/>
  <c r="E740" i="8"/>
  <c r="AH519" i="8"/>
  <c r="T1198" i="36"/>
  <c r="T1035" i="8"/>
  <c r="R428" i="36"/>
  <c r="R995" i="36"/>
  <c r="R437" i="36"/>
  <c r="AM312" i="36"/>
  <c r="AO312" i="36" s="1"/>
  <c r="AM278" i="36"/>
  <c r="AO278" i="36" s="1"/>
  <c r="R1004" i="36"/>
  <c r="R419" i="36"/>
  <c r="AM897" i="36"/>
  <c r="AO897" i="36" s="1"/>
  <c r="AM528" i="36"/>
  <c r="AO528" i="36" s="1"/>
  <c r="AM863" i="36"/>
  <c r="AO863" i="36" s="1"/>
  <c r="AM305" i="36"/>
  <c r="AO305" i="36" s="1"/>
  <c r="R986" i="36"/>
  <c r="AM344" i="36"/>
  <c r="AO344" i="36" s="1"/>
  <c r="AM509" i="36"/>
  <c r="AO509" i="36" s="1"/>
  <c r="AM890" i="36"/>
  <c r="AO890" i="36" s="1"/>
  <c r="R247" i="36"/>
  <c r="AM923" i="36"/>
  <c r="AO923" i="36" s="1"/>
  <c r="AM805" i="36"/>
  <c r="AO805" i="36" s="1"/>
  <c r="R818" i="36"/>
  <c r="R695" i="36"/>
  <c r="AM833" i="36"/>
  <c r="AO833" i="36" s="1"/>
  <c r="R931" i="36"/>
  <c r="R190" i="36"/>
  <c r="R1198" i="36"/>
  <c r="AM196" i="36"/>
  <c r="AO196" i="36" s="1"/>
  <c r="R1268" i="36"/>
  <c r="T167" i="1"/>
  <c r="S132" i="1"/>
  <c r="S165" i="1" s="1"/>
  <c r="T165" i="1"/>
  <c r="T168" i="1"/>
  <c r="R168" i="1"/>
  <c r="T965" i="8"/>
  <c r="R754" i="8" l="1"/>
  <c r="R760" i="8" s="1"/>
  <c r="AM519" i="8"/>
  <c r="AO519" i="8" s="1"/>
  <c r="R939" i="8"/>
  <c r="E891" i="8"/>
  <c r="AH850" i="8"/>
  <c r="AM850" i="8"/>
  <c r="AO850" i="8" s="1"/>
  <c r="AH737" i="8"/>
  <c r="AM737" i="8"/>
  <c r="AO737" i="8" s="1"/>
  <c r="AM421" i="36"/>
  <c r="AO421" i="36" s="1"/>
  <c r="AM988" i="36"/>
  <c r="AO988" i="36" s="1"/>
  <c r="AM430" i="36"/>
  <c r="AO430" i="36" s="1"/>
  <c r="R497" i="36"/>
  <c r="AM412" i="36"/>
  <c r="AO412" i="36" s="1"/>
  <c r="AM183" i="36"/>
  <c r="AO183" i="36" s="1"/>
  <c r="R1186" i="36"/>
  <c r="R1200" i="36"/>
  <c r="R210" i="36"/>
  <c r="T223" i="36"/>
  <c r="AM979" i="36"/>
  <c r="AO979" i="36" s="1"/>
  <c r="R1036" i="36"/>
  <c r="AM997" i="36"/>
  <c r="AO997" i="36" s="1"/>
  <c r="T502" i="36"/>
  <c r="AM240" i="36"/>
  <c r="AO240" i="36" s="1"/>
  <c r="R320" i="36"/>
  <c r="T170" i="1"/>
  <c r="R953" i="8"/>
  <c r="T37" i="1"/>
  <c r="E83" i="1"/>
  <c r="R942" i="8" l="1"/>
  <c r="R948" i="8" s="1"/>
  <c r="AM888" i="8"/>
  <c r="AO888" i="8" s="1"/>
  <c r="R1202" i="36"/>
  <c r="R1079" i="36"/>
  <c r="R1114" i="36"/>
  <c r="R1196" i="36"/>
  <c r="AH1186" i="36"/>
  <c r="AH1196" i="36" s="1"/>
  <c r="R23" i="1"/>
  <c r="AH953" i="8"/>
  <c r="T737" i="8" l="1"/>
  <c r="R1204" i="36"/>
  <c r="T183" i="36"/>
  <c r="T240" i="36"/>
  <c r="T979" i="36"/>
  <c r="T412" i="36"/>
  <c r="G52" i="38" l="1"/>
  <c r="G48" i="38"/>
  <c r="T509" i="36" l="1"/>
  <c r="T897" i="36"/>
  <c r="T923" i="36"/>
  <c r="T890" i="36"/>
  <c r="T312" i="36"/>
  <c r="T863" i="36"/>
  <c r="T278" i="36"/>
  <c r="T344" i="36"/>
  <c r="T305" i="36"/>
  <c r="T489" i="36"/>
  <c r="T475" i="36"/>
  <c r="T468" i="36"/>
  <c r="T461" i="36"/>
  <c r="T1021" i="36"/>
  <c r="T454" i="36"/>
  <c r="T271" i="36"/>
  <c r="T1014" i="36"/>
  <c r="T482" i="36"/>
  <c r="T447" i="36"/>
  <c r="T1028" i="36"/>
  <c r="R965" i="8"/>
  <c r="R1026" i="8"/>
  <c r="R973" i="8" l="1"/>
  <c r="R161" i="1"/>
  <c r="R1034" i="8"/>
  <c r="R1035" i="8" s="1"/>
  <c r="R956" i="8"/>
  <c r="R963" i="8" l="1"/>
  <c r="R26" i="1"/>
  <c r="AH956" i="8"/>
  <c r="AH963" i="8" s="1"/>
  <c r="R169" i="1"/>
  <c r="R170" i="1" s="1"/>
  <c r="R165" i="1"/>
  <c r="R967" i="8"/>
  <c r="R340" i="8"/>
  <c r="R35" i="1" l="1"/>
  <c r="B15" i="39"/>
  <c r="R969" i="8"/>
  <c r="R458" i="8"/>
  <c r="R971" i="8" s="1"/>
  <c r="D83" i="1"/>
  <c r="R37" i="1"/>
  <c r="F83" i="1"/>
  <c r="R39" i="1" l="1"/>
  <c r="Q12" i="36" l="1"/>
  <c r="Q12" i="8"/>
  <c r="Q12" i="11"/>
  <c r="C12" i="1"/>
  <c r="Q2" i="36"/>
  <c r="Q2" i="8"/>
  <c r="Q2" i="11"/>
  <c r="C2" i="1"/>
  <c r="AC23" i="1" s="1"/>
  <c r="Q4" i="8"/>
  <c r="Q4" i="11"/>
  <c r="C4" i="1"/>
  <c r="AC25" i="1" s="1"/>
  <c r="Q4" i="36"/>
  <c r="Q3" i="36"/>
  <c r="C3" i="1"/>
  <c r="AC24" i="1" s="1"/>
  <c r="Q3" i="11"/>
  <c r="Q3" i="8"/>
  <c r="C2" i="11" l="1"/>
  <c r="G23" i="1"/>
  <c r="C2" i="36"/>
  <c r="C2" i="8"/>
  <c r="C3" i="8"/>
  <c r="C3" i="36"/>
  <c r="C3" i="11"/>
  <c r="G24" i="1"/>
  <c r="C12" i="11"/>
  <c r="C12" i="36"/>
  <c r="C12" i="8"/>
  <c r="G25" i="1"/>
  <c r="C4" i="36"/>
  <c r="C4" i="8"/>
  <c r="C4" i="11"/>
  <c r="E381" i="8" l="1"/>
  <c r="E201" i="34" s="1"/>
  <c r="E393" i="8"/>
  <c r="E203" i="34" s="1"/>
  <c r="E357" i="8"/>
  <c r="E197" i="34" s="1"/>
  <c r="E369" i="8"/>
  <c r="E199" i="34" s="1"/>
  <c r="E345" i="8"/>
  <c r="E195" i="34" s="1"/>
  <c r="E303" i="8"/>
  <c r="E327" i="8"/>
  <c r="E175" i="34" s="1"/>
  <c r="E315" i="8"/>
  <c r="E173" i="34" s="1"/>
  <c r="E291" i="8"/>
  <c r="F291" i="8" s="1"/>
  <c r="F781" i="8"/>
  <c r="F821" i="8"/>
  <c r="F494" i="8"/>
  <c r="F522" i="8"/>
  <c r="F500" i="8"/>
  <c r="F740" i="8"/>
  <c r="F776" i="8"/>
  <c r="F853" i="8"/>
  <c r="F801" i="8"/>
  <c r="F891" i="8"/>
  <c r="F930" i="8"/>
  <c r="F470" i="8"/>
  <c r="F872" i="8"/>
  <c r="E850" i="8"/>
  <c r="E737" i="8"/>
  <c r="E869" i="8"/>
  <c r="E467" i="8"/>
  <c r="E519" i="8"/>
  <c r="E491" i="8"/>
  <c r="E798" i="8"/>
  <c r="E818" i="8"/>
  <c r="E773" i="8"/>
  <c r="E888" i="8"/>
  <c r="B80" i="8"/>
  <c r="B164" i="8"/>
  <c r="B266" i="8"/>
  <c r="B452" i="8"/>
  <c r="E1061" i="36"/>
  <c r="E955" i="36"/>
  <c r="E289" i="36"/>
  <c r="E874" i="36"/>
  <c r="E1149" i="36"/>
  <c r="E136" i="36"/>
  <c r="E763" i="36"/>
  <c r="E1041" i="36"/>
  <c r="E359" i="36"/>
  <c r="E964" i="36"/>
  <c r="E1014" i="36"/>
  <c r="E83" i="36"/>
  <c r="E59" i="36"/>
  <c r="E35" i="36"/>
  <c r="E665" i="36"/>
  <c r="E43" i="36"/>
  <c r="E482" i="36"/>
  <c r="E1056" i="36"/>
  <c r="E146" i="36"/>
  <c r="E673" i="36"/>
  <c r="E1051" i="36"/>
  <c r="E1087" i="36"/>
  <c r="E271" i="36"/>
  <c r="E75" i="36"/>
  <c r="E1097" i="36"/>
  <c r="E51" i="36"/>
  <c r="E700" i="36"/>
  <c r="E168" i="36"/>
  <c r="E1123" i="36"/>
  <c r="E912" i="36"/>
  <c r="E742" i="36"/>
  <c r="E749" i="36"/>
  <c r="E680" i="36"/>
  <c r="E385" i="36"/>
  <c r="E379" i="36"/>
  <c r="E295" i="36"/>
  <c r="E1028" i="36"/>
  <c r="E468" i="36"/>
  <c r="E1021" i="36"/>
  <c r="E923" i="36"/>
  <c r="E278" i="36"/>
  <c r="E305" i="36"/>
  <c r="E223" i="36"/>
  <c r="E1166" i="36"/>
  <c r="E855" i="36"/>
  <c r="E509" i="36"/>
  <c r="E344" i="36"/>
  <c r="E183" i="36"/>
  <c r="E944" i="36"/>
  <c r="E1046" i="36"/>
  <c r="E454" i="36"/>
  <c r="E988" i="36"/>
  <c r="E890" i="36"/>
  <c r="E805" i="36"/>
  <c r="E633" i="36"/>
  <c r="E461" i="36"/>
  <c r="E196" i="36"/>
  <c r="E312" i="36"/>
  <c r="E897" i="36"/>
  <c r="E430" i="36"/>
  <c r="E421" i="36"/>
  <c r="E412" i="36"/>
  <c r="E1160" i="36"/>
  <c r="E333" i="36"/>
  <c r="E823" i="36"/>
  <c r="E27" i="36"/>
  <c r="E725" i="36"/>
  <c r="E370" i="36"/>
  <c r="E489" i="36"/>
  <c r="E447" i="36"/>
  <c r="E833" i="36"/>
  <c r="E240" i="36"/>
  <c r="E880" i="36"/>
  <c r="E67" i="36"/>
  <c r="E475" i="36"/>
  <c r="E863" i="36"/>
  <c r="E528" i="36"/>
  <c r="E502" i="36"/>
  <c r="E249" i="36"/>
  <c r="E788" i="36"/>
  <c r="E997" i="36"/>
  <c r="E979" i="36"/>
  <c r="E109" i="36"/>
  <c r="E116" i="36"/>
  <c r="F124" i="36"/>
  <c r="F119" i="36"/>
  <c r="E153" i="36"/>
  <c r="F156" i="36"/>
  <c r="E52" i="11"/>
  <c r="F52" i="11" s="1"/>
  <c r="E28" i="11"/>
  <c r="F28" i="11" s="1"/>
  <c r="E100" i="11"/>
  <c r="F100" i="11" s="1"/>
  <c r="E332" i="11"/>
  <c r="F332" i="11" s="1"/>
  <c r="E40" i="11"/>
  <c r="F40" i="11" s="1"/>
  <c r="E88" i="11"/>
  <c r="F88" i="11" s="1"/>
  <c r="E76" i="11"/>
  <c r="F76" i="11" s="1"/>
  <c r="E297" i="11"/>
  <c r="F297" i="11" s="1"/>
  <c r="E64" i="11"/>
  <c r="F64" i="11" s="1"/>
  <c r="AG303" i="8" l="1"/>
  <c r="AH303" i="8" s="1"/>
  <c r="E171" i="34"/>
  <c r="AG393" i="8"/>
  <c r="AI393" i="8" s="1"/>
  <c r="AJ393" i="8" s="1"/>
  <c r="F393" i="8"/>
  <c r="T393" i="8" s="1"/>
  <c r="F381" i="8"/>
  <c r="T381" i="8" s="1"/>
  <c r="AG381" i="8"/>
  <c r="AI381" i="8" s="1"/>
  <c r="AJ381" i="8" s="1"/>
  <c r="AG345" i="8"/>
  <c r="F345" i="8"/>
  <c r="T345" i="8" s="1"/>
  <c r="AG369" i="8"/>
  <c r="AI369" i="8" s="1"/>
  <c r="AJ369" i="8" s="1"/>
  <c r="F369" i="8"/>
  <c r="T369" i="8" s="1"/>
  <c r="F357" i="8"/>
  <c r="T357" i="8" s="1"/>
  <c r="AG357" i="8"/>
  <c r="AI357" i="8" s="1"/>
  <c r="AJ357" i="8" s="1"/>
  <c r="F303" i="8"/>
  <c r="T303" i="8" s="1"/>
  <c r="F315" i="8"/>
  <c r="T315" i="8" s="1"/>
  <c r="AG315" i="8"/>
  <c r="F327" i="8"/>
  <c r="T327" i="8" s="1"/>
  <c r="AG327" i="8"/>
  <c r="AI327" i="8" s="1"/>
  <c r="AJ327" i="8" s="1"/>
  <c r="T291" i="8"/>
  <c r="AG291" i="8"/>
  <c r="AI291" i="8" s="1"/>
  <c r="AJ291" i="8" s="1"/>
  <c r="F297" i="8"/>
  <c r="T297" i="8" s="1"/>
  <c r="T956" i="8" s="1"/>
  <c r="AI297" i="8"/>
  <c r="AJ297" i="8" s="1"/>
  <c r="F833" i="36"/>
  <c r="T833" i="36" s="1"/>
  <c r="AG833" i="36"/>
  <c r="AG502" i="36"/>
  <c r="F502" i="36"/>
  <c r="AG109" i="36"/>
  <c r="F109" i="36"/>
  <c r="AG475" i="36"/>
  <c r="AI475" i="36" s="1"/>
  <c r="AJ475" i="36" s="1"/>
  <c r="F475" i="36"/>
  <c r="AG725" i="36"/>
  <c r="F725" i="36"/>
  <c r="AG897" i="36"/>
  <c r="AI897" i="36" s="1"/>
  <c r="AJ897" i="36" s="1"/>
  <c r="F897" i="36"/>
  <c r="F454" i="36"/>
  <c r="AG454" i="36"/>
  <c r="AG223" i="36"/>
  <c r="AI223" i="36" s="1"/>
  <c r="AJ223" i="36" s="1"/>
  <c r="F223" i="36"/>
  <c r="F379" i="36"/>
  <c r="T379" i="36" s="1"/>
  <c r="AG379" i="36"/>
  <c r="T700" i="36"/>
  <c r="AG700" i="36"/>
  <c r="AI700" i="36" s="1"/>
  <c r="F146" i="36"/>
  <c r="T146" i="36" s="1"/>
  <c r="AG146" i="36"/>
  <c r="AI146" i="36" s="1"/>
  <c r="AJ146" i="36" s="1"/>
  <c r="AG1014" i="36"/>
  <c r="AI1014" i="36" s="1"/>
  <c r="AJ1014" i="36" s="1"/>
  <c r="F1014" i="36"/>
  <c r="AG289" i="36"/>
  <c r="F289" i="36"/>
  <c r="F888" i="8"/>
  <c r="E39" i="35"/>
  <c r="F39" i="35" s="1"/>
  <c r="AI888" i="8"/>
  <c r="AI869" i="8"/>
  <c r="F869" i="8"/>
  <c r="E34" i="35"/>
  <c r="F34" i="35" s="1"/>
  <c r="AG27" i="36"/>
  <c r="AI27" i="36" s="1"/>
  <c r="AJ27" i="36" s="1"/>
  <c r="F27" i="36"/>
  <c r="F1046" i="36"/>
  <c r="AG1046" i="36"/>
  <c r="AI1046" i="36" s="1"/>
  <c r="AJ1046" i="36" s="1"/>
  <c r="F305" i="36"/>
  <c r="AG305" i="36"/>
  <c r="F385" i="36"/>
  <c r="T385" i="36" s="1"/>
  <c r="AG385" i="36"/>
  <c r="AI385" i="36" s="1"/>
  <c r="AJ385" i="36" s="1"/>
  <c r="T51" i="36"/>
  <c r="AG51" i="36"/>
  <c r="AI51" i="36" s="1"/>
  <c r="F1056" i="36"/>
  <c r="AG1056" i="36"/>
  <c r="AI1056" i="36" s="1"/>
  <c r="AJ1056" i="36" s="1"/>
  <c r="F964" i="36"/>
  <c r="T964" i="36" s="1"/>
  <c r="AG964" i="36"/>
  <c r="AG955" i="36"/>
  <c r="F955" i="36"/>
  <c r="T955" i="36" s="1"/>
  <c r="AI773" i="8"/>
  <c r="F773" i="8"/>
  <c r="E14" i="35"/>
  <c r="F14" i="35" s="1"/>
  <c r="AI737" i="8"/>
  <c r="F737" i="8"/>
  <c r="F171" i="34"/>
  <c r="F197" i="34"/>
  <c r="F199" i="34"/>
  <c r="AG979" i="36"/>
  <c r="AI979" i="36" s="1"/>
  <c r="AJ979" i="36" s="1"/>
  <c r="F979" i="36"/>
  <c r="F312" i="36"/>
  <c r="AG312" i="36"/>
  <c r="AI312" i="36" s="1"/>
  <c r="AJ312" i="36" s="1"/>
  <c r="AG997" i="36"/>
  <c r="AI997" i="36" s="1"/>
  <c r="AJ997" i="36" s="1"/>
  <c r="F997" i="36"/>
  <c r="T997" i="36" s="1"/>
  <c r="F880" i="36"/>
  <c r="AG880" i="36"/>
  <c r="AG823" i="36"/>
  <c r="F823" i="36"/>
  <c r="F196" i="36"/>
  <c r="T196" i="36" s="1"/>
  <c r="AG196" i="36"/>
  <c r="AG944" i="36"/>
  <c r="F944" i="36"/>
  <c r="F278" i="36"/>
  <c r="AG278" i="36"/>
  <c r="AI278" i="36" s="1"/>
  <c r="AJ278" i="36" s="1"/>
  <c r="F680" i="36"/>
  <c r="T680" i="36" s="1"/>
  <c r="AG680" i="36"/>
  <c r="AG1097" i="36"/>
  <c r="AI1097" i="36" s="1"/>
  <c r="T1097" i="36"/>
  <c r="T1108" i="36" s="1"/>
  <c r="F482" i="36"/>
  <c r="AG482" i="36"/>
  <c r="AI482" i="36" s="1"/>
  <c r="AJ482" i="36" s="1"/>
  <c r="AG359" i="36"/>
  <c r="F359" i="36"/>
  <c r="T359" i="36" s="1"/>
  <c r="AG1061" i="36"/>
  <c r="F1061" i="36"/>
  <c r="T1061" i="36" s="1"/>
  <c r="T1073" i="36" s="1"/>
  <c r="F818" i="8"/>
  <c r="AI818" i="8"/>
  <c r="E24" i="35"/>
  <c r="F24" i="35" s="1"/>
  <c r="F203" i="34"/>
  <c r="F67" i="36"/>
  <c r="T67" i="36" s="1"/>
  <c r="AG67" i="36"/>
  <c r="AI67" i="36" s="1"/>
  <c r="AJ67" i="36" s="1"/>
  <c r="F788" i="36"/>
  <c r="T788" i="36" s="1"/>
  <c r="AG788" i="36"/>
  <c r="F240" i="36"/>
  <c r="AG240" i="36"/>
  <c r="AI240" i="36" s="1"/>
  <c r="AJ240" i="36" s="1"/>
  <c r="AG333" i="36"/>
  <c r="AI333" i="36" s="1"/>
  <c r="AJ333" i="36" s="1"/>
  <c r="F333" i="36"/>
  <c r="AG461" i="36"/>
  <c r="AI461" i="36" s="1"/>
  <c r="AJ461" i="36" s="1"/>
  <c r="F461" i="36"/>
  <c r="AG183" i="36"/>
  <c r="F183" i="36"/>
  <c r="AG923" i="36"/>
  <c r="AI923" i="36" s="1"/>
  <c r="AJ923" i="36" s="1"/>
  <c r="F923" i="36"/>
  <c r="AG749" i="36"/>
  <c r="AI749" i="36" s="1"/>
  <c r="AJ749" i="36" s="1"/>
  <c r="F749" i="36"/>
  <c r="T749" i="36" s="1"/>
  <c r="AG75" i="36"/>
  <c r="AI75" i="36" s="1"/>
  <c r="T75" i="36"/>
  <c r="AG43" i="36"/>
  <c r="AI43" i="36" s="1"/>
  <c r="AJ43" i="36" s="1"/>
  <c r="F43" i="36"/>
  <c r="T43" i="36" s="1"/>
  <c r="AG1041" i="36"/>
  <c r="F1041" i="36"/>
  <c r="AI798" i="8"/>
  <c r="F798" i="8"/>
  <c r="E19" i="35"/>
  <c r="F19" i="35" s="1"/>
  <c r="AI850" i="8"/>
  <c r="F850" i="8"/>
  <c r="E29" i="35"/>
  <c r="F29" i="35" s="1"/>
  <c r="AG249" i="36"/>
  <c r="AI249" i="36" s="1"/>
  <c r="AJ249" i="36" s="1"/>
  <c r="F249" i="36"/>
  <c r="T249" i="36" s="1"/>
  <c r="T320" i="36" s="1"/>
  <c r="F633" i="36"/>
  <c r="AG633" i="36"/>
  <c r="F344" i="36"/>
  <c r="AG344" i="36"/>
  <c r="AI344" i="36" s="1"/>
  <c r="AJ344" i="36" s="1"/>
  <c r="F1021" i="36"/>
  <c r="AG1021" i="36"/>
  <c r="AI1021" i="36" s="1"/>
  <c r="AJ1021" i="36" s="1"/>
  <c r="AG742" i="36"/>
  <c r="AI742" i="36" s="1"/>
  <c r="AJ742" i="36" s="1"/>
  <c r="F742" i="36"/>
  <c r="T742" i="36" s="1"/>
  <c r="F271" i="36"/>
  <c r="AG271" i="36"/>
  <c r="AI271" i="36" s="1"/>
  <c r="AJ271" i="36" s="1"/>
  <c r="AG665" i="36"/>
  <c r="AI665" i="36" s="1"/>
  <c r="AJ665" i="36" s="1"/>
  <c r="F665" i="36"/>
  <c r="T665" i="36" s="1"/>
  <c r="T763" i="36"/>
  <c r="AG763" i="36"/>
  <c r="AI763" i="36" s="1"/>
  <c r="AI491" i="8"/>
  <c r="F491" i="8"/>
  <c r="F36" i="37"/>
  <c r="G36" i="37" s="1"/>
  <c r="AI153" i="36"/>
  <c r="F153" i="36"/>
  <c r="F1160" i="36"/>
  <c r="T1160" i="36" s="1"/>
  <c r="AG1160" i="36"/>
  <c r="AG412" i="36"/>
  <c r="AI412" i="36" s="1"/>
  <c r="AJ412" i="36" s="1"/>
  <c r="F412" i="36"/>
  <c r="F509" i="36"/>
  <c r="AG509" i="36"/>
  <c r="AI509" i="36" s="1"/>
  <c r="AJ509" i="36" s="1"/>
  <c r="F912" i="36"/>
  <c r="T912" i="36" s="1"/>
  <c r="AG912" i="36"/>
  <c r="F1087" i="36"/>
  <c r="F1108" i="36" s="1"/>
  <c r="AG1087" i="36"/>
  <c r="F136" i="36"/>
  <c r="T136" i="36" s="1"/>
  <c r="AG136" i="36"/>
  <c r="AI136" i="36" s="1"/>
  <c r="AJ136" i="36" s="1"/>
  <c r="F64" i="37"/>
  <c r="G64" i="37" s="1"/>
  <c r="G98" i="37" s="1"/>
  <c r="F101" i="31" s="1"/>
  <c r="AI519" i="8"/>
  <c r="F519" i="8"/>
  <c r="F173" i="34"/>
  <c r="F175" i="34"/>
  <c r="AG528" i="36"/>
  <c r="F528" i="36"/>
  <c r="T528" i="36" s="1"/>
  <c r="F489" i="36"/>
  <c r="AG489" i="36"/>
  <c r="AI489" i="36" s="1"/>
  <c r="AJ489" i="36" s="1"/>
  <c r="AG421" i="36"/>
  <c r="F421" i="36"/>
  <c r="T421" i="36" s="1"/>
  <c r="F890" i="36"/>
  <c r="AG890" i="36"/>
  <c r="AI890" i="36" s="1"/>
  <c r="AJ890" i="36" s="1"/>
  <c r="F855" i="36"/>
  <c r="T855" i="36" s="1"/>
  <c r="AG855" i="36"/>
  <c r="AG1028" i="36"/>
  <c r="AI1028" i="36" s="1"/>
  <c r="AJ1028" i="36" s="1"/>
  <c r="F1028" i="36"/>
  <c r="F1123" i="36"/>
  <c r="F1134" i="36" s="1"/>
  <c r="AG1123" i="36"/>
  <c r="AI1123" i="36" s="1"/>
  <c r="AJ1123" i="36" s="1"/>
  <c r="F1051" i="36"/>
  <c r="AG1051" i="36"/>
  <c r="AG59" i="36"/>
  <c r="AI59" i="36" s="1"/>
  <c r="T59" i="36"/>
  <c r="F1149" i="36"/>
  <c r="AG1149" i="36"/>
  <c r="AI1149" i="36" s="1"/>
  <c r="AJ1149" i="36" s="1"/>
  <c r="AI467" i="8"/>
  <c r="F7" i="37"/>
  <c r="G7" i="37" s="1"/>
  <c r="F467" i="8"/>
  <c r="F201" i="34"/>
  <c r="F447" i="36"/>
  <c r="AG447" i="36"/>
  <c r="AI447" i="36" s="1"/>
  <c r="AJ447" i="36" s="1"/>
  <c r="AG805" i="36"/>
  <c r="AI805" i="36" s="1"/>
  <c r="AJ805" i="36" s="1"/>
  <c r="F805" i="36"/>
  <c r="T805" i="36" s="1"/>
  <c r="AG468" i="36"/>
  <c r="F468" i="36"/>
  <c r="T35" i="36"/>
  <c r="AG35" i="36"/>
  <c r="AI35" i="36" s="1"/>
  <c r="F116" i="36"/>
  <c r="AI116" i="36"/>
  <c r="F863" i="36"/>
  <c r="AG863" i="36"/>
  <c r="AG370" i="36"/>
  <c r="AI370" i="36" s="1"/>
  <c r="AJ370" i="36" s="1"/>
  <c r="F370" i="36"/>
  <c r="T370" i="36" s="1"/>
  <c r="F430" i="36"/>
  <c r="T430" i="36" s="1"/>
  <c r="AG430" i="36"/>
  <c r="F988" i="36"/>
  <c r="T988" i="36" s="1"/>
  <c r="AG988" i="36"/>
  <c r="AG1166" i="36"/>
  <c r="AI1166" i="36" s="1"/>
  <c r="AJ1166" i="36" s="1"/>
  <c r="F1166" i="36"/>
  <c r="T1166" i="36" s="1"/>
  <c r="F295" i="36"/>
  <c r="AG295" i="36"/>
  <c r="AI295" i="36" s="1"/>
  <c r="AJ295" i="36" s="1"/>
  <c r="F168" i="36"/>
  <c r="T168" i="36" s="1"/>
  <c r="AG168" i="36"/>
  <c r="AI168" i="36" s="1"/>
  <c r="AJ168" i="36" s="1"/>
  <c r="F673" i="36"/>
  <c r="T673" i="36" s="1"/>
  <c r="AG673" i="36"/>
  <c r="AI673" i="36" s="1"/>
  <c r="AJ673" i="36" s="1"/>
  <c r="T83" i="36"/>
  <c r="AG83" i="36"/>
  <c r="AI83" i="36" s="1"/>
  <c r="AG874" i="36"/>
  <c r="AI874" i="36" s="1"/>
  <c r="AJ874" i="36" s="1"/>
  <c r="F874" i="36"/>
  <c r="F195" i="34"/>
  <c r="AI303" i="8" l="1"/>
  <c r="AJ303" i="8" s="1"/>
  <c r="AH381" i="8"/>
  <c r="AK381" i="8"/>
  <c r="AH393" i="8"/>
  <c r="AK393" i="8"/>
  <c r="AH369" i="8"/>
  <c r="AK369" i="8"/>
  <c r="AH345" i="8"/>
  <c r="AK357" i="8"/>
  <c r="AH357" i="8"/>
  <c r="AI345" i="8"/>
  <c r="AJ345" i="8" s="1"/>
  <c r="F953" i="8"/>
  <c r="F23" i="1" s="1"/>
  <c r="E23" i="1" s="1"/>
  <c r="T953" i="8"/>
  <c r="AJ953" i="8" s="1"/>
  <c r="AH327" i="8"/>
  <c r="AK327" i="8"/>
  <c r="AH315" i="8"/>
  <c r="AI315" i="8"/>
  <c r="AJ315" i="8" s="1"/>
  <c r="AH291" i="8"/>
  <c r="AK303" i="8"/>
  <c r="AK291" i="8"/>
  <c r="E169" i="34"/>
  <c r="F169" i="34" s="1"/>
  <c r="F187" i="34" s="1"/>
  <c r="F21" i="31" s="1"/>
  <c r="AJ956" i="8"/>
  <c r="T26" i="1"/>
  <c r="AK297" i="8"/>
  <c r="AH297" i="8"/>
  <c r="G50" i="37"/>
  <c r="F99" i="31" s="1"/>
  <c r="H101" i="31" s="1"/>
  <c r="F222" i="34"/>
  <c r="F23" i="31" s="1"/>
  <c r="B1108" i="36"/>
  <c r="F1073" i="36"/>
  <c r="B1073" i="36" s="1"/>
  <c r="AK491" i="8"/>
  <c r="AJ491" i="8"/>
  <c r="AH183" i="36"/>
  <c r="AH1061" i="36"/>
  <c r="T944" i="36"/>
  <c r="T1036" i="36" s="1"/>
  <c r="F1036" i="36"/>
  <c r="AH823" i="36"/>
  <c r="F50" i="35"/>
  <c r="F178" i="31" s="1"/>
  <c r="H178" i="31" s="1"/>
  <c r="F1200" i="36"/>
  <c r="T27" i="36"/>
  <c r="F92" i="36"/>
  <c r="F1186" i="36"/>
  <c r="T888" i="8"/>
  <c r="E890" i="8"/>
  <c r="F934" i="8"/>
  <c r="AH109" i="36"/>
  <c r="F412" i="8"/>
  <c r="T1149" i="36"/>
  <c r="T1175" i="36" s="1"/>
  <c r="F1175" i="36"/>
  <c r="F1181" i="36" s="1"/>
  <c r="F1140" i="36"/>
  <c r="B1140" i="36" s="1"/>
  <c r="B1134" i="36"/>
  <c r="AK509" i="36"/>
  <c r="AH509" i="36"/>
  <c r="T153" i="36"/>
  <c r="F161" i="36"/>
  <c r="F1187" i="36" s="1"/>
  <c r="B1187" i="36" s="1"/>
  <c r="E155" i="36"/>
  <c r="AH344" i="36"/>
  <c r="AK344" i="36"/>
  <c r="AH1041" i="36"/>
  <c r="AH944" i="36"/>
  <c r="AH880" i="36"/>
  <c r="F786" i="8"/>
  <c r="E775" i="8"/>
  <c r="F942" i="8"/>
  <c r="T773" i="8"/>
  <c r="F320" i="36"/>
  <c r="B320" i="36" s="1"/>
  <c r="T725" i="36"/>
  <c r="T818" i="36" s="1"/>
  <c r="F818" i="36"/>
  <c r="AI109" i="36"/>
  <c r="AJ109" i="36" s="1"/>
  <c r="AH863" i="36"/>
  <c r="T695" i="36"/>
  <c r="AH1087" i="36"/>
  <c r="AK153" i="36"/>
  <c r="AJ153" i="36"/>
  <c r="T850" i="8"/>
  <c r="E852" i="8"/>
  <c r="F858" i="8"/>
  <c r="AK749" i="36"/>
  <c r="AH749" i="36"/>
  <c r="AH788" i="36"/>
  <c r="AH359" i="36"/>
  <c r="AH680" i="36"/>
  <c r="AI944" i="36"/>
  <c r="AJ944" i="36" s="1"/>
  <c r="AI880" i="36"/>
  <c r="AJ880" i="36" s="1"/>
  <c r="AK773" i="8"/>
  <c r="AJ773" i="8"/>
  <c r="AH1056" i="36"/>
  <c r="AK1056" i="36"/>
  <c r="AH305" i="36"/>
  <c r="AH27" i="36"/>
  <c r="AK27" i="36"/>
  <c r="AH289" i="36"/>
  <c r="AK223" i="36"/>
  <c r="AH223" i="36"/>
  <c r="AH725" i="36"/>
  <c r="F695" i="36"/>
  <c r="AI863" i="36"/>
  <c r="AJ863" i="36" s="1"/>
  <c r="AH468" i="36"/>
  <c r="AH430" i="36"/>
  <c r="AI468" i="36"/>
  <c r="AJ468" i="36" s="1"/>
  <c r="AK890" i="36"/>
  <c r="AH890" i="36"/>
  <c r="AH673" i="36"/>
  <c r="AK673" i="36"/>
  <c r="AI430" i="36"/>
  <c r="AJ430" i="36" s="1"/>
  <c r="AK116" i="36"/>
  <c r="AJ116" i="36"/>
  <c r="AH528" i="36"/>
  <c r="AI1087" i="36"/>
  <c r="AJ1087" i="36" s="1"/>
  <c r="F497" i="36"/>
  <c r="AH633" i="36"/>
  <c r="AJ850" i="8"/>
  <c r="AK850" i="8"/>
  <c r="AH461" i="36"/>
  <c r="AK461" i="36"/>
  <c r="AI359" i="36"/>
  <c r="AJ359" i="36" s="1"/>
  <c r="AI680" i="36"/>
  <c r="AJ680" i="36" s="1"/>
  <c r="AH196" i="36"/>
  <c r="AI289" i="36"/>
  <c r="AJ289" i="36" s="1"/>
  <c r="AH454" i="36"/>
  <c r="AI725" i="36"/>
  <c r="AJ725" i="36" s="1"/>
  <c r="AH502" i="36"/>
  <c r="F340" i="8"/>
  <c r="F967" i="8"/>
  <c r="T116" i="36"/>
  <c r="E118" i="36"/>
  <c r="F128" i="36"/>
  <c r="F1188" i="36" s="1"/>
  <c r="B1188" i="36" s="1"/>
  <c r="AH805" i="36"/>
  <c r="AK805" i="36"/>
  <c r="E469" i="8"/>
  <c r="T467" i="8"/>
  <c r="F754" i="8"/>
  <c r="F475" i="8"/>
  <c r="T497" i="36"/>
  <c r="AI528" i="36"/>
  <c r="AJ528" i="36" s="1"/>
  <c r="T519" i="8"/>
  <c r="E521" i="8"/>
  <c r="F729" i="8"/>
  <c r="AK742" i="36"/>
  <c r="AH742" i="36"/>
  <c r="AI633" i="36"/>
  <c r="AJ633" i="36" s="1"/>
  <c r="AK43" i="36"/>
  <c r="AH43" i="36"/>
  <c r="T333" i="36"/>
  <c r="T399" i="36" s="1"/>
  <c r="F399" i="36"/>
  <c r="AI788" i="36"/>
  <c r="AJ788" i="36" s="1"/>
  <c r="AJ818" i="8"/>
  <c r="AK818" i="8"/>
  <c r="AI196" i="36"/>
  <c r="AJ196" i="36" s="1"/>
  <c r="AK979" i="36"/>
  <c r="AH979" i="36"/>
  <c r="AH955" i="36"/>
  <c r="AI305" i="36"/>
  <c r="AJ305" i="36" s="1"/>
  <c r="F877" i="8"/>
  <c r="E871" i="8"/>
  <c r="T869" i="8"/>
  <c r="AI502" i="36"/>
  <c r="AJ502" i="36" s="1"/>
  <c r="AH1051" i="36"/>
  <c r="AK1028" i="36"/>
  <c r="AH1028" i="36"/>
  <c r="AH421" i="36"/>
  <c r="AJ519" i="8"/>
  <c r="AK519" i="8"/>
  <c r="AH912" i="36"/>
  <c r="AH412" i="36"/>
  <c r="AK412" i="36"/>
  <c r="F806" i="8"/>
  <c r="E800" i="8"/>
  <c r="T798" i="8"/>
  <c r="AH923" i="36"/>
  <c r="AK923" i="36"/>
  <c r="AK333" i="36"/>
  <c r="AH333" i="36"/>
  <c r="AH67" i="36"/>
  <c r="AK67" i="36"/>
  <c r="E820" i="8"/>
  <c r="T818" i="8"/>
  <c r="F838" i="8"/>
  <c r="AH482" i="36"/>
  <c r="AK482" i="36"/>
  <c r="AI955" i="36"/>
  <c r="AJ955" i="36" s="1"/>
  <c r="AH1046" i="36"/>
  <c r="AK1046" i="36"/>
  <c r="AK869" i="8"/>
  <c r="AJ869" i="8"/>
  <c r="AH379" i="36"/>
  <c r="AI454" i="36"/>
  <c r="AJ454" i="36" s="1"/>
  <c r="AK475" i="36"/>
  <c r="AH475" i="36"/>
  <c r="AH833" i="36"/>
  <c r="AH988" i="36"/>
  <c r="AK467" i="8"/>
  <c r="AJ467" i="8"/>
  <c r="AH855" i="36"/>
  <c r="AI421" i="36"/>
  <c r="AJ421" i="36" s="1"/>
  <c r="AJ798" i="8"/>
  <c r="AK798" i="8"/>
  <c r="AI183" i="36"/>
  <c r="AJ183" i="36" s="1"/>
  <c r="AI1061" i="36"/>
  <c r="AJ1061" i="36" s="1"/>
  <c r="AK278" i="36"/>
  <c r="AH278" i="36"/>
  <c r="F931" i="36"/>
  <c r="T823" i="36"/>
  <c r="T931" i="36" s="1"/>
  <c r="AH997" i="36"/>
  <c r="AK997" i="36"/>
  <c r="F745" i="8"/>
  <c r="E739" i="8"/>
  <c r="AH964" i="36"/>
  <c r="AJ888" i="8"/>
  <c r="AK888" i="8"/>
  <c r="AH1014" i="36"/>
  <c r="AK1014" i="36"/>
  <c r="AH1123" i="36"/>
  <c r="AK1123" i="36"/>
  <c r="AK295" i="36"/>
  <c r="AH295" i="36"/>
  <c r="AK168" i="36"/>
  <c r="AH168" i="36"/>
  <c r="AH1166" i="36"/>
  <c r="AK1166" i="36"/>
  <c r="AH447" i="36"/>
  <c r="AK447" i="36"/>
  <c r="AI1051" i="36"/>
  <c r="AJ1051" i="36" s="1"/>
  <c r="AH1160" i="36"/>
  <c r="AH665" i="36"/>
  <c r="AK665" i="36"/>
  <c r="AK1021" i="36"/>
  <c r="AH1021" i="36"/>
  <c r="AK874" i="36"/>
  <c r="AH874" i="36"/>
  <c r="AI988" i="36"/>
  <c r="AJ988" i="36" s="1"/>
  <c r="AK370" i="36"/>
  <c r="AH370" i="36"/>
  <c r="AH1149" i="36"/>
  <c r="AK1149" i="36"/>
  <c r="AI855" i="36"/>
  <c r="AJ855" i="36" s="1"/>
  <c r="AK489" i="36"/>
  <c r="AH489" i="36"/>
  <c r="AK136" i="36"/>
  <c r="AH136" i="36"/>
  <c r="AI912" i="36"/>
  <c r="AJ912" i="36" s="1"/>
  <c r="AI1160" i="36"/>
  <c r="AJ1160" i="36" s="1"/>
  <c r="T491" i="8"/>
  <c r="E493" i="8"/>
  <c r="F504" i="8"/>
  <c r="AK271" i="36"/>
  <c r="AH271" i="36"/>
  <c r="AH249" i="36"/>
  <c r="AK249" i="36"/>
  <c r="AI1041" i="36"/>
  <c r="AJ1041" i="36" s="1"/>
  <c r="AK240" i="36"/>
  <c r="AH240" i="36"/>
  <c r="AI823" i="36"/>
  <c r="AJ823" i="36" s="1"/>
  <c r="AH312" i="36"/>
  <c r="AK312" i="36"/>
  <c r="AJ737" i="8"/>
  <c r="AK737" i="8"/>
  <c r="AI964" i="36"/>
  <c r="AJ964" i="36" s="1"/>
  <c r="AK385" i="36"/>
  <c r="AH385" i="36"/>
  <c r="AH146" i="36"/>
  <c r="AK146" i="36"/>
  <c r="AI379" i="36"/>
  <c r="AJ379" i="36" s="1"/>
  <c r="AK897" i="36"/>
  <c r="AH897" i="36"/>
  <c r="F210" i="36"/>
  <c r="T109" i="36"/>
  <c r="AI833" i="36"/>
  <c r="AJ833" i="36" s="1"/>
  <c r="AK345" i="8" l="1"/>
  <c r="T963" i="8"/>
  <c r="T23" i="1"/>
  <c r="T35" i="1" s="1"/>
  <c r="T39" i="1" s="1"/>
  <c r="AJ963" i="8"/>
  <c r="AK963" i="8" s="1"/>
  <c r="B953" i="8"/>
  <c r="AK315" i="8"/>
  <c r="F955" i="8"/>
  <c r="B955" i="8" s="1"/>
  <c r="AH952" i="8"/>
  <c r="AH964" i="8" s="1"/>
  <c r="H25" i="31"/>
  <c r="H200" i="31" s="1"/>
  <c r="T210" i="36"/>
  <c r="B210" i="36" s="1"/>
  <c r="AK359" i="36"/>
  <c r="B399" i="36"/>
  <c r="AK468" i="36"/>
  <c r="AJ1185" i="36"/>
  <c r="AK1087" i="36"/>
  <c r="F956" i="8"/>
  <c r="F26" i="1" s="1"/>
  <c r="AK680" i="36"/>
  <c r="AK964" i="36"/>
  <c r="F954" i="8"/>
  <c r="AK196" i="36"/>
  <c r="AK944" i="36"/>
  <c r="AK1160" i="36"/>
  <c r="F760" i="8"/>
  <c r="T967" i="8"/>
  <c r="B967" i="8" s="1"/>
  <c r="T340" i="8"/>
  <c r="B340" i="8" s="1"/>
  <c r="AK454" i="36"/>
  <c r="B497" i="36"/>
  <c r="B695" i="36"/>
  <c r="AH1185" i="36"/>
  <c r="AH1197" i="36" s="1"/>
  <c r="AK988" i="36"/>
  <c r="AK379" i="36"/>
  <c r="AK633" i="36"/>
  <c r="AK833" i="36"/>
  <c r="AK421" i="36"/>
  <c r="T754" i="8"/>
  <c r="T760" i="8" s="1"/>
  <c r="T942" i="8"/>
  <c r="T948" i="8" s="1"/>
  <c r="AK1041" i="36"/>
  <c r="AK823" i="36"/>
  <c r="AK183" i="36"/>
  <c r="F969" i="8"/>
  <c r="F458" i="8"/>
  <c r="AK430" i="36"/>
  <c r="AK725" i="36"/>
  <c r="AK305" i="36"/>
  <c r="AK863" i="36"/>
  <c r="F948" i="8"/>
  <c r="F1196" i="36"/>
  <c r="B931" i="36"/>
  <c r="F1202" i="36"/>
  <c r="F1114" i="36"/>
  <c r="F1079" i="36"/>
  <c r="B1036" i="36"/>
  <c r="AK855" i="36"/>
  <c r="AK912" i="36"/>
  <c r="AK1051" i="36"/>
  <c r="AK955" i="36"/>
  <c r="AK528" i="36"/>
  <c r="AJ952" i="8"/>
  <c r="AK788" i="36"/>
  <c r="T412" i="8"/>
  <c r="B412" i="8" s="1"/>
  <c r="T1200" i="36"/>
  <c r="B1200" i="36" s="1"/>
  <c r="T1186" i="36"/>
  <c r="B1186" i="36" s="1"/>
  <c r="T92" i="36"/>
  <c r="B92" i="36" s="1"/>
  <c r="B818" i="36"/>
  <c r="AK880" i="36"/>
  <c r="T1181" i="36"/>
  <c r="B1181" i="36" s="1"/>
  <c r="B1175" i="36"/>
  <c r="AK502" i="36"/>
  <c r="AK289" i="36"/>
  <c r="AK109" i="36"/>
  <c r="AK1061" i="36"/>
  <c r="AK952" i="8" l="1"/>
  <c r="AK964" i="8" s="1"/>
  <c r="AJ964" i="8"/>
  <c r="A23" i="1"/>
  <c r="B23" i="1"/>
  <c r="F25" i="1"/>
  <c r="A25" i="1" s="1"/>
  <c r="H202" i="31"/>
  <c r="H204" i="31" s="1"/>
  <c r="B35" i="1"/>
  <c r="B754" i="8"/>
  <c r="AK1185" i="36"/>
  <c r="B956" i="8"/>
  <c r="F1204" i="36"/>
  <c r="B942" i="8"/>
  <c r="AJ1186" i="36"/>
  <c r="AJ1196" i="36" s="1"/>
  <c r="T1196" i="36"/>
  <c r="J178" i="31"/>
  <c r="B948" i="8"/>
  <c r="T969" i="8"/>
  <c r="B969" i="8" s="1"/>
  <c r="T458" i="8"/>
  <c r="T971" i="8" s="1"/>
  <c r="F24" i="1"/>
  <c r="B954" i="8"/>
  <c r="F963" i="8"/>
  <c r="F964" i="8" s="1"/>
  <c r="J25" i="31"/>
  <c r="F971" i="8"/>
  <c r="T1202" i="36"/>
  <c r="B1202" i="36" s="1"/>
  <c r="T1079" i="36"/>
  <c r="T1114" i="36"/>
  <c r="B1114" i="36" s="1"/>
  <c r="B26" i="1"/>
  <c r="A26" i="1"/>
  <c r="E26" i="1"/>
  <c r="J101" i="31"/>
  <c r="B760" i="8"/>
  <c r="B25" i="1" l="1"/>
  <c r="E25" i="1"/>
  <c r="T1204" i="36"/>
  <c r="B1204" i="36" s="1"/>
  <c r="AK1196" i="36"/>
  <c r="AK1197" i="36" s="1"/>
  <c r="AJ1197" i="36"/>
  <c r="B24" i="1"/>
  <c r="E24" i="1"/>
  <c r="A24" i="1"/>
  <c r="B19" i="1" s="1"/>
  <c r="C72" i="1"/>
  <c r="F35" i="1"/>
  <c r="B1079" i="36"/>
  <c r="B971" i="8"/>
  <c r="J200" i="31"/>
  <c r="B458" i="8"/>
  <c r="E35" i="1" l="1"/>
  <c r="F72" i="1"/>
  <c r="Q15" i="1"/>
  <c r="B5" i="39"/>
  <c r="F75" i="1" l="1"/>
  <c r="R83" i="1" s="1"/>
  <c r="Q19" i="1" s="1"/>
  <c r="E22" i="18"/>
  <c r="Q16" i="1"/>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Thomas Sammut</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T1" authorId="1" shapeId="0" xr:uid="{34B4AE55-5957-4A8A-AAA6-6BF57945A5A7}">
      <text>
        <r>
          <rPr>
            <b/>
            <sz val="9"/>
            <color indexed="81"/>
            <rFont val="Tahoma"/>
            <family val="2"/>
          </rPr>
          <t>Thomas Sammut:</t>
        </r>
        <r>
          <rPr>
            <sz val="9"/>
            <color indexed="81"/>
            <rFont val="Tahoma"/>
            <family val="2"/>
          </rPr>
          <t xml:space="preserve">
10% for BMS to agree with the orignal Mark Up - See BMS items</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1FD201A7-8202-439C-BC8A-12EE265F01F1}">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Thomas Sammut</author>
  </authors>
  <commentList>
    <comment ref="A475" authorId="0" shapeId="0" xr:uid="{1E5F1A8A-CF25-496F-9D6E-5D31158B785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S476" authorId="1" shapeId="0" xr:uid="{76275465-C42F-4E71-9F55-CADB93D0EA31}">
      <text>
        <r>
          <rPr>
            <b/>
            <sz val="9"/>
            <color indexed="81"/>
            <rFont val="Tahoma"/>
            <family val="2"/>
          </rPr>
          <t>Thomas Sammut:</t>
        </r>
        <r>
          <rPr>
            <sz val="9"/>
            <color indexed="81"/>
            <rFont val="Tahoma"/>
            <family val="2"/>
          </rPr>
          <t xml:space="preserve">
Value as advised by GUY on 18.09.2025.  This he passed directly to Isaac during tender preparation.</t>
        </r>
      </text>
    </comment>
    <comment ref="A504" authorId="0" shapeId="0" xr:uid="{B328ABAA-3AFE-4E9C-ABAB-98E3E2C97A6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729" authorId="0" shapeId="0" xr:uid="{EEE17564-EF89-44FA-AB3B-2A10353C1EF8}">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745" authorId="0" shapeId="0" xr:uid="{4DFE0E54-9EEF-4B0E-8E5A-E1F6DD7FE6EC}">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786" authorId="0" shapeId="0" xr:uid="{E02789C9-46BF-4A21-B0AB-0780FA9D2751}">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806" authorId="0" shapeId="0" xr:uid="{0547C59C-366B-4ABB-8210-FD05476DDEB7}">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S822" authorId="1" shapeId="0" xr:uid="{390E2A0F-4E27-4C54-A2AD-3C09B55FE388}">
      <text>
        <r>
          <rPr>
            <b/>
            <sz val="9"/>
            <color indexed="81"/>
            <rFont val="Tahoma"/>
            <family val="2"/>
          </rPr>
          <t>Thomas Sammut:</t>
        </r>
        <r>
          <rPr>
            <sz val="9"/>
            <color indexed="81"/>
            <rFont val="Tahoma"/>
            <family val="2"/>
          </rPr>
          <t xml:space="preserve">
Includes 10% contingency as per original estimate</t>
        </r>
      </text>
    </comment>
    <comment ref="S826" authorId="1" shapeId="0" xr:uid="{42F14643-96D4-4AEE-9ADA-0AE5344B8A25}">
      <text>
        <r>
          <rPr>
            <b/>
            <sz val="9"/>
            <color indexed="81"/>
            <rFont val="Tahoma"/>
            <family val="2"/>
          </rPr>
          <t>Thomas Sammut:</t>
        </r>
        <r>
          <rPr>
            <sz val="9"/>
            <color indexed="81"/>
            <rFont val="Tahoma"/>
            <family val="2"/>
          </rPr>
          <t xml:space="preserve">
Includes 10% contingency as per original estimate</t>
        </r>
      </text>
    </comment>
    <comment ref="S828" authorId="1" shapeId="0" xr:uid="{4DF24B77-9D1F-4FC3-AE98-819B17906109}">
      <text>
        <r>
          <rPr>
            <b/>
            <sz val="9"/>
            <color indexed="81"/>
            <rFont val="Tahoma"/>
            <family val="2"/>
          </rPr>
          <t>Thomas Sammut:</t>
        </r>
        <r>
          <rPr>
            <sz val="9"/>
            <color indexed="81"/>
            <rFont val="Tahoma"/>
            <family val="2"/>
          </rPr>
          <t xml:space="preserve">
Includes 10% contingency as per original estimate</t>
        </r>
      </text>
    </comment>
    <comment ref="S829" authorId="1" shapeId="0" xr:uid="{A5667F55-FD17-4674-96AF-E4B67F18B9B9}">
      <text>
        <r>
          <rPr>
            <b/>
            <sz val="9"/>
            <color indexed="81"/>
            <rFont val="Tahoma"/>
            <family val="2"/>
          </rPr>
          <t>Thomas Sammut:</t>
        </r>
        <r>
          <rPr>
            <sz val="9"/>
            <color indexed="81"/>
            <rFont val="Tahoma"/>
            <family val="2"/>
          </rPr>
          <t xml:space="preserve">
Includes 10% contingency as per original estimate</t>
        </r>
      </text>
    </comment>
    <comment ref="S830" authorId="1" shapeId="0" xr:uid="{655403C5-49C9-4596-9EBC-1F22F3964523}">
      <text>
        <r>
          <rPr>
            <b/>
            <sz val="9"/>
            <color indexed="81"/>
            <rFont val="Tahoma"/>
            <family val="2"/>
          </rPr>
          <t>Thomas Sammut:</t>
        </r>
        <r>
          <rPr>
            <sz val="9"/>
            <color indexed="81"/>
            <rFont val="Tahoma"/>
            <family val="2"/>
          </rPr>
          <t xml:space="preserve">
Includes 10% contingency as per original estimate</t>
        </r>
      </text>
    </comment>
    <comment ref="S831" authorId="1" shapeId="0" xr:uid="{C0F6B0EC-A161-44C0-A24C-DC1DC2CCA7D9}">
      <text>
        <r>
          <rPr>
            <b/>
            <sz val="9"/>
            <color indexed="81"/>
            <rFont val="Tahoma"/>
            <family val="2"/>
          </rPr>
          <t>Thomas Sammut:</t>
        </r>
        <r>
          <rPr>
            <sz val="9"/>
            <color indexed="81"/>
            <rFont val="Tahoma"/>
            <family val="2"/>
          </rPr>
          <t xml:space="preserve">
Includes 10% contingency as per original estimate</t>
        </r>
      </text>
    </comment>
    <comment ref="A838" authorId="0" shapeId="0" xr:uid="{CE03B5FD-6CBE-479E-8F1D-E1D51A6DF4E7}">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S854" authorId="1" shapeId="0" xr:uid="{1063D66C-595F-49EA-8010-3DD78F037536}">
      <text>
        <r>
          <rPr>
            <b/>
            <sz val="9"/>
            <color indexed="81"/>
            <rFont val="Tahoma"/>
            <family val="2"/>
          </rPr>
          <t>Thomas Sammut:</t>
        </r>
        <r>
          <rPr>
            <sz val="9"/>
            <color indexed="81"/>
            <rFont val="Tahoma"/>
            <family val="2"/>
          </rPr>
          <t xml:space="preserve">
Includes 10% contingency as per original estimate</t>
        </r>
      </text>
    </comment>
    <comment ref="A858" authorId="0" shapeId="0" xr:uid="{C4062A73-DBED-489A-BAC2-B10CAE7B96B7}">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S873" authorId="1" shapeId="0" xr:uid="{411260ED-1529-438E-A5AC-5E6D71AF117A}">
      <text>
        <r>
          <rPr>
            <b/>
            <sz val="9"/>
            <color indexed="81"/>
            <rFont val="Tahoma"/>
            <family val="2"/>
          </rPr>
          <t>Thomas Sammut:</t>
        </r>
        <r>
          <rPr>
            <sz val="9"/>
            <color indexed="81"/>
            <rFont val="Tahoma"/>
            <family val="2"/>
          </rPr>
          <t xml:space="preserve">
Includes 10% contingency as per original estimate</t>
        </r>
      </text>
    </comment>
    <comment ref="A877" authorId="0" shapeId="0" xr:uid="{7DE877AA-E35A-4A23-B663-719EFD9D60C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S912" authorId="1" shapeId="0" xr:uid="{D4C5B9EB-5741-4705-857B-FF1A058597A2}">
      <text>
        <r>
          <rPr>
            <b/>
            <sz val="9"/>
            <color indexed="81"/>
            <rFont val="Tahoma"/>
            <family val="2"/>
          </rPr>
          <t>Thomas Sammut:</t>
        </r>
        <r>
          <rPr>
            <sz val="9"/>
            <color indexed="81"/>
            <rFont val="Tahoma"/>
            <family val="2"/>
          </rPr>
          <t xml:space="preserve">
Includes 10% contingency as per original estimate</t>
        </r>
      </text>
    </comment>
    <comment ref="S913" authorId="1" shapeId="0" xr:uid="{84DAF8B4-2F5B-4511-93A6-E6F127ECB78F}">
      <text>
        <r>
          <rPr>
            <b/>
            <sz val="9"/>
            <color indexed="81"/>
            <rFont val="Tahoma"/>
            <family val="2"/>
          </rPr>
          <t>Thomas Sammut:</t>
        </r>
        <r>
          <rPr>
            <sz val="9"/>
            <color indexed="81"/>
            <rFont val="Tahoma"/>
            <family val="2"/>
          </rPr>
          <t xml:space="preserve">
Includes 10% contingency as per original estimate</t>
        </r>
      </text>
    </comment>
    <comment ref="S914" authorId="1" shapeId="0" xr:uid="{13EB45C6-ED46-4218-8E2F-7456912D8190}">
      <text>
        <r>
          <rPr>
            <b/>
            <sz val="9"/>
            <color indexed="81"/>
            <rFont val="Tahoma"/>
            <family val="2"/>
          </rPr>
          <t>Thomas Sammut:</t>
        </r>
        <r>
          <rPr>
            <sz val="9"/>
            <color indexed="81"/>
            <rFont val="Tahoma"/>
            <family val="2"/>
          </rPr>
          <t xml:space="preserve">
Includes 10% contingency as per original estimate</t>
        </r>
      </text>
    </comment>
    <comment ref="S915" authorId="1" shapeId="0" xr:uid="{8188ED55-DCD5-4910-807B-74B8DFC07619}">
      <text>
        <r>
          <rPr>
            <b/>
            <sz val="9"/>
            <color indexed="81"/>
            <rFont val="Tahoma"/>
            <family val="2"/>
          </rPr>
          <t>Thomas Sammut:</t>
        </r>
        <r>
          <rPr>
            <sz val="9"/>
            <color indexed="81"/>
            <rFont val="Tahoma"/>
            <family val="2"/>
          </rPr>
          <t xml:space="preserve">
Includes 10% contingency as per original estimate</t>
        </r>
      </text>
    </comment>
    <comment ref="S923" authorId="1" shapeId="0" xr:uid="{D3C438BE-695B-40B3-81C4-862F16B78DD5}">
      <text>
        <r>
          <rPr>
            <b/>
            <sz val="9"/>
            <color indexed="81"/>
            <rFont val="Tahoma"/>
            <family val="2"/>
          </rPr>
          <t>Thomas Sammut:</t>
        </r>
        <r>
          <rPr>
            <sz val="9"/>
            <color indexed="81"/>
            <rFont val="Tahoma"/>
            <family val="2"/>
          </rPr>
          <t xml:space="preserve">
Includes 10% contingency as per original estimate</t>
        </r>
      </text>
    </comment>
    <comment ref="S924" authorId="1" shapeId="0" xr:uid="{A6E5F198-8201-4A36-9ADE-A9B82FE8BE08}">
      <text>
        <r>
          <rPr>
            <b/>
            <sz val="9"/>
            <color indexed="81"/>
            <rFont val="Tahoma"/>
            <family val="2"/>
          </rPr>
          <t>Thomas Sammut:</t>
        </r>
        <r>
          <rPr>
            <sz val="9"/>
            <color indexed="81"/>
            <rFont val="Tahoma"/>
            <family val="2"/>
          </rPr>
          <t xml:space="preserve">
Includes 10% contingency as per original estimate</t>
        </r>
      </text>
    </comment>
    <comment ref="S925" authorId="1" shapeId="0" xr:uid="{0C10BE86-9DEB-47E8-8487-C7B311F661B4}">
      <text>
        <r>
          <rPr>
            <b/>
            <sz val="9"/>
            <color indexed="81"/>
            <rFont val="Tahoma"/>
            <family val="2"/>
          </rPr>
          <t>Thomas Sammut:</t>
        </r>
        <r>
          <rPr>
            <sz val="9"/>
            <color indexed="81"/>
            <rFont val="Tahoma"/>
            <family val="2"/>
          </rPr>
          <t xml:space="preserve">
Includes 10% contingency as per original estimate</t>
        </r>
      </text>
    </comment>
    <comment ref="S926" authorId="1" shapeId="0" xr:uid="{D2BCCC8E-F446-4CB1-B246-83BFC11AF92A}">
      <text>
        <r>
          <rPr>
            <b/>
            <sz val="9"/>
            <color indexed="81"/>
            <rFont val="Tahoma"/>
            <family val="2"/>
          </rPr>
          <t>Thomas Sammut:</t>
        </r>
        <r>
          <rPr>
            <sz val="9"/>
            <color indexed="81"/>
            <rFont val="Tahoma"/>
            <family val="2"/>
          </rPr>
          <t xml:space="preserve">
Includes 10% contingency as per original estimate</t>
        </r>
      </text>
    </comment>
    <comment ref="S927" authorId="1" shapeId="0" xr:uid="{8F58DBF1-F905-4904-9661-2798925CD945}">
      <text>
        <r>
          <rPr>
            <b/>
            <sz val="9"/>
            <color indexed="81"/>
            <rFont val="Tahoma"/>
            <family val="2"/>
          </rPr>
          <t>Thomas Sammut:</t>
        </r>
        <r>
          <rPr>
            <sz val="9"/>
            <color indexed="81"/>
            <rFont val="Tahoma"/>
            <family val="2"/>
          </rPr>
          <t xml:space="preserve">
Includes 10% contingency as per original estimate</t>
        </r>
      </text>
    </comment>
    <comment ref="A934" authorId="0" shapeId="0" xr:uid="{D0986E15-2E18-4242-88FE-3E1ED45EE5FE}">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K952" authorId="0" shapeId="0" xr:uid="{00000000-0006-0000-0400-000019000000}">
      <text>
        <r>
          <rPr>
            <b/>
            <sz val="10"/>
            <color indexed="81"/>
            <rFont val="Tahoma"/>
            <family val="2"/>
          </rPr>
          <t>Michael Vella:</t>
        </r>
        <r>
          <rPr>
            <sz val="10"/>
            <color indexed="81"/>
            <rFont val="Tahoma"/>
            <family val="2"/>
          </rPr>
          <t xml:space="preserve">
This cell should be exactly equal to the MU SUMMARY TOTAL.</t>
        </r>
      </text>
    </comment>
    <comment ref="AH964" authorId="0" shapeId="0" xr:uid="{00000000-0006-0000-0400-00001A000000}">
      <text>
        <r>
          <rPr>
            <b/>
            <sz val="10"/>
            <color indexed="81"/>
            <rFont val="Tahoma"/>
            <family val="2"/>
          </rPr>
          <t>Michael Vella:</t>
        </r>
        <r>
          <rPr>
            <sz val="10"/>
            <color indexed="81"/>
            <rFont val="Tahoma"/>
            <family val="2"/>
          </rPr>
          <t xml:space="preserve">
This discrepancy must be small</t>
        </r>
      </text>
    </comment>
    <comment ref="AJ964" authorId="0" shapeId="0" xr:uid="{00000000-0006-0000-0400-00001B000000}">
      <text>
        <r>
          <rPr>
            <b/>
            <sz val="10"/>
            <color indexed="81"/>
            <rFont val="Tahoma"/>
            <family val="2"/>
          </rPr>
          <t>Michael Vella:</t>
        </r>
        <r>
          <rPr>
            <sz val="10"/>
            <color indexed="81"/>
            <rFont val="Tahoma"/>
            <family val="2"/>
          </rPr>
          <t xml:space="preserve">
This discrepancy must be small</t>
        </r>
      </text>
    </comment>
    <comment ref="AK964" authorId="0" shapeId="0" xr:uid="{00000000-0006-0000-0400-00001C000000}">
      <text>
        <r>
          <rPr>
            <b/>
            <sz val="10"/>
            <color indexed="81"/>
            <rFont val="Tahoma"/>
            <family val="2"/>
          </rPr>
          <t>Michael Vella:</t>
        </r>
        <r>
          <rPr>
            <sz val="10"/>
            <color indexed="81"/>
            <rFont val="Tahoma"/>
            <family val="2"/>
          </rPr>
          <t xml:space="preserve">
This discrepancy must be small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 Sammut</author>
  </authors>
  <commentList>
    <comment ref="C33" authorId="0" shapeId="0" xr:uid="{A1F8FB95-55B9-45C4-AE44-5188731A3CF7}">
      <text>
        <r>
          <rPr>
            <b/>
            <sz val="9"/>
            <color indexed="81"/>
            <rFont val="Tahoma"/>
            <family val="2"/>
          </rPr>
          <t>Thomas Sammut:</t>
        </r>
        <r>
          <rPr>
            <sz val="9"/>
            <color indexed="81"/>
            <rFont val="Tahoma"/>
            <family val="2"/>
          </rPr>
          <t xml:space="preserve">
one supply one, control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Michael Vella</author>
    <author>Thomas Sammut</author>
  </authors>
  <commentList>
    <comment ref="A128" authorId="0" shapeId="0" xr:uid="{DA86F58A-6A34-475B-BF42-FD0D879EC009}">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61" authorId="0" shapeId="0" xr:uid="{851A283D-7553-416A-AB5C-9B1B8EF92EA9}">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S667" authorId="1" shapeId="0" xr:uid="{D06BB020-CD19-40C6-81E1-9066CD08B4E0}">
      <text>
        <r>
          <rPr>
            <b/>
            <sz val="9"/>
            <color indexed="81"/>
            <rFont val="Tahoma"/>
            <family val="2"/>
          </rPr>
          <t>Thomas Sammut:</t>
        </r>
        <r>
          <rPr>
            <sz val="9"/>
            <color indexed="81"/>
            <rFont val="Tahoma"/>
            <family val="2"/>
          </rPr>
          <t xml:space="preserve">
4hours 1pair
</t>
        </r>
      </text>
    </comment>
    <comment ref="S668" authorId="1" shapeId="0" xr:uid="{E09DFD86-E604-4E74-94F1-A5EA9C4FB668}">
      <text>
        <r>
          <rPr>
            <b/>
            <sz val="9"/>
            <color indexed="81"/>
            <rFont val="Tahoma"/>
            <family val="2"/>
          </rPr>
          <t>Thomas Sammut:</t>
        </r>
        <r>
          <rPr>
            <sz val="9"/>
            <color indexed="81"/>
            <rFont val="Tahoma"/>
            <family val="2"/>
          </rPr>
          <t xml:space="preserve">
2hours 1pair
</t>
        </r>
      </text>
    </comment>
    <comment ref="S669" authorId="1" shapeId="0" xr:uid="{F6CF9ED1-3B9D-4512-88DA-E66BA36B5572}">
      <text>
        <r>
          <rPr>
            <b/>
            <sz val="9"/>
            <color indexed="81"/>
            <rFont val="Tahoma"/>
            <family val="2"/>
          </rPr>
          <t>Thomas Sammut:</t>
        </r>
        <r>
          <rPr>
            <sz val="9"/>
            <color indexed="81"/>
            <rFont val="Tahoma"/>
            <family val="2"/>
          </rPr>
          <t xml:space="preserve">
4hours 1pair
</t>
        </r>
      </text>
    </comment>
    <comment ref="S675" authorId="1" shapeId="0" xr:uid="{C07B9CE1-4158-408A-9D8A-31C194B0D7BE}">
      <text>
        <r>
          <rPr>
            <b/>
            <sz val="9"/>
            <color indexed="81"/>
            <rFont val="Tahoma"/>
            <family val="2"/>
          </rPr>
          <t>Thomas Sammut:</t>
        </r>
        <r>
          <rPr>
            <sz val="9"/>
            <color indexed="81"/>
            <rFont val="Tahoma"/>
            <family val="2"/>
          </rPr>
          <t xml:space="preserve">
4hours 1pair
</t>
        </r>
      </text>
    </comment>
    <comment ref="S676" authorId="1" shapeId="0" xr:uid="{68F3AFCD-2473-47E7-9111-77138FE6FA64}">
      <text>
        <r>
          <rPr>
            <b/>
            <sz val="9"/>
            <color indexed="81"/>
            <rFont val="Tahoma"/>
            <family val="2"/>
          </rPr>
          <t>Thomas Sammut:</t>
        </r>
        <r>
          <rPr>
            <sz val="9"/>
            <color indexed="81"/>
            <rFont val="Tahoma"/>
            <family val="2"/>
          </rPr>
          <t xml:space="preserve">
2hours 1pair
</t>
        </r>
      </text>
    </comment>
    <comment ref="S682" authorId="1" shapeId="0" xr:uid="{0875FDBF-F3AA-4151-B9AB-168CCBC68282}">
      <text>
        <r>
          <rPr>
            <b/>
            <sz val="9"/>
            <color indexed="81"/>
            <rFont val="Tahoma"/>
            <family val="2"/>
          </rPr>
          <t>Thomas Sammut:</t>
        </r>
        <r>
          <rPr>
            <sz val="9"/>
            <color indexed="81"/>
            <rFont val="Tahoma"/>
            <family val="2"/>
          </rPr>
          <t xml:space="preserve">
8hours 2pairs
</t>
        </r>
      </text>
    </comment>
    <comment ref="S702" authorId="1" shapeId="0" xr:uid="{62E7D731-9065-44A2-A38D-57BF9EF22611}">
      <text>
        <r>
          <rPr>
            <b/>
            <sz val="9"/>
            <color indexed="81"/>
            <rFont val="Tahoma"/>
            <family val="2"/>
          </rPr>
          <t>Thomas Sammut:</t>
        </r>
        <r>
          <rPr>
            <sz val="9"/>
            <color indexed="81"/>
            <rFont val="Tahoma"/>
            <family val="2"/>
          </rPr>
          <t xml:space="preserve">
4hours 2pairs
</t>
        </r>
      </text>
    </comment>
    <comment ref="S716" authorId="1" shapeId="0" xr:uid="{9DA3A22F-9444-425C-A51E-C304B22B8750}">
      <text>
        <r>
          <rPr>
            <b/>
            <sz val="9"/>
            <color indexed="81"/>
            <rFont val="Tahoma"/>
            <family val="2"/>
          </rPr>
          <t>Thomas Sammut:</t>
        </r>
        <r>
          <rPr>
            <sz val="9"/>
            <color indexed="81"/>
            <rFont val="Tahoma"/>
            <family val="2"/>
          </rPr>
          <t xml:space="preserve">
1hours 2pairs
</t>
        </r>
      </text>
    </comment>
    <comment ref="S728" authorId="1" shapeId="0" xr:uid="{8CA97B78-E009-407A-9D03-C58EE7812501}">
      <text>
        <r>
          <rPr>
            <b/>
            <sz val="9"/>
            <color indexed="81"/>
            <rFont val="Tahoma"/>
            <family val="2"/>
          </rPr>
          <t>Thomas Sammut:</t>
        </r>
        <r>
          <rPr>
            <sz val="9"/>
            <color indexed="81"/>
            <rFont val="Tahoma"/>
            <family val="2"/>
          </rPr>
          <t xml:space="preserve">
2hours 2pairs
</t>
        </r>
      </text>
    </comment>
    <comment ref="S735" authorId="1" shapeId="0" xr:uid="{F706FFA7-E4B9-45F2-AC4B-E9C0CEBB07C4}">
      <text>
        <r>
          <rPr>
            <b/>
            <sz val="9"/>
            <color indexed="81"/>
            <rFont val="Tahoma"/>
            <family val="2"/>
          </rPr>
          <t>Thomas Sammut:</t>
        </r>
        <r>
          <rPr>
            <sz val="9"/>
            <color indexed="81"/>
            <rFont val="Tahoma"/>
            <family val="2"/>
          </rPr>
          <t xml:space="preserve">
4hours 2pairs
</t>
        </r>
      </text>
    </comment>
    <comment ref="S744" authorId="1" shapeId="0" xr:uid="{06CD96B7-7294-4D4F-A633-DFB0178E186D}">
      <text>
        <r>
          <rPr>
            <b/>
            <sz val="9"/>
            <color indexed="81"/>
            <rFont val="Tahoma"/>
            <family val="2"/>
          </rPr>
          <t>Thomas Sammut:</t>
        </r>
        <r>
          <rPr>
            <sz val="9"/>
            <color indexed="81"/>
            <rFont val="Tahoma"/>
            <family val="2"/>
          </rPr>
          <t xml:space="preserve">
4hours 1pair
</t>
        </r>
      </text>
    </comment>
    <comment ref="S745" authorId="1" shapeId="0" xr:uid="{60981A51-9FDE-4056-88C7-C601455858D4}">
      <text>
        <r>
          <rPr>
            <b/>
            <sz val="9"/>
            <color indexed="81"/>
            <rFont val="Tahoma"/>
            <family val="2"/>
          </rPr>
          <t>Thomas Sammut:</t>
        </r>
        <r>
          <rPr>
            <sz val="9"/>
            <color indexed="81"/>
            <rFont val="Tahoma"/>
            <family val="2"/>
          </rPr>
          <t xml:space="preserve">
2hours 1pair
</t>
        </r>
      </text>
    </comment>
    <comment ref="S751" authorId="1" shapeId="0" xr:uid="{7471D13E-AE6A-426B-85D4-2571897F9FE6}">
      <text>
        <r>
          <rPr>
            <b/>
            <sz val="9"/>
            <color indexed="81"/>
            <rFont val="Tahoma"/>
            <family val="2"/>
          </rPr>
          <t>Thomas Sammut:</t>
        </r>
        <r>
          <rPr>
            <sz val="9"/>
            <color indexed="81"/>
            <rFont val="Tahoma"/>
            <family val="2"/>
          </rPr>
          <t xml:space="preserve">
8hours 2pairs
</t>
        </r>
      </text>
    </comment>
    <comment ref="S765" authorId="1" shapeId="0" xr:uid="{BE8B7010-2309-4F9A-AB70-62159138B727}">
      <text>
        <r>
          <rPr>
            <b/>
            <sz val="9"/>
            <color indexed="81"/>
            <rFont val="Tahoma"/>
            <family val="2"/>
          </rPr>
          <t>Thomas Sammut:</t>
        </r>
        <r>
          <rPr>
            <sz val="9"/>
            <color indexed="81"/>
            <rFont val="Tahoma"/>
            <family val="2"/>
          </rPr>
          <t xml:space="preserve">
4hours 2pairs
</t>
        </r>
      </text>
    </comment>
    <comment ref="S779" authorId="1" shapeId="0" xr:uid="{479C8556-B3FA-4F30-89A2-906EDC080423}">
      <text>
        <r>
          <rPr>
            <b/>
            <sz val="9"/>
            <color indexed="81"/>
            <rFont val="Tahoma"/>
            <family val="2"/>
          </rPr>
          <t>Thomas Sammut:</t>
        </r>
        <r>
          <rPr>
            <sz val="9"/>
            <color indexed="81"/>
            <rFont val="Tahoma"/>
            <family val="2"/>
          </rPr>
          <t xml:space="preserve">
1hours 2pairs
</t>
        </r>
      </text>
    </comment>
    <comment ref="S791" authorId="1" shapeId="0" xr:uid="{A5D37584-1552-484C-86C6-6F31E763D17E}">
      <text>
        <r>
          <rPr>
            <b/>
            <sz val="9"/>
            <color indexed="81"/>
            <rFont val="Tahoma"/>
            <family val="2"/>
          </rPr>
          <t>Thomas Sammut:</t>
        </r>
        <r>
          <rPr>
            <sz val="9"/>
            <color indexed="81"/>
            <rFont val="Tahoma"/>
            <family val="2"/>
          </rPr>
          <t xml:space="preserve">
2hours 2pairs
</t>
        </r>
      </text>
    </comment>
    <comment ref="S798" authorId="1" shapeId="0" xr:uid="{C2E4568C-8E74-48C5-AB5F-18C1F8A3F231}">
      <text>
        <r>
          <rPr>
            <b/>
            <sz val="9"/>
            <color indexed="81"/>
            <rFont val="Tahoma"/>
            <family val="2"/>
          </rPr>
          <t>Thomas Sammut:</t>
        </r>
        <r>
          <rPr>
            <sz val="9"/>
            <color indexed="81"/>
            <rFont val="Tahoma"/>
            <family val="2"/>
          </rPr>
          <t xml:space="preserve">
4hours 2pairs
</t>
        </r>
      </text>
    </comment>
    <comment ref="S825" authorId="1" shapeId="0" xr:uid="{0D5CEC62-E706-49C2-969A-13C032D8FC91}">
      <text>
        <r>
          <rPr>
            <b/>
            <sz val="9"/>
            <color indexed="81"/>
            <rFont val="Tahoma"/>
            <family val="2"/>
          </rPr>
          <t>Thomas Sammut:</t>
        </r>
        <r>
          <rPr>
            <sz val="9"/>
            <color indexed="81"/>
            <rFont val="Tahoma"/>
            <family val="2"/>
          </rPr>
          <t xml:space="preserve">
4hours 1pair
</t>
        </r>
      </text>
    </comment>
    <comment ref="S826" authorId="1" shapeId="0" xr:uid="{4CC889BF-8CCF-47B9-BA6E-34384F253B10}">
      <text>
        <r>
          <rPr>
            <b/>
            <sz val="9"/>
            <color indexed="81"/>
            <rFont val="Tahoma"/>
            <family val="2"/>
          </rPr>
          <t>Thomas Sammut:</t>
        </r>
        <r>
          <rPr>
            <sz val="9"/>
            <color indexed="81"/>
            <rFont val="Tahoma"/>
            <family val="2"/>
          </rPr>
          <t xml:space="preserve">
4hours 2pair
</t>
        </r>
      </text>
    </comment>
    <comment ref="S828" authorId="1" shapeId="0" xr:uid="{A16E48B5-449B-4D60-BA93-BDA8242A3FAB}">
      <text>
        <r>
          <rPr>
            <b/>
            <sz val="9"/>
            <color indexed="81"/>
            <rFont val="Tahoma"/>
            <family val="2"/>
          </rPr>
          <t>Thomas Sammut:</t>
        </r>
        <r>
          <rPr>
            <sz val="9"/>
            <color indexed="81"/>
            <rFont val="Tahoma"/>
            <family val="2"/>
          </rPr>
          <t xml:space="preserve">
4hours 2pair
</t>
        </r>
      </text>
    </comment>
    <comment ref="S829" authorId="1" shapeId="0" xr:uid="{EA5A9EE9-2E2A-4925-AD18-38BBE4F1C252}">
      <text>
        <r>
          <rPr>
            <b/>
            <sz val="9"/>
            <color indexed="81"/>
            <rFont val="Tahoma"/>
            <family val="2"/>
          </rPr>
          <t>Thomas Sammut:</t>
        </r>
        <r>
          <rPr>
            <sz val="9"/>
            <color indexed="81"/>
            <rFont val="Tahoma"/>
            <family val="2"/>
          </rPr>
          <t xml:space="preserve">
2hours 1pair
</t>
        </r>
      </text>
    </comment>
    <comment ref="J1099" authorId="0" shapeId="0" xr:uid="{4761261C-3F22-4A84-922E-C94EE56D8928}">
      <text>
        <r>
          <rPr>
            <b/>
            <sz val="10"/>
            <color indexed="81"/>
            <rFont val="Tahoma"/>
            <family val="2"/>
          </rPr>
          <t>Michael Vella:</t>
        </r>
        <r>
          <rPr>
            <sz val="10"/>
            <color indexed="81"/>
            <rFont val="Tahoma"/>
            <family val="2"/>
          </rPr>
          <t xml:space="preserve">
Add RTONLY to Columns H and L on material rows as shown and delete entry in Column C if material is a rate.</t>
        </r>
      </text>
    </comment>
    <comment ref="AK1185" authorId="0" shapeId="0" xr:uid="{07086CCC-07D2-497C-ACAE-A97E236C1A19}">
      <text>
        <r>
          <rPr>
            <b/>
            <sz val="10"/>
            <color indexed="81"/>
            <rFont val="Tahoma"/>
            <family val="2"/>
          </rPr>
          <t>Michael Vella:</t>
        </r>
        <r>
          <rPr>
            <sz val="10"/>
            <color indexed="81"/>
            <rFont val="Tahoma"/>
            <family val="2"/>
          </rPr>
          <t xml:space="preserve">
This cell should be exactly equal to the MU SUMMARY TOTAL.</t>
        </r>
      </text>
    </comment>
    <comment ref="AH1197" authorId="0" shapeId="0" xr:uid="{9E676AF3-89EC-4F22-9055-1257DE874F51}">
      <text>
        <r>
          <rPr>
            <b/>
            <sz val="10"/>
            <color indexed="81"/>
            <rFont val="Tahoma"/>
            <family val="2"/>
          </rPr>
          <t>Michael Vella:</t>
        </r>
        <r>
          <rPr>
            <sz val="10"/>
            <color indexed="81"/>
            <rFont val="Tahoma"/>
            <family val="2"/>
          </rPr>
          <t xml:space="preserve">
This discrepancy must be small</t>
        </r>
      </text>
    </comment>
    <comment ref="AJ1197" authorId="0" shapeId="0" xr:uid="{C48FDD35-EE6A-4DAB-9625-528A2E3AA4C7}">
      <text>
        <r>
          <rPr>
            <b/>
            <sz val="10"/>
            <color indexed="81"/>
            <rFont val="Tahoma"/>
            <family val="2"/>
          </rPr>
          <t>Michael Vella:</t>
        </r>
        <r>
          <rPr>
            <sz val="10"/>
            <color indexed="81"/>
            <rFont val="Tahoma"/>
            <family val="2"/>
          </rPr>
          <t xml:space="preserve">
This discrepancy must be small</t>
        </r>
      </text>
    </comment>
    <comment ref="AK1197" authorId="0" shapeId="0" xr:uid="{B9F7AD14-1495-4596-AA06-BA2DD8D56DE2}">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<sst xmlns="http://schemas.openxmlformats.org/spreadsheetml/2006/main" count="9673" uniqueCount="1443">
  <si>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</si>
  <si>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</si>
  <si>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</si>
  <si>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</si>
  <si>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</si>
  <si>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</si>
  <si>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</si>
  <si>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</si>
  <si>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</si>
  <si>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</si>
  <si>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</si>
  <si>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</si>
  <si>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</si>
  <si>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</si>
  <si>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</si>
  <si>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</si>
  <si>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</si>
  <si>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</si>
  <si>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</si>
  <si>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</si>
  <si>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</si>
  <si>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</si>
  <si>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</si>
  <si>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</si>
  <si>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</si>
  <si>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</si>
  <si>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</si>
  <si>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</si>
  <si>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</si>
  <si>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</si>
  <si>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</si>
  <si>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</si>
  <si>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</si>
  <si>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</si>
  <si>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</si>
  <si>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</si>
  <si>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</si>
  <si>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</si>
  <si>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</si>
  <si>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</si>
  <si>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</si>
  <si>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</si>
  <si>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</si>
  <si>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</si>
  <si>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</si>
  <si>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</si>
  <si>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</si>
  <si>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</si>
  <si>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</si>
  <si>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</si>
  <si>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</si>
  <si>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</si>
  <si>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</si>
  <si>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</si>
  <si>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</si>
  <si>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</si>
  <si>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</si>
  <si>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</si>
  <si>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</si>
  <si>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</si>
  <si>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</si>
  <si>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</si>
  <si>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</si>
  <si>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</si>
  <si>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</si>
  <si>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</si>
  <si>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</si>
  <si>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</si>
  <si>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</si>
  <si>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</si>
  <si>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</si>
  <si>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</si>
  <si>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</si>
  <si>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</si>
  <si>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</si>
  <si>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</si>
  <si>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</si>
  <si>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</si>
  <si>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</si>
  <si>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</si>
  <si>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</si>
  <si>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</si>
  <si>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</si>
  <si>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</si>
  <si>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</si>
  <si>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</si>
  <si>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</si>
  <si>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</si>
  <si>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</si>
  <si>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</si>
  <si>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</si>
  <si>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</si>
  <si>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</si>
  <si>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</si>
  <si>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</si>
  <si>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</si>
  <si>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</si>
  <si>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</si>
  <si>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</si>
  <si>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</si>
  <si>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</si>
  <si>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</si>
  <si>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</si>
  <si>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</si>
  <si>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</si>
  <si>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</si>
  <si>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</si>
  <si>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</si>
  <si>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</si>
  <si>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</si>
  <si>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</si>
  <si>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</si>
  <si>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</si>
  <si>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</si>
  <si>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</si>
  <si>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</si>
  <si>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</si>
  <si>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</si>
  <si>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</si>
  <si>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</si>
  <si>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</si>
  <si>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</si>
  <si>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</si>
  <si>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</si>
  <si>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</si>
  <si>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</si>
  <si>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</si>
  <si>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</si>
  <si>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</si>
  <si>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</si>
  <si>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</si>
  <si>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</si>
  <si>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</si>
  <si>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</si>
  <si>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</si>
  <si>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</si>
  <si>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</si>
  <si>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</si>
  <si>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</si>
  <si>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</si>
  <si>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</si>
  <si>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</si>
  <si>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</si>
  <si>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</si>
  <si>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</si>
  <si>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</si>
  <si>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</si>
  <si>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</si>
  <si>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</si>
  <si>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</si>
  <si>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</si>
  <si>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</si>
  <si>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</si>
  <si>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</si>
  <si>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</si>
  <si>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</si>
  <si>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</si>
  <si>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</si>
  <si>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</si>
  <si>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</si>
  <si>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</si>
  <si>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</si>
  <si>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</si>
  <si>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</si>
  <si>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</si>
  <si>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</si>
  <si>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</si>
  <si>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</si>
  <si>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</si>
  <si>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</si>
  <si>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</si>
  <si>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</si>
  <si>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</si>
  <si>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</si>
  <si>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</si>
  <si>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</si>
  <si>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</si>
  <si>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</si>
  <si>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</si>
  <si>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</si>
  <si>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</si>
  <si>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</si>
  <si>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</si>
  <si>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</si>
  <si>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</si>
  <si>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</si>
  <si>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</si>
  <si>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</si>
  <si>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</si>
  <si>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</si>
  <si>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</si>
  <si>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</si>
  <si>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</si>
  <si>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</si>
  <si>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</si>
  <si>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</si>
  <si>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</si>
  <si>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</si>
  <si>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</si>
  <si>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</si>
  <si>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</si>
  <si>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</si>
  <si>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</si>
  <si>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</si>
  <si>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</si>
  <si>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</si>
  <si>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</si>
  <si>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</si>
  <si>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</si>
  <si>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</si>
  <si>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</si>
  <si>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Camilleri&amp;Cuschieri Tenders</t>
  </si>
  <si>
    <t>Conduit</t>
  </si>
  <si>
    <t>Wiring</t>
  </si>
  <si>
    <t>Supply</t>
  </si>
  <si>
    <t>checkdesc</t>
  </si>
  <si>
    <t>Electrical</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</si>
  <si>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</si>
  <si>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</si>
  <si>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</si>
  <si>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</si>
  <si>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</si>
  <si>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</si>
  <si>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</si>
  <si>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</si>
  <si>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</si>
  <si>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</si>
  <si>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</si>
  <si>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</si>
  <si>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</si>
  <si>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</si>
  <si>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</si>
  <si>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</si>
  <si>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</si>
  <si>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</si>
  <si>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</si>
  <si>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</si>
  <si>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</si>
  <si>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</si>
  <si>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</si>
  <si>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</si>
  <si>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</si>
  <si>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</si>
  <si>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</si>
  <si>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</si>
  <si>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</si>
  <si>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</si>
  <si>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</si>
  <si>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</si>
  <si>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</si>
  <si>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</si>
  <si>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</si>
  <si>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</si>
  <si>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</si>
  <si>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</si>
  <si>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</si>
  <si>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</si>
  <si>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t>
  </si>
  <si>
    <t>Pair Hrs.</t>
  </si>
  <si>
    <t>Pair.Hrs</t>
  </si>
  <si>
    <t>Final Sell after Discounts excl.VAT (€):</t>
  </si>
  <si>
    <t>Estim.Sell before Discounts excl.VAT (€):</t>
  </si>
  <si>
    <t>Overall Discount:</t>
  </si>
  <si>
    <t>MAT CONT &gt;&gt;</t>
  </si>
  <si>
    <t>BOQ TOTAL</t>
  </si>
  <si>
    <t>NOTES</t>
  </si>
  <si>
    <t>ELECTRICAL</t>
  </si>
  <si>
    <t>ELV</t>
  </si>
  <si>
    <t>Dist Boards</t>
  </si>
  <si>
    <t>Fire Alarm</t>
  </si>
  <si>
    <t>Data</t>
  </si>
  <si>
    <t>PRINT</t>
  </si>
  <si>
    <t xml:space="preserve">VAT: </t>
  </si>
  <si>
    <t xml:space="preserve">LAB. COST: </t>
  </si>
  <si>
    <t>Mechanical for Electrical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</si>
  <si>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</si>
  <si>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</si>
  <si>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</si>
  <si>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</si>
  <si>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</si>
  <si>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</si>
  <si>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</si>
  <si>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</si>
  <si>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</si>
  <si>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</si>
  <si>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</si>
  <si>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</si>
  <si>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</si>
  <si>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</si>
  <si>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</si>
  <si>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</si>
  <si>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</si>
  <si>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</si>
  <si>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</si>
  <si>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Sub-Contracting Installation Elec</t>
  </si>
  <si>
    <t>Mr. K. Micallef</t>
  </si>
  <si>
    <t>Unit</t>
  </si>
  <si>
    <t>Total</t>
  </si>
  <si>
    <t>Unit Lab phr.</t>
  </si>
  <si>
    <t>Mr. A. Sciberras</t>
  </si>
  <si>
    <t>Ms. S. Magri</t>
  </si>
  <si>
    <t>A. Sciberras</t>
  </si>
  <si>
    <t>Cost for 2025</t>
  </si>
  <si>
    <t>M.Scicluna</t>
  </si>
  <si>
    <t>BILL OF QUANTITIES</t>
  </si>
  <si>
    <t>ELECTRICAL INSTALLATION WORKS</t>
  </si>
  <si>
    <t>Item</t>
  </si>
  <si>
    <t>Qty</t>
  </si>
  <si>
    <t>Rate in €</t>
  </si>
  <si>
    <t>MODIFICATIONS TO THE EXISTING MAIN SWITCHGEAR AND OTHER PANELS</t>
  </si>
  <si>
    <t>Supply, install and connect the following switchgear and other accessories, to achieve a complete and fully functional works package.</t>
  </si>
  <si>
    <t>1250A TPN (4-pole) MCCB, fixed-mounting type, complete within an extension column to the existing Main Switchgear Panel MSG-1, as specified.</t>
  </si>
  <si>
    <t>LS</t>
  </si>
  <si>
    <t>1600A TPN (4-pole) ACB, fixed-mounting type, as a replacement ACB within the existing MSG-2 (MSG2-N1), as specified.</t>
  </si>
  <si>
    <t>1600A TPN (4-pole) ACB, fixed-mounting type, as a replacement ACB Main Incomer within the existing SPB-N2/1, as specified.</t>
  </si>
  <si>
    <t>Total carried forward to summary page</t>
  </si>
  <si>
    <t xml:space="preserve">MAIN ELECTRICAL INFRASTRUCTURE </t>
  </si>
  <si>
    <t>SWITCHGEAR AND OTHER ACCESSORIES</t>
  </si>
  <si>
    <t>Supply only the following switchgear and other accessories.</t>
  </si>
  <si>
    <t>Switchgear Panel SPB-PR (Pump Room).</t>
  </si>
  <si>
    <t>No.</t>
  </si>
  <si>
    <t>Motor Control Centre MCC-PR (Pump Room).</t>
  </si>
  <si>
    <t>Equipotential earth bonding busbar EB1, wall mounted to the wall on plastic insulators. (400mm x 50mm x 6mm).</t>
  </si>
  <si>
    <t>Install only the following switchgear and other accessories.</t>
  </si>
  <si>
    <t>CABLE MANAGEMENT</t>
  </si>
  <si>
    <t>500mm x 50mm.</t>
  </si>
  <si>
    <t>m</t>
  </si>
  <si>
    <t>Supply and install the following galvanized steel cable ladder. Cost is to include all the support bracketing to wall or ceiling as necessary.</t>
  </si>
  <si>
    <t>500mm x 100mm.</t>
  </si>
  <si>
    <t xml:space="preserve">POWER CABLING </t>
  </si>
  <si>
    <t>mr</t>
  </si>
  <si>
    <t>ELECTRICAL INSTALLATION IN NEW  SWITCHROOM (TO PLANTROOM) AT LEVEL 2</t>
  </si>
  <si>
    <t>LIGHTING INSTALLATION</t>
  </si>
  <si>
    <t>One lighting point controlled by one switch.</t>
  </si>
  <si>
    <t>Non-maintained emergency lighting points (Fittings Type E4).</t>
  </si>
  <si>
    <t>Supply only the following light fittings and accessories.</t>
  </si>
  <si>
    <t>Type A</t>
  </si>
  <si>
    <t>Type E4</t>
  </si>
  <si>
    <t>Install and connect only the following light fittings and accessories.</t>
  </si>
  <si>
    <t>POWER INSTALLATION</t>
  </si>
  <si>
    <r>
      <t>Supply, install and connect the following power points.</t>
    </r>
    <r>
      <rPr>
        <b/>
        <sz val="10"/>
        <rFont val="Arial"/>
        <family val="2"/>
      </rPr>
      <t xml:space="preserve"> (Metalclad Installation)</t>
    </r>
  </si>
  <si>
    <t>Double socket outlets</t>
  </si>
  <si>
    <t>16A TPN+E Rotary isolated industrial socket outlets</t>
  </si>
  <si>
    <t>Distribution Board DB-L2PR</t>
  </si>
  <si>
    <t>Supply and install a waterproof (IP65) rated metal connection / junction box, complete with a maximum of five Viking type cable terminal blocks/connectors on DIN-rail, one block to be in green/yellow colour. The blocks must be suitable for the termination of 4.0 to 6.0mmsq CSA cables. Modify, terminate and connect the cores of the existing multicore armoured cable to the existing CP to the input side of the terminal blocks, gland the armoured cable to the connection box and provide equipotential earthing connections for the armouring strands. For mechanical protection purposes, the connection / junction box is to  be installed to the ceiling or at high level on the column at the Level 2 plantroom.</t>
  </si>
  <si>
    <t>50mm (Vertical drops onto machinery)</t>
  </si>
  <si>
    <t>POWER AND CONTROL CABLING FROM THE MOTOR CONTROL CENTRE (MCC)</t>
  </si>
  <si>
    <t>Supply and install the following  cables. Cost is to include all cable termination accessories where necessary.</t>
  </si>
  <si>
    <t>Power supply cables, using XLPE/SWA/LSZH/Cu cables</t>
  </si>
  <si>
    <t>All the control cables from the Motor Control Centre MCC-PR (Pump Room) to all equipment being controlled by MCC-PR. Cost is to include all the necessary metalclad cable management.</t>
  </si>
  <si>
    <t>Control cables (where necessary), using multicore sheathed cables</t>
  </si>
  <si>
    <t>POWER CABLING TO THE CHILLERS</t>
  </si>
  <si>
    <t>ELECTRICAL INSTALLATION IN PLANTROOM AT LEVEL 1</t>
  </si>
  <si>
    <t>Four lighting points controlled by one waterproof switch</t>
  </si>
  <si>
    <t>Double socket outlets (waterproof)</t>
  </si>
  <si>
    <t>Distribution Board DB-L1PR</t>
  </si>
  <si>
    <t>Supply and install the following power cables. Cost is to include all cable installation and termination accessories where necessary.</t>
  </si>
  <si>
    <t>GENERAL</t>
  </si>
  <si>
    <t>Supply and install external name and internal circuit reference identification labels on all switchgear, including all panelboards, distribution boards etc.</t>
  </si>
  <si>
    <t>Supply and install circuit labels on all wiring accessories, including on all switches, socket outlets and isolators.</t>
  </si>
  <si>
    <t>Supply and install proper circuit identification labels on all  multicore cables, in rigid plastic material (UV protected when in external use).</t>
  </si>
  <si>
    <t xml:space="preserve">Bonding of all the metallic structures to the Equipotential Earth Bar EB1, using suitably rated minimum 10mmsq LSZH insulated cables or copper tape, as necessary. </t>
  </si>
  <si>
    <t>PRELIMINARIES</t>
  </si>
  <si>
    <t>FIRE STOPPING</t>
  </si>
  <si>
    <t>COMMISSIONING AND DOCUMENTATION</t>
  </si>
  <si>
    <t>Provide sufficient training on the operation and maintenance of all plant and systems to the Employer's representatives as specified.</t>
  </si>
  <si>
    <t>Allow for 3 years preventative maintenance for all contract scope including remote monitoring by factory engineers using cloud based software</t>
  </si>
  <si>
    <t>Years</t>
  </si>
  <si>
    <t>Rate for additional 1 years preventative maintenance for all contract scope including remote monitoring by factory engineers using cloud based software</t>
  </si>
  <si>
    <t>Rate only</t>
  </si>
  <si>
    <t>1.0a</t>
  </si>
  <si>
    <t>1.0b</t>
  </si>
  <si>
    <t>2.0a</t>
  </si>
  <si>
    <t>2.0b</t>
  </si>
  <si>
    <t>3.0a</t>
  </si>
  <si>
    <t>4.0a</t>
  </si>
  <si>
    <t>5.0a</t>
  </si>
  <si>
    <t>5.0b</t>
  </si>
  <si>
    <t>5.0c</t>
  </si>
  <si>
    <t>6.0a</t>
  </si>
  <si>
    <t>7.0a</t>
  </si>
  <si>
    <t>8.0a</t>
  </si>
  <si>
    <t>8.0b</t>
  </si>
  <si>
    <t>9.0a</t>
  </si>
  <si>
    <t>9.0b</t>
  </si>
  <si>
    <t>10.0a</t>
  </si>
  <si>
    <t>10.0b</t>
  </si>
  <si>
    <t>11.0a</t>
  </si>
  <si>
    <t>11.0b</t>
  </si>
  <si>
    <t>12.0a</t>
  </si>
  <si>
    <t>12.0b</t>
  </si>
  <si>
    <t>P</t>
  </si>
  <si>
    <t>T</t>
  </si>
  <si>
    <t>Supply and install the following galvanized steel cable tray. Cost is to include all bracketing to wall or ceiling as necessary., Cost is to include all the support bracketing (including cantilevered brackets) to wall and ceiling as necessary.</t>
  </si>
  <si>
    <t>Switchgear Panel SPB-PR (Pump Room) to Motor Control Centre MCC-PR (Pump Room)., 2 x (5core x 50.0 mm2 FG16(0)M16).</t>
  </si>
  <si>
    <t>Earth bar in Switchgear Panel SPB-PR (Pump Room) to Equipotential earth bonding busbar EB1., 2 x (1core x 95.0 mm2 LSZH/Cu).</t>
  </si>
  <si>
    <t>Supply and install the following galvanized steel cable tray. Cost is to include all bracketing to wall or ceiling as necessary., Cost is to include all the support bracketing to wall and ceiling as necessary.</t>
  </si>
  <si>
    <t>Switchgear Panel SPB-PR (Pump Room) to Distribution Board DB-L2PR, 1 x (5core x 35.0 mm2 FG16(0)M16)</t>
  </si>
  <si>
    <t>Supply and install the following galvanized steel cable tray. Cost is to include all the support bracketing to wall or ceiling as necessary., Cost is to include all the support bracketing to wall and ceiling as necessary.</t>
  </si>
  <si>
    <t>Distribution Board DB-L2PR to Distribution Board DB-L1PR, 1 x (5core x 10.0 mm2 XLPE/SWA/LSZH/Cu)</t>
  </si>
  <si>
    <t>Waterproof (IP65) rated metal connection / junction box at Level 2 plantroom to the existing Control Panel (CP) for Pump 101 (Condenser Pump for Chiller 1) above in its new location as per drawing., 1 x (4core x 4.0 mm2 XLPE/SWA/LSZH/Cu</t>
  </si>
  <si>
    <t>Control Panel (CP) to Pump 101 (Condenser Pump for Chiller 1), 1 x (4core x 4.0 mm2 XLPE/SWA/LSZH/Cu</t>
  </si>
  <si>
    <t>Item: 1</t>
  </si>
  <si>
    <t>Item: 2</t>
  </si>
  <si>
    <t>Item: 3</t>
  </si>
  <si>
    <t>Item: 4</t>
  </si>
  <si>
    <t>Item: 5</t>
  </si>
  <si>
    <t>Item: 6</t>
  </si>
  <si>
    <t>Item: 7</t>
  </si>
  <si>
    <t>Item: 8</t>
  </si>
  <si>
    <t>Item: 9</t>
  </si>
  <si>
    <t>Item: 10</t>
  </si>
  <si>
    <t xml:space="preserve">PAGE:  </t>
  </si>
  <si>
    <t>Discy:</t>
  </si>
  <si>
    <t xml:space="preserve"> PAGE: </t>
  </si>
  <si>
    <t>Item: 11</t>
  </si>
  <si>
    <t>Item: 12</t>
  </si>
  <si>
    <t>Item: 13</t>
  </si>
  <si>
    <t>Item: 14</t>
  </si>
  <si>
    <t>SECTION:</t>
  </si>
  <si>
    <t>SECT</t>
  </si>
  <si>
    <t>SECT SELL</t>
  </si>
  <si>
    <t>SECT MAT</t>
  </si>
  <si>
    <t>SECT LAB</t>
  </si>
  <si>
    <t>Fire barrier provisions to maintain fire compartmentation as, required around and within all M&amp;E services. Contractor, to provide itemised cost breakdown under this sheet.</t>
  </si>
  <si>
    <t>Item: 1.0a</t>
  </si>
  <si>
    <t>Item: 1.0b</t>
  </si>
  <si>
    <t>1250A TPN (4-pole) MCCB, withdrawable-mounting type, complete within an extension column to the existing Main Switchgear Panel MSG-1, as specified. (Option)</t>
  </si>
  <si>
    <t>Item: 2.0a</t>
  </si>
  <si>
    <t>Item: 2.0b</t>
  </si>
  <si>
    <t>1600A TPN (4-pole) ACB, withdrawable-mounting type, as a replacement ACB within the existing MSG-2 (MSG2-N1), as specified. (Option)</t>
  </si>
  <si>
    <t>Item: 2.0c</t>
  </si>
  <si>
    <t>1600A TP (3-pole) ACB, fixed-mounting type, as a replacement ACB within the existing MSG-2 (MSG2-N1). (Option), as specified.</t>
  </si>
  <si>
    <t>Item: 3.0a</t>
  </si>
  <si>
    <t>Item: 3.0b</t>
  </si>
  <si>
    <t>1600A TPN (4-pole) ACB, withdrawable-mounting type, as a replacement ACB Main Incomer within the existing SPB-N2/1, as specified. (Option)</t>
  </si>
  <si>
    <t>Item: 3.0c</t>
  </si>
  <si>
    <t>1600A TP (3-pole) ACB, fixed-mounting type,  as a replacement ACB Main Incomer within the existing SPB-N2/1, as specified. (Option).</t>
  </si>
  <si>
    <t>MAIN ELECTRICAL INFRASTRUCTURE</t>
  </si>
  <si>
    <t>Item: 4.0</t>
  </si>
  <si>
    <t>Item: 4.0a</t>
  </si>
  <si>
    <t>Item: 4.0b</t>
  </si>
  <si>
    <t>Item: 4.0c</t>
  </si>
  <si>
    <t>Item: 5.0</t>
  </si>
  <si>
    <t>Item: 5.0a</t>
  </si>
  <si>
    <t>Item: 5.0b</t>
  </si>
  <si>
    <t>Item: 5.0c</t>
  </si>
  <si>
    <t>Item: 6.0</t>
  </si>
  <si>
    <t>Item: 6.0a</t>
  </si>
  <si>
    <t>Item: 7.0</t>
  </si>
  <si>
    <t>Item: 7.0a</t>
  </si>
  <si>
    <t>POWER CABLING</t>
  </si>
  <si>
    <t>Item: 8.0a</t>
  </si>
  <si>
    <t>Item: 8.0b</t>
  </si>
  <si>
    <t>Item: 8.0c</t>
  </si>
  <si>
    <t>Item: 9.0</t>
  </si>
  <si>
    <t>Supply and install the following lighting points as specified. (Metalclad Installation)</t>
  </si>
  <si>
    <t>Item: 9.0a</t>
  </si>
  <si>
    <t>Item: 9.0b</t>
  </si>
  <si>
    <t>Item: 10.0</t>
  </si>
  <si>
    <t>Item: 10.0a</t>
  </si>
  <si>
    <t>Item: 10.0b</t>
  </si>
  <si>
    <t>Item: 11.0</t>
  </si>
  <si>
    <t>Item: 11.0a</t>
  </si>
  <si>
    <t>Item: 11.0b</t>
  </si>
  <si>
    <t>Item: 12.0</t>
  </si>
  <si>
    <t>Supply, install and connect the following power points. (Metalclad Installation)</t>
  </si>
  <si>
    <t>Item: 12.0a</t>
  </si>
  <si>
    <t>Item: 12.0b</t>
  </si>
  <si>
    <t>Item: 13.0</t>
  </si>
  <si>
    <t>Item: 13.0a</t>
  </si>
  <si>
    <t>Item: 14.0</t>
  </si>
  <si>
    <t>Item: 14.0a</t>
  </si>
  <si>
    <t>Item: 15</t>
  </si>
  <si>
    <t>Identify the existing Control Panel (CP) for Pump 101 (Condenser Pump for Chiller 1), as presently supplied from MCC-18 at Level 2, isolate, render safe, disconnect the existing incoming and outgoing power cables to/from the control panel and also from the pump's incoming supply terminals. Remove the Control Panel and the cable between the CP and the pump.</t>
  </si>
  <si>
    <t>Item: 16</t>
  </si>
  <si>
    <t>Item: 17.0</t>
  </si>
  <si>
    <t>Item: 17.0a</t>
  </si>
  <si>
    <t>Item: 17.0b</t>
  </si>
  <si>
    <t>200mm</t>
  </si>
  <si>
    <t>Item: 17.0c</t>
  </si>
  <si>
    <t>250mm</t>
  </si>
  <si>
    <t>Item: 18.0</t>
  </si>
  <si>
    <t>Item: 18.0a</t>
  </si>
  <si>
    <t>Item: 18.0b</t>
  </si>
  <si>
    <t>Item: 18.0c</t>
  </si>
  <si>
    <t>Item: 18.0d</t>
  </si>
  <si>
    <t>Item: 18.0e</t>
  </si>
  <si>
    <t>Item: 18.0f</t>
  </si>
  <si>
    <t>Item: 18.0g</t>
  </si>
  <si>
    <t>Item: 18.0h</t>
  </si>
  <si>
    <t>Item: 18.0i</t>
  </si>
  <si>
    <t>Item: 19.0</t>
  </si>
  <si>
    <t>Item: 19.0a</t>
  </si>
  <si>
    <t>All the power cables from the Motor Control Centre MCC-PR (Pump Room) to all equipment being supplied power from MCC-PR (Refer to schedule) at Level 2 and Level 1. Cost is to include all the necessary metalclad cable management, local multi-pole maintenance isolators on floor brackets or to wall, next to the equipment and all cable termination accessories as necessary.</t>
  </si>
  <si>
    <t>Item: 19.0b</t>
  </si>
  <si>
    <t>Item: 20.0a</t>
  </si>
  <si>
    <t>Disconnect the two existing 2x(4corex120mmsq XLPE/SWA) multicore cables connected to Chiller 1, from both the existing Chiller 1 end and from SPBN2-1.</t>
  </si>
  <si>
    <t>Item: 20.0b</t>
  </si>
  <si>
    <t>Disconnect the two existing 2x(4corex120mmsq XLPE/SWA) multicore cables, connected to Chiller 2, from the existing Chiller 2 end only (not from SPBN2-1).</t>
  </si>
  <si>
    <t>Item: 20.0c</t>
  </si>
  <si>
    <t>Relocate, modify and re-connect the above two existing multicore XLPE/SWA cables (item b. above) directly to the power input terminals of the new Chiller 2. Cost is to include all cable installation and termination accessories as necessary and cable termination box on top of the chiller if required.</t>
  </si>
  <si>
    <t>Item: 20.0d</t>
  </si>
  <si>
    <t>If the cables in item c. are found to be short, the existing XLPE/SWA multicore cables are to be terminated within a ceiling or wall mounted metal cable junction box JB2. Two new (4core x 120mmsq FG16(0)M16) multicore cables are to be supplied and installed between JB2 and the power input terminals of the new Chiller 2. Maximum metre run of parallel cables should be around 3 metres. Cost is to include all cable installation and termination accessories as necessary.</t>
  </si>
  <si>
    <t>Item: 20.0e</t>
  </si>
  <si>
    <t>Relocate, modify and re-connect one of the existing multicore XLPE/SWA cables (item a. above), presently supplying existing Chiller 1, directly to the power input terminals of the new Chiller 2 and to the existing 800A MCCB within SPBN2-1. Cost is to include all cable installation and  termination accessories as necessary.</t>
  </si>
  <si>
    <t>Item: 20.0f</t>
  </si>
  <si>
    <t>Disconnect the two existing 2x(4corex120mmsq XLPE/SWA) multicore cables, connected to Chiller 3, from the existing Chiller 3 end only (not from SPBN2-1).</t>
  </si>
  <si>
    <t>Item: 20.0g</t>
  </si>
  <si>
    <t>Relocate, modify and re-connect the above two existing multicore XLPE/SWA cables (item f. above) directly to the power input terminals of the new Chiller 3. Cost is to include all cable installation and termination accessories as necessary and cable termination box on top of the chiller if required.</t>
  </si>
  <si>
    <t>Item: 20.0h</t>
  </si>
  <si>
    <t>If the cables in item g. are found to be short, the existing XLPE/SWA multicore cables are to be terminated within a ceiling or wall mounted cable junction box JB3. Two new (4core x 120mmsq FG16(0)M16) multicore cables are to be supplied and installed between JB3 and the power input terminals of the new Chiller 3. Maximum metre run of parallel cables should be around 3 metres. Cost is to include all cable termination accessories as necessary.</t>
  </si>
  <si>
    <t>Item: 20.0i</t>
  </si>
  <si>
    <t>Relocate, modify and re-connect one of the existing multicore XLPE/SWA cables (item a. above), presently supplying existing Chiller 1, directly to the power input terminals of the new Chiller 3 and to the existing 800A MCCB within SPBN2-1. Cost is to include all cable installation and termination accessories as necessary.</t>
  </si>
  <si>
    <t>Item: 20.0j</t>
  </si>
  <si>
    <t>Supply and install new 3x(4corex120mmsq FG16(0)M16) multicore power cables, between the existing 800A MCCB within SPBN2-1 and the new Chiller 1 at Level 1. Cost is to include all cable installation, termination accessories and the coring of the slab in the switchroom, between Level 2 and Level 1.</t>
  </si>
  <si>
    <t>Item: 20.0k</t>
  </si>
  <si>
    <t>Disconnect the existing 1x(4corex185mmsq XLPE/SWA) multicore XLPE/SWA multicore cable connected to Chiller 4, from both ends, remove and place in client’s store.</t>
  </si>
  <si>
    <t>Item: 20.0l</t>
  </si>
  <si>
    <t>Supply and install  new 2x(4corex95mmsq FG16(0)M16) multicore power cables between the existing 400A TP MCCB within SPBE2-3 and the power input terminals of the new Chiller 4. Cost is to include all cable installation and termination accessories as necessary.</t>
  </si>
  <si>
    <t>Item: 21.0</t>
  </si>
  <si>
    <t>Item: 21.0a</t>
  </si>
  <si>
    <t>Item: 21.0b</t>
  </si>
  <si>
    <t>Item: 22.0</t>
  </si>
  <si>
    <t>Item: 22.0a</t>
  </si>
  <si>
    <t>Item: 22.0b</t>
  </si>
  <si>
    <t>Item: 23.0</t>
  </si>
  <si>
    <t>Item: 23.0a</t>
  </si>
  <si>
    <t>Item: 23.0b</t>
  </si>
  <si>
    <t>Item: 24.0</t>
  </si>
  <si>
    <t>Item: 24.0a</t>
  </si>
  <si>
    <t>Item: 24.0b</t>
  </si>
  <si>
    <t>Item: 25.0</t>
  </si>
  <si>
    <t>Item: 25.0a</t>
  </si>
  <si>
    <t>Item: 26.0</t>
  </si>
  <si>
    <t>Item: 26.0a</t>
  </si>
  <si>
    <t>Item: 27</t>
  </si>
  <si>
    <t>Install and connect the existing Control Panel (CP) for Pump 101 (Condenser Pump for Chiller 1) above, in its new location at the Level 1 plantroom,  as per drawing.</t>
  </si>
  <si>
    <t>Item: 28.0</t>
  </si>
  <si>
    <t>Item: 28.0a</t>
  </si>
  <si>
    <t>Item: 28.0b</t>
  </si>
  <si>
    <t>Item: 28.0c</t>
  </si>
  <si>
    <t>Item: 29.0</t>
  </si>
  <si>
    <t>Item: 29.0a</t>
  </si>
  <si>
    <t>Item: 29.0b</t>
  </si>
  <si>
    <t>Item: 29.0c</t>
  </si>
  <si>
    <t>Item: 30</t>
  </si>
  <si>
    <t>Item: 31</t>
  </si>
  <si>
    <t>Item: 32</t>
  </si>
  <si>
    <t>Item: 33</t>
  </si>
  <si>
    <t>Item: 34</t>
  </si>
  <si>
    <t>Bonding of all the metallic structures to the Equipotential Earth Bar EB1, using suitably rated minimum 10mmsq LSZH insulated cables or copper tape, as necessary.</t>
  </si>
  <si>
    <t>Maintenance</t>
  </si>
  <si>
    <t>Commissioning and Documentation</t>
  </si>
  <si>
    <t>Carry out all necessary testing and commissioning to the satisfaction of the Engineer.  All commissioning documentation is to be certified for correctness and signed by a Warranted Engineer.</t>
  </si>
  <si>
    <t>Supply and hand-over two complete sets of operation and maintenance manuals together with drawings of works "As Fitted".  These shall include: wiring diagrams; test / commissioning data and certificates; equipment data, including manufacturer's details, schedules, specifications and selection / performance data and parts lists.  In addition an electronic copy of the "As Fitted" drawings and manuals are to be furnished in both ACAD and pdf format.</t>
  </si>
  <si>
    <t>BRATE</t>
  </si>
  <si>
    <t>General material Item</t>
  </si>
  <si>
    <t>UNHIDE COLUMNS TO SEE HOW !</t>
  </si>
  <si>
    <t>GEMA_022</t>
  </si>
  <si>
    <t>RTONLY</t>
  </si>
  <si>
    <t>CRO</t>
  </si>
  <si>
    <t>Supply and install connecting schedule on all distribution, boards, consumer units and lighting control panels.</t>
  </si>
  <si>
    <t>SUMMARY OF BILLS</t>
  </si>
  <si>
    <t xml:space="preserve">    </t>
  </si>
  <si>
    <t>Collection from page 2</t>
  </si>
  <si>
    <t>Collection from page 3</t>
  </si>
  <si>
    <t>ELECTRICAL INFRASTRUCTURE</t>
  </si>
  <si>
    <t>Collection from page 4</t>
  </si>
  <si>
    <t>Collection from page 5</t>
  </si>
  <si>
    <t>Collection from page 6</t>
  </si>
  <si>
    <t>Collection from page 7</t>
  </si>
  <si>
    <t>Collection from page 8</t>
  </si>
  <si>
    <t>Collection from page 9</t>
  </si>
  <si>
    <t>Collection from page 10</t>
  </si>
  <si>
    <t>Collection from page 11</t>
  </si>
  <si>
    <t>Collection from page 12</t>
  </si>
  <si>
    <t>Collection from page 13</t>
  </si>
  <si>
    <t>Collection from page 14</t>
  </si>
  <si>
    <t>DISMANTLING EXISTING SERVICES</t>
  </si>
  <si>
    <t>Collection from page 15</t>
  </si>
  <si>
    <t>CHILLERS DISMANTLING</t>
  </si>
  <si>
    <t>Collection from page 16</t>
  </si>
  <si>
    <t>CHILLERS NEW</t>
  </si>
  <si>
    <t>Collection from page 17</t>
  </si>
  <si>
    <t>Collection from page 18</t>
  </si>
  <si>
    <t>Collection from page 19</t>
  </si>
  <si>
    <t>Collection from page 20</t>
  </si>
  <si>
    <t>BOILERS DISMANTLING</t>
  </si>
  <si>
    <t>Collection from page 21</t>
  </si>
  <si>
    <t>HTHP NEW</t>
  </si>
  <si>
    <t>Collection from page 22</t>
  </si>
  <si>
    <t>Collection from page 23</t>
  </si>
  <si>
    <t>Collection from page 24</t>
  </si>
  <si>
    <t>Collection from page 25</t>
  </si>
  <si>
    <t>Collection from page 26</t>
  </si>
  <si>
    <t>Collection from page 27</t>
  </si>
  <si>
    <t>Collection from page 28</t>
  </si>
  <si>
    <t>Collection from page 29</t>
  </si>
  <si>
    <t>PUMPS DISMANTLING</t>
  </si>
  <si>
    <t>Collection from page 30</t>
  </si>
  <si>
    <t>Collection from page 31</t>
  </si>
  <si>
    <t>Collection from page 32</t>
  </si>
  <si>
    <t>Collection from page 33</t>
  </si>
  <si>
    <t>CENTRAL CONTROLLER</t>
  </si>
  <si>
    <t>Collection from page 34</t>
  </si>
  <si>
    <t>PUMPS NEW</t>
  </si>
  <si>
    <t>Collection from page 35</t>
  </si>
  <si>
    <t>Collection from page 36</t>
  </si>
  <si>
    <t>Collection from page 37</t>
  </si>
  <si>
    <t>Collection from page 38</t>
  </si>
  <si>
    <t>Collection from page 39</t>
  </si>
  <si>
    <t>Collection from page 40</t>
  </si>
  <si>
    <t>Collection from page 41</t>
  </si>
  <si>
    <t>Collection from page 42</t>
  </si>
  <si>
    <t>Collection from page 43</t>
  </si>
  <si>
    <t>Collection from page 44</t>
  </si>
  <si>
    <t>Collection from page 45</t>
  </si>
  <si>
    <t>Collection from page 46</t>
  </si>
  <si>
    <t>Collection from page 47</t>
  </si>
  <si>
    <t>Collection from page 48</t>
  </si>
  <si>
    <t>Collection from page 49</t>
  </si>
  <si>
    <t>Collection from page 50</t>
  </si>
  <si>
    <t>Collection from page 51</t>
  </si>
  <si>
    <t>Collection from page 52</t>
  </si>
  <si>
    <t>Collection from page 53</t>
  </si>
  <si>
    <t>Collection from page 54</t>
  </si>
  <si>
    <t>Collection from page 55</t>
  </si>
  <si>
    <t>Collection from page 56</t>
  </si>
  <si>
    <t>Collection from page 57</t>
  </si>
  <si>
    <t>Collection from page 58</t>
  </si>
  <si>
    <t>Collection from page 59</t>
  </si>
  <si>
    <t>AHU MOTORS NEW</t>
  </si>
  <si>
    <t>Collection from page 60</t>
  </si>
  <si>
    <t>Collection from page 61</t>
  </si>
  <si>
    <t>Collection from page 62</t>
  </si>
  <si>
    <t>Collection from page 63</t>
  </si>
  <si>
    <t>EXTRACT FANS</t>
  </si>
  <si>
    <t>Collection from page 64</t>
  </si>
  <si>
    <t>AC SPLIT UNITS</t>
  </si>
  <si>
    <t>Collection from page 65</t>
  </si>
  <si>
    <t>Collection from page 66</t>
  </si>
  <si>
    <t>MAINTENANCE</t>
  </si>
  <si>
    <t>Collection from page 67</t>
  </si>
  <si>
    <t>PROVISIONAL SUM</t>
  </si>
  <si>
    <t>Collection from page 68</t>
  </si>
  <si>
    <t>Add / Omit (to specify):</t>
  </si>
  <si>
    <t>Total:</t>
  </si>
  <si>
    <t>V.A.T. @ 18%</t>
  </si>
  <si>
    <t xml:space="preserve">Overall Total in Euro: </t>
  </si>
  <si>
    <t>Signature:</t>
  </si>
  <si>
    <t>Name in Block:</t>
  </si>
  <si>
    <t>Occupation:</t>
  </si>
  <si>
    <t>I.D. Card No.:</t>
  </si>
  <si>
    <t>VAT Reg. No.:</t>
  </si>
  <si>
    <t>For and on behalf of:</t>
  </si>
  <si>
    <t>Company Reg. No.:</t>
  </si>
  <si>
    <t>Address:</t>
  </si>
  <si>
    <t>Telephone No.:</t>
  </si>
  <si>
    <t>Fax No.:</t>
  </si>
  <si>
    <t>E-mail Address:</t>
  </si>
  <si>
    <t>Date:</t>
  </si>
  <si>
    <t>1250A MCCB in existing Main Switchgear Panel MSG-1 to the new Switchgear Panel SPB-PR (Pump Room)., 6 x (5core x 120.0 mm2  FG16(0)M16).</t>
  </si>
  <si>
    <t>Supply and install the following power cables. Cost is to include all cable installation and termination accessories as necessary. Cables installed on low level (less than 2 metres from FFL) cable trays are to be mechanically protected by cable tray covers.</t>
  </si>
  <si>
    <t>Switchgear Panel SPB-PR (Pump Room) to High Temperature Heat Pump 8, 1 x (5core x 70.0 mm2 FG16(0)M16)</t>
  </si>
  <si>
    <t>Switchgear Panel SPB-PR (Pump Room) to High Temperature Heat Pump 7, 1 x (5core x 70.0 mm2 FG16(0)M16)</t>
  </si>
  <si>
    <t>Switchgear Panel SPB-PR (Pump Room) to High Temperature Heat Pump 6, 1 x (5core x 70.0 mm2 FG16(0)M16)</t>
  </si>
  <si>
    <t>Switchgear Panel SPB-PR (Pump Room) to High Temperature Heat Pump 5, 1 x (5core x 70.0 mm2 FG16(0)M16)</t>
  </si>
  <si>
    <t>Switchgear Panel SPB-PR (Pump Room) to High Temperature Heat Pump 4, 1 x (5core x 70.0 mm2 FG16(0)M16)</t>
  </si>
  <si>
    <t>Switchgear Panel SPB-PR (Pump Room) to High Temperature Heat Pump 3, 1 x (5core x 70.0 mm2 FG16(0)M16)</t>
  </si>
  <si>
    <t>Switchgear Panel SPB-PR (Pump Room) to High Temperature Heat Pump 2, 1 x (5core x 70.0 mm2 FG16(0)M16)</t>
  </si>
  <si>
    <t>Switchgear Panel SPB-PR (Pump Room) to High Temperature Heat Pump 1, 1 x (5core x 70.0 mm2 FG16(0)M16)</t>
  </si>
  <si>
    <t xml:space="preserve">Earth Bar  </t>
  </si>
  <si>
    <t>BOND_006</t>
  </si>
  <si>
    <t>(__)</t>
  </si>
  <si>
    <t>Supply Only</t>
  </si>
  <si>
    <t>Erection Material</t>
  </si>
  <si>
    <t>EMAT_063</t>
  </si>
  <si>
    <t>01-002</t>
  </si>
  <si>
    <t>Install Only</t>
  </si>
  <si>
    <t>Switchgear Arrangement Custom__1</t>
  </si>
  <si>
    <t>SWLV_221</t>
  </si>
  <si>
    <t>11001</t>
  </si>
  <si>
    <t>RATE_ONLY</t>
  </si>
  <si>
    <t>Labour only (FIX 3)</t>
  </si>
  <si>
    <t>LABO_007</t>
  </si>
  <si>
    <t>MISC</t>
  </si>
  <si>
    <t>Discrepancy</t>
  </si>
  <si>
    <t>SUBI</t>
  </si>
  <si>
    <t>SPB-PR</t>
  </si>
  <si>
    <t>Crainage &amp; Transportation</t>
  </si>
  <si>
    <t>CRAI_002</t>
  </si>
  <si>
    <t>h</t>
  </si>
  <si>
    <t>RATE_AAA</t>
  </si>
  <si>
    <t>Local Rate</t>
  </si>
  <si>
    <t>RTLO_001</t>
  </si>
  <si>
    <t>RTLO_002</t>
  </si>
  <si>
    <t>Wiring Cable  1c   95 mm2 PVC Non-Arm</t>
  </si>
  <si>
    <t>CASC_027</t>
  </si>
  <si>
    <t>02-012</t>
  </si>
  <si>
    <t>Cable Lug  95  mm2</t>
  </si>
  <si>
    <t>CAAC_014</t>
  </si>
  <si>
    <t>CTT</t>
  </si>
  <si>
    <t>Cable Marker 8 digit c/w Carrier Strip</t>
  </si>
  <si>
    <t>CAAC_091</t>
  </si>
  <si>
    <t xml:space="preserve">Cable Clip 22mm PVC </t>
  </si>
  <si>
    <t>CONS_007</t>
  </si>
  <si>
    <t xml:space="preserve"> 1 Pt  x 1 Switch </t>
  </si>
  <si>
    <t>RTLT_002</t>
  </si>
  <si>
    <t>Emergency light points</t>
  </si>
  <si>
    <t>Light Fitting Custom__1</t>
  </si>
  <si>
    <t>LIGH_031</t>
  </si>
  <si>
    <t>Light Fitting Custom__2</t>
  </si>
  <si>
    <t>LIGH_002</t>
  </si>
  <si>
    <t>MC Socket Twin 13A  Neon</t>
  </si>
  <si>
    <t>WACC_026</t>
  </si>
  <si>
    <t>CONT</t>
  </si>
  <si>
    <t>3356</t>
  </si>
  <si>
    <t xml:space="preserve">Screw Wood S6 </t>
  </si>
  <si>
    <t>CONS_035</t>
  </si>
  <si>
    <t>02-008</t>
  </si>
  <si>
    <t xml:space="preserve">Rawl Plug S6 </t>
  </si>
  <si>
    <t>CONS_030</t>
  </si>
  <si>
    <t>02-009</t>
  </si>
  <si>
    <t>Distribution Board 12 WAY, 100A</t>
  </si>
  <si>
    <t>SWLV_017</t>
  </si>
  <si>
    <t xml:space="preserve">Distribution Board Schedule  </t>
  </si>
  <si>
    <t>DOCS_011</t>
  </si>
  <si>
    <t xml:space="preserve">Rawl Bolt 10mm </t>
  </si>
  <si>
    <t>CONS_025</t>
  </si>
  <si>
    <t>03-002</t>
  </si>
  <si>
    <t xml:space="preserve">Label Small  </t>
  </si>
  <si>
    <t>CONS_021</t>
  </si>
  <si>
    <t>05-002</t>
  </si>
  <si>
    <t>Assembly</t>
  </si>
  <si>
    <t>Dismantling</t>
  </si>
  <si>
    <t>DISM_002</t>
  </si>
  <si>
    <t>CPAN_259</t>
  </si>
  <si>
    <t>Junction Box</t>
  </si>
  <si>
    <t>Gland Indoor 20  BWL  4*4/6mm2</t>
  </si>
  <si>
    <t>CAAC_040</t>
  </si>
  <si>
    <t>CMP</t>
  </si>
  <si>
    <t>Cable Lug   6.0  mm2</t>
  </si>
  <si>
    <t>CAAC_007</t>
  </si>
  <si>
    <t>Labour only (FIX 2)</t>
  </si>
  <si>
    <t>LABO_006</t>
  </si>
  <si>
    <t>Rate</t>
  </si>
  <si>
    <t>Labour only (FIX 1)</t>
  </si>
  <si>
    <t>LABO_005</t>
  </si>
  <si>
    <t xml:space="preserve">Coring of slab </t>
  </si>
  <si>
    <t>Disconnecting</t>
  </si>
  <si>
    <t>Labour to Connect Up (FIX 3)</t>
  </si>
  <si>
    <t>LABO_003</t>
  </si>
  <si>
    <t xml:space="preserve"> 4 Pt  x 1 Switch </t>
  </si>
  <si>
    <t>RTLT_007</t>
  </si>
  <si>
    <t>IP56 1gang 2way switch</t>
  </si>
  <si>
    <t>WACC_019</t>
  </si>
  <si>
    <t>IP56 13A  Socket Twin Switched</t>
  </si>
  <si>
    <t>WACC_018</t>
  </si>
  <si>
    <t>DB-L2PR</t>
  </si>
  <si>
    <t>DB-L1PR</t>
  </si>
  <si>
    <t>Control Panel 1</t>
  </si>
  <si>
    <t>Included</t>
  </si>
  <si>
    <t>Conduit Galv. 20mm RATE</t>
  </si>
  <si>
    <t>COGV_011</t>
  </si>
  <si>
    <t>BAR</t>
  </si>
  <si>
    <t>20mm</t>
  </si>
  <si>
    <t>Wiring Cable  1c    1.5 mm2 PVC Non-Arm</t>
  </si>
  <si>
    <t>CASC_017</t>
  </si>
  <si>
    <t>02-002</t>
  </si>
  <si>
    <t>MC Switch 1G 2W 10A</t>
  </si>
  <si>
    <t>WACC_225</t>
  </si>
  <si>
    <t>MK</t>
  </si>
  <si>
    <t>K3591ALM</t>
  </si>
  <si>
    <t>WHITE Ceiling Rose</t>
  </si>
  <si>
    <t>WACC_037</t>
  </si>
  <si>
    <t>China</t>
  </si>
  <si>
    <t>Wiring Cable  3c  1.0 mm2 PVC Non-Arm</t>
  </si>
  <si>
    <t>CAMC_047</t>
  </si>
  <si>
    <t>1.0mm2</t>
  </si>
  <si>
    <t>03-001</t>
  </si>
  <si>
    <t>Wiring Cable  1c    4.0 mm2 PVC Non-Arm</t>
  </si>
  <si>
    <t>CASC_019</t>
  </si>
  <si>
    <t>02-004</t>
  </si>
  <si>
    <t>Wiring Cable  1c    2.5 mm2 PVC Non-Arm</t>
  </si>
  <si>
    <t>CASC_018</t>
  </si>
  <si>
    <t>02-003</t>
  </si>
  <si>
    <t>16A 3P+N+E Horizontal Industrial Switched Socket IP55</t>
  </si>
  <si>
    <t>WACC_145</t>
  </si>
  <si>
    <t>Scame</t>
  </si>
  <si>
    <t>SM505.1687</t>
  </si>
  <si>
    <t>16A 3P+N+E Industrial Plug IP55</t>
  </si>
  <si>
    <t>WACC_149</t>
  </si>
  <si>
    <t>001# Lighting installation galvanised</t>
  </si>
  <si>
    <t>002# Power points galvanised installation</t>
  </si>
  <si>
    <t>003# 16amp 5Pin Socket outlet</t>
  </si>
  <si>
    <t>004# 5core x 120sqmm FG16(0)M16 cable</t>
  </si>
  <si>
    <t>005# 4core x 120sqmm FG16(0)M16 cable</t>
  </si>
  <si>
    <t>006# 4core x 95sqmm FG16(0)M16 cable</t>
  </si>
  <si>
    <t>007# 5core x 70sqmm FG16(0)M16 cable</t>
  </si>
  <si>
    <t>008# 5core x 50sqmm FG16(0)M16 cable</t>
  </si>
  <si>
    <t>009# 5core x 35sqmm FG16(0)M16 cable</t>
  </si>
  <si>
    <t>010# 5core x 10sqmm XLPE/LSZH/SWA/LSZH cable</t>
  </si>
  <si>
    <t>011# 4core x 4.0 mm2 XLPE/SWA/LSZH/Cu</t>
  </si>
  <si>
    <t>012# Light fitting Type A - Installation Only</t>
  </si>
  <si>
    <t>013# Light fitting Type E4 - Installation Only</t>
  </si>
  <si>
    <t>014# 50mm galvanised steel cable tray</t>
  </si>
  <si>
    <t>015# 200mm galvanised steel cable tray</t>
  </si>
  <si>
    <t>016# 250mm galvanised steel cable tray</t>
  </si>
  <si>
    <t>017# 500mm galvanised steel cable tray</t>
  </si>
  <si>
    <t xml:space="preserve"> GALV. CABLE LADDER</t>
  </si>
  <si>
    <t>LAGV_001</t>
  </si>
  <si>
    <t>CAMC_030</t>
  </si>
  <si>
    <t>120mm2</t>
  </si>
  <si>
    <t>Power Cable   5core x 120sqmm FG16(0)M16 cable</t>
  </si>
  <si>
    <t xml:space="preserve">Cable Tie 225mm  </t>
  </si>
  <si>
    <t>CONS_009</t>
  </si>
  <si>
    <t>01-003</t>
  </si>
  <si>
    <t>Gland 50  A2  BRASS</t>
  </si>
  <si>
    <t>CAAC_033</t>
  </si>
  <si>
    <t>Cable Lug 120  mm2</t>
  </si>
  <si>
    <t>CAAC_015</t>
  </si>
  <si>
    <t>CAMC_029</t>
  </si>
  <si>
    <t>95mm2</t>
  </si>
  <si>
    <t>4core x 95sqmm FG16(0)M16 cable</t>
  </si>
  <si>
    <t>Gland 50S A2  BRASS</t>
  </si>
  <si>
    <t>CAAC_034</t>
  </si>
  <si>
    <t>Power Cable   4c   70 mm2 XLPE SWA-PVC</t>
  </si>
  <si>
    <t>CAMC_028</t>
  </si>
  <si>
    <t>70mm2</t>
  </si>
  <si>
    <t>Gland 40  A2  BRASS</t>
  </si>
  <si>
    <t>CAAC_032</t>
  </si>
  <si>
    <t>Cable Lug  70  mm2</t>
  </si>
  <si>
    <t>CAAC_013</t>
  </si>
  <si>
    <t>CAMC_027</t>
  </si>
  <si>
    <t>50mm2</t>
  </si>
  <si>
    <t>5core x 50sqmm FG16(0)M16 cable</t>
  </si>
  <si>
    <t xml:space="preserve">Cable Lug  50  mm2   </t>
  </si>
  <si>
    <t>CAAC_012</t>
  </si>
  <si>
    <t>CAMC_026</t>
  </si>
  <si>
    <t>35mm2</t>
  </si>
  <si>
    <t>5core x 35sqmm FG16(0)M16 cable</t>
  </si>
  <si>
    <t>Gland 32  A2  BRASS</t>
  </si>
  <si>
    <t>CAAC_031</t>
  </si>
  <si>
    <t>Cable Lug  35  mm2</t>
  </si>
  <si>
    <t>CAAC_011</t>
  </si>
  <si>
    <t>CAMC_023</t>
  </si>
  <si>
    <t>10mm2</t>
  </si>
  <si>
    <t>Gland Indoor 25  BWL  4*10/16mm2</t>
  </si>
  <si>
    <t>CAAC_043</t>
  </si>
  <si>
    <t>Cable Lug  10  mm2</t>
  </si>
  <si>
    <t>CAAC_008</t>
  </si>
  <si>
    <t>Power Cable   5c   10 mm2 XLPE SWA-PVC</t>
  </si>
  <si>
    <t>Power Cable   4c    4.0 mm2 XLPE SWA-PVC</t>
  </si>
  <si>
    <t>CAMC_019</t>
  </si>
  <si>
    <t>4.0mm2</t>
  </si>
  <si>
    <t xml:space="preserve">Cable Lug   4.0  mm2   </t>
  </si>
  <si>
    <t>CAAC_006</t>
  </si>
  <si>
    <t xml:space="preserve">Suspending Chain  </t>
  </si>
  <si>
    <t>CONS_040</t>
  </si>
  <si>
    <t>01-005</t>
  </si>
  <si>
    <t xml:space="preserve">Rawl Hook  6mm </t>
  </si>
  <si>
    <t>CONS_027</t>
  </si>
  <si>
    <t>03-004</t>
  </si>
  <si>
    <t xml:space="preserve">Tray  500mm  Galv.     </t>
  </si>
  <si>
    <t>TRGV_062</t>
  </si>
  <si>
    <t>Ardic</t>
  </si>
  <si>
    <t>HDG</t>
  </si>
  <si>
    <t xml:space="preserve">Tray Coupler Galv.     </t>
  </si>
  <si>
    <t>TRGV_051</t>
  </si>
  <si>
    <t xml:space="preserve">Roofing Bolt  </t>
  </si>
  <si>
    <t>CONS_031</t>
  </si>
  <si>
    <t>02-005</t>
  </si>
  <si>
    <t>Wing Nut Hilti  M6</t>
  </si>
  <si>
    <t>EMAT_059</t>
  </si>
  <si>
    <t>HIL</t>
  </si>
  <si>
    <t>MKN-FM8</t>
  </si>
  <si>
    <t>04-002</t>
  </si>
  <si>
    <t xml:space="preserve">Hex.Set Screws  M6x20 </t>
  </si>
  <si>
    <t>EMAT_025</t>
  </si>
  <si>
    <t xml:space="preserve">Earth Strips Copper </t>
  </si>
  <si>
    <t>CONS_012</t>
  </si>
  <si>
    <t>01-011</t>
  </si>
  <si>
    <t>Wiring Cable  1c   16 mm2 PVC Non-Arm</t>
  </si>
  <si>
    <t>Earth cable as per specs</t>
  </si>
  <si>
    <t>CASC_022</t>
  </si>
  <si>
    <t>02-007</t>
  </si>
  <si>
    <t xml:space="preserve">Tray  300mm  Galv.     </t>
  </si>
  <si>
    <t>TRGV_030</t>
  </si>
  <si>
    <t xml:space="preserve">Tray  200mm  Galv.     </t>
  </si>
  <si>
    <t>TRGV_023</t>
  </si>
  <si>
    <t xml:space="preserve">Tray   50mm   Galv.     </t>
  </si>
  <si>
    <t>TRGV_002</t>
  </si>
  <si>
    <t>L1PR/1/L1</t>
  </si>
  <si>
    <t>L2PR/1/L1</t>
  </si>
  <si>
    <t>L2PR/1/L3</t>
  </si>
  <si>
    <t>001# Emergency lighting installation galvanised</t>
  </si>
  <si>
    <t>L1PR/1/L3</t>
  </si>
  <si>
    <t>L1PR/2/L2</t>
  </si>
  <si>
    <t>L2PR/2/L2</t>
  </si>
  <si>
    <t>Hanging below ceiling</t>
  </si>
  <si>
    <t>Anchor  8mm Hilti HKD-SM8x30</t>
  </si>
  <si>
    <t>CONS_003</t>
  </si>
  <si>
    <t>HKD-SM8x30</t>
  </si>
  <si>
    <t xml:space="preserve">Threaded Rod Galv. 8mm </t>
  </si>
  <si>
    <t>EMAT_043</t>
  </si>
  <si>
    <t>Hilti Channel 40x20 Endcap MQZ-E21</t>
  </si>
  <si>
    <t>EMAT_064</t>
  </si>
  <si>
    <t>Channel SHALLOW-Galv. Hilti MS-213M</t>
  </si>
  <si>
    <t>EMAT_020</t>
  </si>
  <si>
    <t>MS-213m</t>
  </si>
  <si>
    <t>Labour to manufacture brackets</t>
  </si>
  <si>
    <t>LABO_008</t>
  </si>
  <si>
    <t>NoMat?</t>
  </si>
  <si>
    <t xml:space="preserve">Galv. Nut  8mm </t>
  </si>
  <si>
    <t>EMAT_022</t>
  </si>
  <si>
    <t>Tray Washers M8</t>
  </si>
  <si>
    <t>EMAT_057</t>
  </si>
  <si>
    <t>Channel DEEP-Galv. Hilti MS-413M</t>
  </si>
  <si>
    <t>EMAT_018</t>
  </si>
  <si>
    <t>MS-413m</t>
  </si>
  <si>
    <t>02-018</t>
  </si>
  <si>
    <t>Push Button Angle Hilti MQW-02</t>
  </si>
  <si>
    <t>Hilti</t>
  </si>
  <si>
    <t>EMAT_041</t>
  </si>
  <si>
    <t>Sleeve Anchor 10mm Hilti HLC 10x80/48-H</t>
  </si>
  <si>
    <t>CONS_038</t>
  </si>
  <si>
    <t>HLC 10x80/48-H</t>
  </si>
  <si>
    <t>03-008</t>
  </si>
  <si>
    <t>Hilti Channel 40x40 Endcap MQZ-E41</t>
  </si>
  <si>
    <t>EMAT_065</t>
  </si>
  <si>
    <t>02-020</t>
  </si>
  <si>
    <t>Motor Control Centre 1</t>
  </si>
  <si>
    <t>CPAN_140</t>
  </si>
  <si>
    <t>Delivery and putting in place</t>
  </si>
  <si>
    <t>Install only</t>
  </si>
  <si>
    <t>Installation</t>
  </si>
  <si>
    <t>Terminations</t>
  </si>
  <si>
    <t>027# Bracket for 400-600mm cable tray</t>
  </si>
  <si>
    <t>026# Bracket for 200-300mm cable tray</t>
  </si>
  <si>
    <t>1250Amp 4pole MCCB</t>
  </si>
  <si>
    <t>1600Amp 4pole ACB</t>
  </si>
  <si>
    <t>1600Amp 3pole ACB</t>
  </si>
  <si>
    <t>Based on: 1metres intervals as per specs</t>
  </si>
  <si>
    <t>Three hole angle Hilti 90deg</t>
  </si>
  <si>
    <t>EMAT_045</t>
  </si>
  <si>
    <t>MW-3</t>
  </si>
  <si>
    <t>07-005</t>
  </si>
  <si>
    <t>Push Button Hilti M10</t>
  </si>
  <si>
    <t>MKN</t>
  </si>
  <si>
    <t>07-008</t>
  </si>
  <si>
    <t>MQW-3-F</t>
  </si>
  <si>
    <t>MQN-C HDG</t>
  </si>
  <si>
    <t>025# Bracket for 50mm cable tray</t>
  </si>
  <si>
    <t>Drops to equipment</t>
  </si>
  <si>
    <t>Based on: Drops  to equipment</t>
  </si>
  <si>
    <t>Testing &amp; Commissioning (by Electrician)</t>
  </si>
  <si>
    <t>COMM_003</t>
  </si>
  <si>
    <t>2No. Distribution Boards</t>
  </si>
  <si>
    <t>Switchboard</t>
  </si>
  <si>
    <t>Motor Control Centre</t>
  </si>
  <si>
    <t>ACBs and MCCBs</t>
  </si>
  <si>
    <t>Earthing and Bonding</t>
  </si>
  <si>
    <t>General Installation and modifications</t>
  </si>
  <si>
    <t>Training and maintenance</t>
  </si>
  <si>
    <t xml:space="preserve"> DRAWINGS &amp; MANUALS</t>
  </si>
  <si>
    <t>DOCS_001</t>
  </si>
  <si>
    <t>DOCS_012</t>
  </si>
  <si>
    <t>Operating and Maintenance Manuals</t>
  </si>
  <si>
    <t>DOCS_013</t>
  </si>
  <si>
    <t>Pen Drive</t>
  </si>
  <si>
    <t>Pump  P-206 - 18.5kW</t>
  </si>
  <si>
    <t>Power Cable   4c   16 mm2 XLPE SWA-PVC</t>
  </si>
  <si>
    <t>CAMC_024</t>
  </si>
  <si>
    <t>16mm2</t>
  </si>
  <si>
    <t>Cable Lug  16  mm2</t>
  </si>
  <si>
    <t>CAAC_009</t>
  </si>
  <si>
    <t xml:space="preserve">Surface Isolator  63A 4-Pole </t>
  </si>
  <si>
    <t>SWLV_177</t>
  </si>
  <si>
    <t>KM</t>
  </si>
  <si>
    <t>P3-63/I/N</t>
  </si>
  <si>
    <t>10</t>
  </si>
  <si>
    <t>Bracket Custom_1</t>
  </si>
  <si>
    <t>EMAT_070</t>
  </si>
  <si>
    <t>01-007</t>
  </si>
  <si>
    <t>Pump  P-207 - 18.5kW</t>
  </si>
  <si>
    <t>Pump  P-209 - 18.5kW</t>
  </si>
  <si>
    <t>Pump  P-210 - 18.5kW</t>
  </si>
  <si>
    <t>PU-HTW1 - 0.75kW 230Volt</t>
  </si>
  <si>
    <t>Power Cable   3c   2.5 mm2 XLPE SWA-PVC</t>
  </si>
  <si>
    <t>CAMC_058</t>
  </si>
  <si>
    <t>2.5mm2</t>
  </si>
  <si>
    <t>Gland Indoor 20/16  BWL  4*1.5/2.5mm2</t>
  </si>
  <si>
    <t>CAAC_041</t>
  </si>
  <si>
    <t xml:space="preserve">Surface Isolator  20A  4-Pole </t>
  </si>
  <si>
    <t>SWLV_147</t>
  </si>
  <si>
    <t>T0-2-8293/I</t>
  </si>
  <si>
    <t>10-005</t>
  </si>
  <si>
    <t>PU-HTW2 - 0.75kW 230Volt</t>
  </si>
  <si>
    <t>PU-HTHW1 - 0.75kW 230Volt</t>
  </si>
  <si>
    <t>CAMC_017</t>
  </si>
  <si>
    <t>Additional cable tray to the power cable tray in this BOQ</t>
  </si>
  <si>
    <t xml:space="preserve">Tray  150mm  Galv.     </t>
  </si>
  <si>
    <t>TRGV_016</t>
  </si>
  <si>
    <t>Power Cable   5c    2.5 mm2 XLPE SWA-PVC</t>
  </si>
  <si>
    <t>Power Cable  5c    2.5 mm2 XLPE SWA-PVC</t>
  </si>
  <si>
    <t>From Chiller</t>
  </si>
  <si>
    <t>From SPBN2-1</t>
  </si>
  <si>
    <t>Re-Route cable</t>
  </si>
  <si>
    <t>Gland Indoor 50  BWL  4*120mm2</t>
  </si>
  <si>
    <t>CAAC_046</t>
  </si>
  <si>
    <t xml:space="preserve"> CONSUMABLES</t>
  </si>
  <si>
    <t>Galvanised steel sheet</t>
  </si>
  <si>
    <t>Price from Christian Mercieca</t>
  </si>
  <si>
    <t>CONS_001</t>
  </si>
  <si>
    <t>01-001</t>
  </si>
  <si>
    <t>M8 Bolts</t>
  </si>
  <si>
    <t>CONS_024</t>
  </si>
  <si>
    <t>Cable termination box as per Siegfried</t>
  </si>
  <si>
    <t>Cables</t>
  </si>
  <si>
    <t>Re-Route and terminate cable</t>
  </si>
  <si>
    <t>Price from Christian Mercieca - Siegfried</t>
  </si>
  <si>
    <t>Fish Plates</t>
  </si>
  <si>
    <t>Additional labour for short pieces</t>
  </si>
  <si>
    <t>Chiller side</t>
  </si>
  <si>
    <t>Switchboard side</t>
  </si>
  <si>
    <t>Supply Only - MCE</t>
  </si>
  <si>
    <t>Disconnect</t>
  </si>
  <si>
    <t>In switchboard</t>
  </si>
  <si>
    <t>Power Cable   4c  185 mm2 XLPE SWA-PVC</t>
  </si>
  <si>
    <t>CAMC_032</t>
  </si>
  <si>
    <t>185mm2</t>
  </si>
  <si>
    <t>Chiller</t>
  </si>
  <si>
    <t>Placing in client's store</t>
  </si>
  <si>
    <t>Wiring Cable  1c   10 mm2 PVC Non-Arm</t>
  </si>
  <si>
    <t>CASC_021</t>
  </si>
  <si>
    <t>02-006</t>
  </si>
  <si>
    <t>Bonding of switchboard, MCC, Distribution Board, cable tray and cable ladder</t>
  </si>
  <si>
    <t>PFCs</t>
  </si>
  <si>
    <t>Labour to connect Mech Equip (FIX 3)</t>
  </si>
  <si>
    <t>LABO_009</t>
  </si>
  <si>
    <t>EF 1 - 0.37kW 230Volt</t>
  </si>
  <si>
    <t>EF 3 - 0.37kW 230Volt</t>
  </si>
  <si>
    <t>EF 2 - 0.37kW 230Volt</t>
  </si>
  <si>
    <t>Conduit BRASS ADAP.FLEX  20mm</t>
  </si>
  <si>
    <t>COGV_006</t>
  </si>
  <si>
    <t>Conduit Galv. FLEX 20mm</t>
  </si>
  <si>
    <t>COGV_010</t>
  </si>
  <si>
    <t>Indoor Screened  3c Cable 0.75sqmm</t>
  </si>
  <si>
    <t>Batt Cables</t>
  </si>
  <si>
    <t>CASP_083</t>
  </si>
  <si>
    <t>Lappkabel</t>
  </si>
  <si>
    <t>0034703  UNITRONIC LiYCY</t>
  </si>
  <si>
    <t>Supply only</t>
  </si>
  <si>
    <t>Cable Marker Wrap Around Type</t>
  </si>
  <si>
    <t>CAAC_025</t>
  </si>
  <si>
    <t>Gland 20  A2  PVC</t>
  </si>
  <si>
    <t>CAAC_027</t>
  </si>
  <si>
    <t xml:space="preserve">Cable Lug   1.5  mm2   </t>
  </si>
  <si>
    <t>CAAC_004</t>
  </si>
  <si>
    <t>Label c/w chain</t>
  </si>
  <si>
    <t>Allowing for 4No. Cables per drive</t>
  </si>
  <si>
    <t>ESS - Daniel Scicluna</t>
  </si>
  <si>
    <t>Power Cable   4core x 120sqmm FG16(0)M16 cable</t>
  </si>
  <si>
    <t>AJ Electric</t>
  </si>
  <si>
    <t>Heat Pumps</t>
  </si>
  <si>
    <t>Pump  P-208 - 18.5kW</t>
  </si>
  <si>
    <t>Included in BMS</t>
  </si>
  <si>
    <t>EL25-0477</t>
  </si>
  <si>
    <t>Tender</t>
  </si>
  <si>
    <t>Eden Lesuire Group</t>
  </si>
  <si>
    <t>Intercontinental - Plant Retrofit</t>
  </si>
  <si>
    <t>Retrofitting works for the Electrical Installations</t>
  </si>
  <si>
    <t>Guy 28.07.2025</t>
  </si>
  <si>
    <t>ECA (Technician)</t>
  </si>
  <si>
    <t>ECA (Engineer)</t>
  </si>
  <si>
    <t>Supply Engineer</t>
  </si>
  <si>
    <t>Supply Technician</t>
  </si>
  <si>
    <t>Distribution Board DB-L2PR (metalclad enclosure)</t>
  </si>
  <si>
    <t>Equipotential earth bonding busbar EB1, rated at 600A or more, wall mounted to the wall on plastic insulators. (approx. 400mm x 50mm x 6mm).</t>
  </si>
  <si>
    <t>Install and connect only the following switchgear and other accessories.</t>
  </si>
  <si>
    <t>Supply and install the following galvanized steel cable tray, from MSG-1 to SPB-PR in the new Plant Room. Cost is to include all cantilever bracketing to wall or  suspension bracketing to the ceiling as necessary.</t>
  </si>
  <si>
    <t>Supply and install the following galvanized steel cable ladder above SPB-PR. Cost is to include all the support bracketing to wall or ceiling as necessary.</t>
  </si>
  <si>
    <t>Supply, install and connect the following power cables. Cost is to include all cable installation and termination accessories as necessary. Cables installed on low level (less than 2.5 metres from FFL) cable trays are to be mechanically protected by cable tray covers.</t>
  </si>
  <si>
    <t>1600A MCCB in existing Main Switchgear Panel MSG-1 to the new Switchgear Panel SPB-PR (Plant Room).</t>
  </si>
  <si>
    <r>
      <t>6 x (5core x 120.0 mm</t>
    </r>
    <r>
      <rPr>
        <vertAlign val="superscript"/>
        <sz val="10"/>
        <rFont val="Arial"/>
        <family val="2"/>
      </rPr>
      <t>2</t>
    </r>
    <r>
      <rPr>
        <sz val="10"/>
        <rFont val="Arial"/>
        <family val="2"/>
      </rPr>
      <t xml:space="preserve"> FG16(0)M16).</t>
    </r>
  </si>
  <si>
    <t>Switchgear Panel SPB-PR (Plant Room) to Motor Control Centre MCC-PR (Plant Room).</t>
  </si>
  <si>
    <r>
      <t>2 x (5core x 95.0 mm</t>
    </r>
    <r>
      <rPr>
        <vertAlign val="superscript"/>
        <sz val="10"/>
        <rFont val="Arial"/>
        <family val="2"/>
      </rPr>
      <t>2</t>
    </r>
    <r>
      <rPr>
        <sz val="10"/>
        <rFont val="Arial"/>
        <family val="2"/>
      </rPr>
      <t xml:space="preserve"> FG16(0)M16).</t>
    </r>
  </si>
  <si>
    <t>Earth bar in Switchgear Panel SPB-PR (Plant Room) to Equipotential earth bonding busbar EB1.</t>
  </si>
  <si>
    <r>
      <t>2 x (1core x 95.0 mm</t>
    </r>
    <r>
      <rPr>
        <vertAlign val="superscript"/>
        <sz val="10"/>
        <rFont val="Arial"/>
        <family val="2"/>
      </rPr>
      <t xml:space="preserve">2 </t>
    </r>
    <r>
      <rPr>
        <sz val="10"/>
        <rFont val="Arial"/>
        <family val="2"/>
      </rPr>
      <t>LSZH/Cu).</t>
    </r>
  </si>
  <si>
    <r>
      <t xml:space="preserve">Supply and install the following lighting points in the electrical switchroom for the Plant Room (PR), as specified. </t>
    </r>
    <r>
      <rPr>
        <b/>
        <sz val="10"/>
        <rFont val="Arial"/>
        <family val="2"/>
      </rPr>
      <t>(Metalclad Installation)</t>
    </r>
  </si>
  <si>
    <t>Two lighting points controlled by one switch.</t>
  </si>
  <si>
    <t>Fused connection unit (AC unit)</t>
  </si>
  <si>
    <t>Supply and install the following galvanized steel cable tray. Cost is to include all bracketing to wall or ceiling as necessary.</t>
  </si>
  <si>
    <t xml:space="preserve">Cost is to include all the support bracketing to wall , to ceiling and floor-to-ceiling, as necessary. </t>
  </si>
  <si>
    <t xml:space="preserve">100mm </t>
  </si>
  <si>
    <t>100mm (Vertical drops onto machinery)</t>
  </si>
  <si>
    <t xml:space="preserve">150mm </t>
  </si>
  <si>
    <t>150mm (Vertical drops onto machinery)</t>
  </si>
  <si>
    <t>200mm (Vertical drops onto machinery)</t>
  </si>
  <si>
    <t>300mm</t>
  </si>
  <si>
    <t>500mm</t>
  </si>
  <si>
    <t>POWER CABLING TO THE HEAT PUMPS</t>
  </si>
  <si>
    <t>Supply, install and connect the following power cables. Cost is to include all cable installation and termination accessories, terminal extension fish plates as necessary. Cables installed on low level (less than 2.5 metres from FFL) cable trays are to be mechanically protected by cable tray covers.</t>
  </si>
  <si>
    <t>Switchgear Panel SPB-PR (Plant Room) to High Temperature Heat Pump 1 (SPBPR/2)</t>
  </si>
  <si>
    <r>
      <t>2 x (5core x 120.0 mm</t>
    </r>
    <r>
      <rPr>
        <vertAlign val="superscript"/>
        <sz val="10"/>
        <rFont val="Arial"/>
        <family val="2"/>
      </rPr>
      <t>2</t>
    </r>
    <r>
      <rPr>
        <sz val="10"/>
        <rFont val="Arial"/>
        <family val="2"/>
      </rPr>
      <t xml:space="preserve"> FG16(0)M16)</t>
    </r>
  </si>
  <si>
    <t>Switchgear Panel SPB-PR (Plant Room) to High Temperature Heat Pump 2 (SPBPR/3)</t>
  </si>
  <si>
    <t>Switchgear Panel SPB-PR (Plant Room) to High Temperature Heat Pump 3 (SPBPR/4)</t>
  </si>
  <si>
    <t>Supply, install, modify and connect the following power cables. Cost is to include all cable installation and termination accessories as necessary. Cables installed on low level (less than 2.5 metres from FFL) cable trays are to be mechanically protected by cable tray covers.</t>
  </si>
  <si>
    <r>
      <t>Disconnect the  existing 3 x (5corex120mmsq XLPE/SWA/LSZH/Cu) multicore cables, connected to the</t>
    </r>
    <r>
      <rPr>
        <b/>
        <sz val="10"/>
        <rFont val="Arial"/>
        <family val="2"/>
      </rPr>
      <t xml:space="preserve"> temporary Chiller</t>
    </r>
    <r>
      <rPr>
        <sz val="10"/>
        <rFont val="Arial"/>
        <family val="2"/>
      </rPr>
      <t xml:space="preserve">, from both the chiller's power input terminals end and from SPBN2-1. </t>
    </r>
  </si>
  <si>
    <r>
      <t xml:space="preserve">Pull back the above cables and install them on the existing 500mm cable tray within the Plant Room, modify and re-connect the above three existing multicore cables directly to the power input terminals of the new </t>
    </r>
    <r>
      <rPr>
        <b/>
        <sz val="10"/>
        <rFont val="Arial"/>
        <family val="2"/>
      </rPr>
      <t>Chiller</t>
    </r>
    <r>
      <rPr>
        <sz val="10"/>
        <rFont val="Arial"/>
        <family val="2"/>
      </rPr>
      <t xml:space="preserve"> </t>
    </r>
    <r>
      <rPr>
        <b/>
        <sz val="10"/>
        <rFont val="Arial"/>
        <family val="2"/>
      </rPr>
      <t xml:space="preserve">1 </t>
    </r>
    <r>
      <rPr>
        <sz val="10"/>
        <rFont val="Arial"/>
        <family val="2"/>
      </rPr>
      <t xml:space="preserve">and to SPBN2-1. Cost is to include all cable installation and termination accessories, terminal  extension fish plates as necessary and cable termination / glanding box on top of the chiller if required. </t>
    </r>
  </si>
  <si>
    <r>
      <t xml:space="preserve">Disconnect the two existing 2 x (4corex120mmsq XLPE/SWA) multicore cables, connected to </t>
    </r>
    <r>
      <rPr>
        <b/>
        <sz val="10"/>
        <rFont val="Arial"/>
        <family val="2"/>
      </rPr>
      <t>Chiller 2</t>
    </r>
    <r>
      <rPr>
        <sz val="10"/>
        <rFont val="Arial"/>
        <family val="2"/>
      </rPr>
      <t>, from the existing Chiller 2 end only (not from SPBN2-1).</t>
    </r>
  </si>
  <si>
    <r>
      <t xml:space="preserve">Relocate, modify and re-connect the above two existing multicore XLPE/SWA cables directly to the power input terminals of the new </t>
    </r>
    <r>
      <rPr>
        <b/>
        <sz val="10"/>
        <rFont val="Arial"/>
        <family val="2"/>
      </rPr>
      <t>Chiller 2</t>
    </r>
    <r>
      <rPr>
        <sz val="10"/>
        <rFont val="Arial"/>
        <family val="2"/>
      </rPr>
      <t xml:space="preserve">. Cost is to include all cable installation and termination accessories, terminal  extension fish plates as necessary and cable termination / glanding box on top of the chiller if required. </t>
    </r>
  </si>
  <si>
    <r>
      <t>Relocate, modify and re-connect one of the existing multicore XLPE/SWA cables, formerly  supplying existing Chiller 1, directly to the power input terminals of the new</t>
    </r>
    <r>
      <rPr>
        <b/>
        <sz val="10"/>
        <rFont val="Arial"/>
        <family val="2"/>
      </rPr>
      <t xml:space="preserve"> Chiller 2 </t>
    </r>
    <r>
      <rPr>
        <sz val="10"/>
        <rFont val="Arial"/>
        <family val="2"/>
      </rPr>
      <t xml:space="preserve">and to the existing 800A MCCB within SPBN2-1. Cost is to include all cable installation and termination accessories, terminal  extension fish plates etc. as necessary. </t>
    </r>
  </si>
  <si>
    <r>
      <t xml:space="preserve">Disconnect the two existing 2 x (4corex120mmsq XLPE/SWA) multicore cables, connected to </t>
    </r>
    <r>
      <rPr>
        <b/>
        <sz val="10"/>
        <rFont val="Arial"/>
        <family val="2"/>
      </rPr>
      <t>Chiller 3</t>
    </r>
    <r>
      <rPr>
        <sz val="10"/>
        <rFont val="Arial"/>
        <family val="2"/>
      </rPr>
      <t>, from the existing Chiller 3 end only (not from SPBN2-1).</t>
    </r>
  </si>
  <si>
    <r>
      <t xml:space="preserve">Relocate, modify and re-connect the above two existing multicore XLPE/SWA cables directly to the power input terminals of the new </t>
    </r>
    <r>
      <rPr>
        <b/>
        <sz val="10"/>
        <rFont val="Arial"/>
        <family val="2"/>
      </rPr>
      <t>Chiller 3</t>
    </r>
    <r>
      <rPr>
        <sz val="10"/>
        <rFont val="Arial"/>
        <family val="2"/>
      </rPr>
      <t xml:space="preserve">. Cost is to include all cable installation and termination accessories, terminal  extension fish plates as necessary and cable termination / glanding  box on top of the chiller if required. </t>
    </r>
  </si>
  <si>
    <r>
      <t xml:space="preserve">Disconnect the existing 1 x (4corex185mmsq XLPE/SWA) multicore XLPE/SWA multicore cable connected to </t>
    </r>
    <r>
      <rPr>
        <b/>
        <sz val="10"/>
        <rFont val="Arial"/>
        <family val="2"/>
      </rPr>
      <t>Chiller 4</t>
    </r>
    <r>
      <rPr>
        <sz val="10"/>
        <rFont val="Arial"/>
        <family val="2"/>
      </rPr>
      <t>, from both ends, remove and place in client’s store.</t>
    </r>
  </si>
  <si>
    <r>
      <t xml:space="preserve">Supply and install  new 2 x (4corex95mmsq FG16(0)M16) multicore power cables between the existing 400A TP MCCB within SPBE2-3 and the power input terminals of the new </t>
    </r>
    <r>
      <rPr>
        <b/>
        <sz val="10"/>
        <rFont val="Arial"/>
        <family val="2"/>
      </rPr>
      <t>Chiller 4</t>
    </r>
    <r>
      <rPr>
        <sz val="10"/>
        <rFont val="Arial"/>
        <family val="2"/>
      </rPr>
      <t xml:space="preserve">. Cost is to include all cable installation and termination accessories as necessary. </t>
    </r>
  </si>
  <si>
    <t>Supply and install connecting schedule on all distribution</t>
  </si>
  <si>
    <t>boards, consumer units and lighting control panels.</t>
  </si>
  <si>
    <t xml:space="preserve">Note: The costs for the disconnection and removal of all the to-be redundant electrical installation within the existing plantroom, thus including small power and control cables, conduit, cable trays, pump control panels, isolators etc. are to be included in other comprehensive "Dismantling" sections of these BOQs. </t>
  </si>
  <si>
    <t>5T</t>
  </si>
  <si>
    <t>1T</t>
  </si>
  <si>
    <t>2T</t>
  </si>
  <si>
    <t>3T</t>
  </si>
  <si>
    <t>4T</t>
  </si>
  <si>
    <t>6T</t>
  </si>
  <si>
    <t>6.0b</t>
  </si>
  <si>
    <t>7T</t>
  </si>
  <si>
    <t>7.0b</t>
  </si>
  <si>
    <t>8T</t>
  </si>
  <si>
    <t>9T</t>
  </si>
  <si>
    <t>9.0c</t>
  </si>
  <si>
    <t>10T</t>
  </si>
  <si>
    <t>10.0c</t>
  </si>
  <si>
    <t>10.0d</t>
  </si>
  <si>
    <t>10.0e</t>
  </si>
  <si>
    <t>10.0f</t>
  </si>
  <si>
    <t>10.0g</t>
  </si>
  <si>
    <t>10.0h</t>
  </si>
  <si>
    <t>11T</t>
  </si>
  <si>
    <t>11.0c</t>
  </si>
  <si>
    <t>12T</t>
  </si>
  <si>
    <t>12.0c</t>
  </si>
  <si>
    <t>12.0d</t>
  </si>
  <si>
    <t>12.0e</t>
  </si>
  <si>
    <t>12.0f</t>
  </si>
  <si>
    <t>12.0g</t>
  </si>
  <si>
    <t>12.0h</t>
  </si>
  <si>
    <t>12.0i</t>
  </si>
  <si>
    <t>12.0j</t>
  </si>
  <si>
    <t>Supply and install the following lighting points in the electrical switchroom for the Plant Room (PR), as specified. (Metalclad Installation)</t>
  </si>
  <si>
    <t>Item: 6.0b</t>
  </si>
  <si>
    <t>Item: 7.0b</t>
  </si>
  <si>
    <t>Item: 9.0c</t>
  </si>
  <si>
    <t>100mm</t>
  </si>
  <si>
    <t>Item: 10.0c</t>
  </si>
  <si>
    <t>150mm</t>
  </si>
  <si>
    <t>Item: 10.0d</t>
  </si>
  <si>
    <t>Item: 10.0e</t>
  </si>
  <si>
    <t>Item: 10.0f</t>
  </si>
  <si>
    <t>Item: 10.0g</t>
  </si>
  <si>
    <t>Item: 10.0h</t>
  </si>
  <si>
    <t>Item: 11.0c</t>
  </si>
  <si>
    <t>Disconnect the  existing 3 x (5corex120mmsq XLPE/SWA/LSZH/Cu) multicore cables, connected to the temporary Chiller, from both the chiller's power input terminals end and from SPBN2-1.</t>
  </si>
  <si>
    <t>Pull back the above cables and install them on the existing 500mm cable tray within the Plant Room, modify and re-connect the above three existing multicore cables directly to the power input terminals of the new Chiller 1 and to SPBN2-1. Cost is to include all cable installation and termination accessories, terminal  extension fish plates as necessary and cable termination / glanding box on top of the chiller if required.</t>
  </si>
  <si>
    <t>Disconnect the two existing 2 x (4corex120mmsq XLPE/SWA) multicore cables, connected to Chiller 2, from the existing Chiller 2 end only (not from SPBN2-1).</t>
  </si>
  <si>
    <t>Relocate, modify and re-connect the above two existing multicore XLPE/SWA cables directly to the power input terminals of the new Chiller 2. Cost is to include all cable installation and termination accessories, terminal  extension fish plates as necessary and cable termination / glanding box on top of the chiller if required.</t>
  </si>
  <si>
    <t>Relocate, modify and re-connect one of the existing multicore XLPE/SWA cables, formerly  supplying existing Chiller 1, directly to the power input terminals of the new Chiller 2 and to the existing 800A MCCB within SPBN2-1. Cost is to include all cable installation and termination accessories, terminal  extension fish plates etc. as necessary.</t>
  </si>
  <si>
    <t>Disconnect the two existing 2 x (4corex120mmsq XLPE/SWA) multicore cables, connected to Chiller 3, from the existing Chiller 3 end only (not from SPBN2-1).</t>
  </si>
  <si>
    <t>Relocate, modify and re-connect the above two existing multicore XLPE/SWA cables directly to the power input terminals of the new Chiller 3. Cost is to include all cable installation and termination accessories, terminal  extension fish plates as necessary and cable termination / glanding  box on top of the chiller if required.</t>
  </si>
  <si>
    <t>Disconnect the existing 1 x (4corex185mmsq XLPE/SWA) multicore XLPE/SWA multicore cable connected to Chiller 4, from both ends, remove and place in client’s store.</t>
  </si>
  <si>
    <t>Item: 12.0j</t>
  </si>
  <si>
    <t>Supply and install  new 2 x (4corex95mmsq FG16(0)M16) multicore power cables between the existing 400A TP MCCB within SPBE2-3 and the power input terminals of the new Chiller 4. Cost is to include all cable installation and termination accessories as necessary.</t>
  </si>
  <si>
    <t>Item: 17</t>
  </si>
  <si>
    <t>Subcontracting Works (Specify Contractor Name)</t>
  </si>
  <si>
    <t>SUBC_007</t>
  </si>
  <si>
    <t>Megaline</t>
  </si>
  <si>
    <t>1600A MCCB in existing Main Switchgear Panel MSG-1 to the new Switchgear Panel SPB-PR (Plant Room).6 x (5core x 120.0 mm2 FG16(0)M16).</t>
  </si>
  <si>
    <t>Switchgear Panel SPB-PR (Plant Room) to Motor Control Centre MCC-PR (Plant Room). 2 x (5core x 95.0 mm2 FG16(0)M16).</t>
  </si>
  <si>
    <t>Earth bar in Switchgear Panel SPB-PR (Plant Room) to Equipotential earth bonding busbar EB1. 2 x (1core x 95.0 mm2 LSZH/Cu).</t>
  </si>
  <si>
    <t>Switchgear Panel SPB-PR (Plant Room) to High Temperature Heat Pump 1 (SPBPR/2) 2 x (5core x 120.0 mm2 FG16(0)M16)</t>
  </si>
  <si>
    <t>Switchgear Panel SPB-PR (Plant Room) to High Temperature Heat Pump 2 (SPBPR/3) 2 x (5core x 120.0 mm2 FG16(0)M16)</t>
  </si>
  <si>
    <t>Switchgear Panel SPB-PR (Plant Room) to High Temperature Heat Pump 3 (SPBPR/4) 2 x (5core x 120.0 mm2 FG16(0)M16)</t>
  </si>
  <si>
    <t>Supply and install connecting schedule on all distribution boards, consumer units and lighting control panels.</t>
  </si>
  <si>
    <t>BUILDING MANAGEMENT SYSTEM</t>
  </si>
  <si>
    <t>Collection from page 69</t>
  </si>
  <si>
    <t xml:space="preserve">All wiring, containment, field devices etc. for a complete working systems </t>
  </si>
  <si>
    <t>Complete working system</t>
  </si>
  <si>
    <t>The configuration and upkeep of the trends and logs for all the project data points included in the project.</t>
  </si>
  <si>
    <t>BMS Trends</t>
  </si>
  <si>
    <t>Design, and configuration of alarms per data point as required by project engineer.</t>
  </si>
  <si>
    <t>BMS Alarms</t>
  </si>
  <si>
    <t>Design, supply and installation of a complete IP network that connects all the MCC's to the main BMS server and other third party systems</t>
  </si>
  <si>
    <t xml:space="preserve">Engineering IP Network </t>
  </si>
  <si>
    <t>Supply, installation and configuration of the BMS Windows server.</t>
  </si>
  <si>
    <t>BMS Server</t>
  </si>
  <si>
    <t xml:space="preserve">Supply, Installation and configuration of the BMS supervisory software, complete with all the implementation of the UI and strategy into a complete solution as per tender document, schedules and BoQ requirements. </t>
  </si>
  <si>
    <t>BMS Supervisor Software</t>
  </si>
  <si>
    <t>Supply, deliver to site, install, test and commission the following as specified and as shown on the drawings, unless otherwise noted.</t>
  </si>
  <si>
    <t>Item: 1.0</t>
  </si>
  <si>
    <t>&gt;&gt;&gt; mu_A material here &gt;&gt;&gt;</t>
  </si>
  <si>
    <t>&gt;&gt;&gt; mu_B material here &gt;&gt;&gt;</t>
  </si>
  <si>
    <t>Item: 2.0</t>
  </si>
  <si>
    <t>Engineering IP Network</t>
  </si>
  <si>
    <t>All wiring, containment, field devices etc. for a complete working systems</t>
  </si>
  <si>
    <t>Item: 3.0</t>
  </si>
  <si>
    <t>Description</t>
  </si>
  <si>
    <t>Take delivery at site of Trane EPC Tracer SC+ control system procured by client, liaise with supplier, engineer, install and set to work all systems listed below and as described in the specifications.</t>
  </si>
  <si>
    <t>Controlled Items: -</t>
  </si>
  <si>
    <t>Chillers C-1, C-2 and C-3 - 3 x RTWD 170 HSE R1234ze (HMS Hydronic Multiple System)</t>
  </si>
  <si>
    <t xml:space="preserve"> C-4 - 1 x GVWF 140 XSE R1234ze </t>
  </si>
  <si>
    <t xml:space="preserve">HTHP-1, HTHP-2, HTHP-3 - 3 x RTWF 125 HE R1234ze </t>
  </si>
  <si>
    <t>Primary circuits pumps</t>
  </si>
  <si>
    <t>Primary circuits valves</t>
  </si>
  <si>
    <t>Included in Trane Supply: -</t>
  </si>
  <si>
    <t>Tracer SC+ controller</t>
  </si>
  <si>
    <t>UC600 controller</t>
  </si>
  <si>
    <t>Tracer XM70 expansion modules</t>
  </si>
  <si>
    <t>TD7 display</t>
  </si>
  <si>
    <t>Probes</t>
  </si>
  <si>
    <t>Licences</t>
  </si>
  <si>
    <t>Engineering</t>
  </si>
  <si>
    <t>On-site commissioning</t>
  </si>
  <si>
    <t>Excluded from Trane supply i.e. to be included by Contractor: -</t>
  </si>
  <si>
    <t>Electrical Panel</t>
  </si>
  <si>
    <t>Power supply</t>
  </si>
  <si>
    <t>Pumps valves and any other plant component</t>
  </si>
  <si>
    <t>Wiring between controlled items probes controllers, expansion modules and display.</t>
  </si>
  <si>
    <t>Supply and install the following switchgear and other accessories.</t>
  </si>
  <si>
    <t>a.</t>
  </si>
  <si>
    <t>Motor Control Centre MCC-PR (Pump Room)</t>
  </si>
  <si>
    <t>MCC-PR to include power and control section and all required wiring to interface with Trane EPC Tracer SC+ control system procured by client</t>
  </si>
  <si>
    <t>Supply and install the following cables. Cost is to include all cable termination accessories where necessary.</t>
  </si>
  <si>
    <t xml:space="preserve">All the power cables from the Motor Control Centre MCC-PR (Pump Room) to all equipment being supplied power from MCC-PR (Refer to schedule) at Level 2. Cost is to include all the necessary metalclad cable management, local multi-pole maintenance isolators on floor brackets or to wall, next to the equipment and all cable termination accessories as necessary. </t>
  </si>
  <si>
    <t>b.</t>
  </si>
  <si>
    <t>Item:</t>
  </si>
  <si>
    <t>Motor Control Centre MCC-PR (Pump Room). MCC-PR to include power and control section and all required wiring to interface with Trane EPC Tracer SC+ control system procured by client</t>
  </si>
  <si>
    <t>Item: a</t>
  </si>
  <si>
    <t>Item: b</t>
  </si>
  <si>
    <t>AJ - 17.7.2024</t>
  </si>
  <si>
    <t>Cable tray for BMS cables within the plantroom</t>
  </si>
  <si>
    <t xml:space="preserve"> BMS EQUIPMENT</t>
  </si>
  <si>
    <t>BMSE_001</t>
  </si>
  <si>
    <t>Design</t>
  </si>
  <si>
    <t>Cabling and containment</t>
  </si>
  <si>
    <t>DOCS_014</t>
  </si>
  <si>
    <t>Points on DDC L2</t>
  </si>
  <si>
    <t>Points on DDC L4</t>
  </si>
  <si>
    <t>Additonal cost for isolated network for BMS system</t>
  </si>
  <si>
    <t>Power point for data switch</t>
  </si>
  <si>
    <t>MC Fuse Conn.Unit 13A Neon</t>
  </si>
  <si>
    <t>WACC_022</t>
  </si>
  <si>
    <t>3367</t>
  </si>
  <si>
    <t>Setting up of Data switch</t>
  </si>
  <si>
    <t>Data switch near MCC-PR</t>
  </si>
  <si>
    <t>16 Port Data Switch</t>
  </si>
  <si>
    <t>P/Hrs</t>
  </si>
  <si>
    <t>Low Level points</t>
  </si>
  <si>
    <t>High level points</t>
  </si>
  <si>
    <t>DDC</t>
  </si>
  <si>
    <t>Per Unit</t>
  </si>
  <si>
    <t>Centralised Controller</t>
  </si>
  <si>
    <t>EC Net Trends Alarms</t>
  </si>
  <si>
    <t>Energy meters</t>
  </si>
  <si>
    <t>Pump P209</t>
  </si>
  <si>
    <t>Pump P210</t>
  </si>
  <si>
    <t>Pressurisation Units</t>
  </si>
  <si>
    <t>Tanks</t>
  </si>
  <si>
    <t>AC Unit</t>
  </si>
  <si>
    <t>AHUs</t>
  </si>
  <si>
    <t>Pump P301</t>
  </si>
  <si>
    <t>Pump P302</t>
  </si>
  <si>
    <t>Pump P303</t>
  </si>
  <si>
    <t>Pump P304</t>
  </si>
  <si>
    <t>Pump P305</t>
  </si>
  <si>
    <t>Pump P306</t>
  </si>
  <si>
    <t>Pump P307</t>
  </si>
  <si>
    <t>Pump P308</t>
  </si>
  <si>
    <t>Pump P309</t>
  </si>
  <si>
    <t>Pump P310</t>
  </si>
  <si>
    <t>Pump P401</t>
  </si>
  <si>
    <t>Pump P501</t>
  </si>
  <si>
    <t>Pump P502</t>
  </si>
  <si>
    <t>Pump P503</t>
  </si>
  <si>
    <t>Pump P504</t>
  </si>
  <si>
    <t>Extract Fan EF/1</t>
  </si>
  <si>
    <t>Extract Fan EF/2</t>
  </si>
  <si>
    <t>Extract Fan EF/3</t>
  </si>
  <si>
    <t>Level 2</t>
  </si>
  <si>
    <t>Level 4</t>
  </si>
  <si>
    <t xml:space="preserve">Chillers </t>
  </si>
  <si>
    <t>Pump P211</t>
  </si>
  <si>
    <t>Pump P212</t>
  </si>
  <si>
    <t>Pump P213</t>
  </si>
  <si>
    <t>Pump P214</t>
  </si>
  <si>
    <t>Pump P215</t>
  </si>
  <si>
    <t>Pump P216</t>
  </si>
  <si>
    <t>BMS points wiring</t>
  </si>
  <si>
    <t>004# BMS point  (Low level - Digital and Analogue) - Level 2</t>
  </si>
  <si>
    <t>Based on: Level 2</t>
  </si>
  <si>
    <t xml:space="preserve">Indoor Screened  3c Cable 1.0mm </t>
  </si>
  <si>
    <t>CASP_018</t>
  </si>
  <si>
    <t>LAPP</t>
  </si>
  <si>
    <t>110CY</t>
  </si>
  <si>
    <t>Gland Skintop  EExeII 16 x 1.0 (2-4core)</t>
  </si>
  <si>
    <t>CAAC_086</t>
  </si>
  <si>
    <t>Device</t>
  </si>
  <si>
    <t>005# BMS point  (High level Modbus RTU/BACnet) - Level 2</t>
  </si>
  <si>
    <t>Indoor Screened  2c Cable 1.0mm (MODBUS)</t>
  </si>
  <si>
    <t>004# BMS point  (Low level - Digital and Analogue) - Level 4</t>
  </si>
  <si>
    <t>Based on: Level 4</t>
  </si>
  <si>
    <t>004# Isolator Interlocks for equipment in level 2</t>
  </si>
  <si>
    <t>005# BMS point  (High level Modbus RTU/BACnet) - Level 4</t>
  </si>
  <si>
    <t>005# BMS point  (High level Modbus RTU/BACnet) - AHUS</t>
  </si>
  <si>
    <t>013# Data Point + BACnet IP</t>
  </si>
  <si>
    <t>Based on: Dual Allowed</t>
  </si>
  <si>
    <t>Conduit Galv. 25mm RATE</t>
  </si>
  <si>
    <t>COGV_013</t>
  </si>
  <si>
    <t>25mm</t>
  </si>
  <si>
    <t>Data Cable  4Pr UTP CAT5E</t>
  </si>
  <si>
    <t>CASP_006</t>
  </si>
  <si>
    <t>WHITE Data Outlet Cat6  Twin on Single Faceplate</t>
  </si>
  <si>
    <t>Tenovar</t>
  </si>
  <si>
    <t>WACC_169</t>
  </si>
  <si>
    <t>Data Cable Termination</t>
  </si>
  <si>
    <t>DATA_036</t>
  </si>
  <si>
    <t>Data Cable Testing</t>
  </si>
  <si>
    <t>Data Patch Leads CAT5E 3m</t>
  </si>
  <si>
    <t>DATA_006</t>
  </si>
  <si>
    <t>BMS Rates</t>
  </si>
  <si>
    <t>Tracer</t>
  </si>
  <si>
    <t>BMS</t>
  </si>
  <si>
    <t>Pump P402</t>
  </si>
  <si>
    <t>Pump P403</t>
  </si>
  <si>
    <t>Pump P404</t>
  </si>
  <si>
    <t>Pump P405</t>
  </si>
  <si>
    <t>Pump P406</t>
  </si>
  <si>
    <t>Pump P206</t>
  </si>
  <si>
    <t>Pump P207</t>
  </si>
  <si>
    <t>Pump P208</t>
  </si>
  <si>
    <t>Pump P201</t>
  </si>
  <si>
    <t>Pump P202</t>
  </si>
  <si>
    <t>Pump P203</t>
  </si>
  <si>
    <t>Pump P204</t>
  </si>
  <si>
    <t>Pump P205</t>
  </si>
  <si>
    <t>Pump P101</t>
  </si>
  <si>
    <t>Pump P102</t>
  </si>
  <si>
    <t>Pump P103</t>
  </si>
  <si>
    <t>Pump P104</t>
  </si>
  <si>
    <t>New cable tray for Level 4</t>
  </si>
  <si>
    <t>Tracer Points</t>
  </si>
  <si>
    <t>Flow switch</t>
  </si>
  <si>
    <t>Temperature sensor</t>
  </si>
  <si>
    <t>Chillers C-1, C-2 and C-3</t>
  </si>
  <si>
    <t>Chiller C-4</t>
  </si>
  <si>
    <t>Valves</t>
  </si>
  <si>
    <t>Pump  P-104 - 7.5kW</t>
  </si>
  <si>
    <t>Surface Isolator  32A 4-Pole (Lockable)</t>
  </si>
  <si>
    <t>SWLV_168</t>
  </si>
  <si>
    <t>P1-32/I/SVB/N</t>
  </si>
  <si>
    <t>Pump  P-211- 5.5kW</t>
  </si>
  <si>
    <t>Pump  P-212 - 5.5kW</t>
  </si>
  <si>
    <t>Pump  P-213 - 5.5kW</t>
  </si>
  <si>
    <t>Pump  P-214- 5.5kW</t>
  </si>
  <si>
    <t>Pump  P-215 - 5.5kW</t>
  </si>
  <si>
    <t>Pump  P-216 - 5.5kW</t>
  </si>
  <si>
    <t>CAMC_021</t>
  </si>
  <si>
    <t>6.0mm2</t>
  </si>
  <si>
    <t>Pump  P-201 - 15.0kW</t>
  </si>
  <si>
    <t>Pump  P-202 - 15.0kW</t>
  </si>
  <si>
    <t>Pump  P-203 - 15.0kW</t>
  </si>
  <si>
    <t>Pump  P-204 - 11.0kW</t>
  </si>
  <si>
    <t>Pump  P-205 - 11.0kW</t>
  </si>
  <si>
    <t>AJ Electric  -AJQ38108</t>
  </si>
  <si>
    <t>Included with BMS</t>
  </si>
  <si>
    <t>Differnetial Pressure switch</t>
  </si>
  <si>
    <t>Guy</t>
  </si>
  <si>
    <t>Isolator interlocks for pumps at Plantroom Level 2</t>
  </si>
  <si>
    <t>Data points - MCC-PR, DDC L4, DDC L2, Centralised controller, server EC NET</t>
  </si>
  <si>
    <t>Installation of devices</t>
  </si>
  <si>
    <t>Temperature sensors</t>
  </si>
  <si>
    <t>Flow switches/sensors</t>
  </si>
  <si>
    <t>Valve actuators</t>
  </si>
  <si>
    <t>Differential Pressure switch/sensors</t>
  </si>
  <si>
    <t>See Working by Rinoy</t>
  </si>
  <si>
    <t>Omitted</t>
  </si>
  <si>
    <t>CENTRALISED CONTROLLER</t>
  </si>
  <si>
    <t>Built in pumps</t>
  </si>
  <si>
    <t>Included in Mech estimate - New Chillers</t>
  </si>
  <si>
    <t>Assistance to Megaline</t>
  </si>
  <si>
    <t>Moved to item 3.0</t>
  </si>
  <si>
    <t>3way valves</t>
  </si>
  <si>
    <t>Devices</t>
  </si>
  <si>
    <t>In Mech BOQ</t>
  </si>
  <si>
    <t>As per Mech drawings</t>
  </si>
  <si>
    <t>Energy Meters</t>
  </si>
  <si>
    <t>Flow Switches</t>
  </si>
  <si>
    <t>Motorised valves</t>
  </si>
  <si>
    <t>Mark up as advised by Alexei on 11/09.2025</t>
  </si>
  <si>
    <t>Mark up as advised by Alexei on 11/09.2026</t>
  </si>
  <si>
    <t>Mark up as advised by Alexei on 11/09.2027</t>
  </si>
  <si>
    <t>Refrigerant Leakage control panel</t>
  </si>
  <si>
    <t>No Cost</t>
  </si>
  <si>
    <t>Raymond  - 11.09.2025</t>
  </si>
  <si>
    <t>Included below - Guy</t>
  </si>
  <si>
    <t>Electrical (Megaline)</t>
  </si>
  <si>
    <t>Electrical less Megaline</t>
  </si>
  <si>
    <t>2.34% discount</t>
  </si>
  <si>
    <t>Contract value less discount</t>
  </si>
  <si>
    <t>Contract value less Megaline</t>
  </si>
  <si>
    <t>Percentage discount on value less Megaline</t>
  </si>
  <si>
    <t>Item: 12.0a1</t>
  </si>
  <si>
    <t>Item: 12.0a2</t>
  </si>
  <si>
    <t>Item: 12.0b1</t>
  </si>
  <si>
    <t>Item: 12.0b2</t>
  </si>
  <si>
    <t>Item: 12.0c1</t>
  </si>
  <si>
    <t>Item: 12.0c2</t>
  </si>
  <si>
    <t>Item: 12.0d1</t>
  </si>
  <si>
    <t>Item: 12.0d2</t>
  </si>
  <si>
    <t>Item: 12.0e1</t>
  </si>
  <si>
    <t>Item: 12.0e2</t>
  </si>
  <si>
    <t>Item: 12.0f1</t>
  </si>
  <si>
    <t>Item: 12.0f2</t>
  </si>
  <si>
    <t>Item: 12.0g1</t>
  </si>
  <si>
    <t>Item: 12.0g2</t>
  </si>
  <si>
    <t>Item: 12.0h1</t>
  </si>
  <si>
    <t>Item: 12.0h2</t>
  </si>
  <si>
    <t>Item: 12.0i1</t>
  </si>
  <si>
    <t>Item: 12.0i2</t>
  </si>
  <si>
    <t>Undiscounted values</t>
  </si>
  <si>
    <t>Discounted Values</t>
  </si>
  <si>
    <t>As awarded Estimate workings</t>
  </si>
  <si>
    <t>Value as per submitted BOQ</t>
  </si>
  <si>
    <t>Electrical Estimate (Rev A)</t>
  </si>
  <si>
    <t>This includes 40 hours for the take over of the Trane controller as advised by Guy on 18.09.2025. This was submitted.  It also includes preliminaries, fire stopping, commissioning and maintenance.  These were transferred to ELM by Mech Div.</t>
  </si>
  <si>
    <t>The above costs do not include Preliminaires, Fire stopping, commissioning and maintenance</t>
  </si>
  <si>
    <t>Quoted value including Mechanical</t>
  </si>
  <si>
    <t>Excluding Prelims, Fire stopping, Commissioning and Maintenance</t>
  </si>
  <si>
    <t>Excluding Maintenance and Provisional Sums</t>
  </si>
  <si>
    <t>As awarded excluding preliminaries, fire stopping, commissioning and maintenance.</t>
  </si>
  <si>
    <t>Power Cable   5c   16 mm2 XLPE SWA-PVC</t>
  </si>
  <si>
    <t>Power Cable   5c    6.0 mm2 XLPE SWA-PVC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</si>
</sst>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_(* #,##0.00_);_(* \(#,##0.00\);_(* &quot;-&quot;??_);_(@_)"/>
    <numFmt numFmtId="165" formatCode="_(&quot;$&quot;* #,##0.00_);_(&quot;$&quot;* \(#,##0.00\);_(&quot;$&quot;* &quot;-&quot;??_);_(@_)"/>
    <numFmt numFmtId="166" formatCode="0.000"/>
    <numFmt numFmtId="167" formatCode="&quot;Lm &quot;#,##0.00_);[Red]\(&quot;Lm &quot;#,##0.00\)"/>
    <numFmt numFmtId="168" formatCode="\(\ 0.00%\ \)"/>
    <numFmt numFmtId="169" formatCode="&quot;Lm/hr &quot;#,##0.00_);[Red]\(&quot;Lm &quot;#,##0.00\)"/>
    <numFmt numFmtId="170" formatCode="dd/mm/yy;@"/>
    <numFmt numFmtId="171" formatCode="[$€-2]\ #,##0.00"/>
    <numFmt numFmtId="172" formatCode="0.0000"/>
    <numFmt numFmtId="173" formatCode="0.0000000"/>
    <numFmt numFmtId="174" formatCode="#,##0.00_ ;\-#,##0.00\ "/>
    <numFmt numFmtId="175" formatCode="&quot;€/Prhr &quot;#,##0.00_);[Red]\(&quot;Lm &quot;#,##0.00\)"/>
    <numFmt numFmtId="176" formatCode="##,##0.00;[Red]\-#,##0.00"/>
    <numFmt numFmtId="177" formatCode="##,##0.00;[Red]\-#,###"/>
    <numFmt numFmtId="178" formatCode="##,##0.00;[Red]\-##,##0.00"/>
    <numFmt numFmtId="179" formatCode="&quot;€/Prhr &quot;#,##0.000_);[Red]\(&quot;Lm &quot;#,##0.000\)"/>
    <numFmt numFmtId="180" formatCode="0.0"/>
    <numFmt numFmtId="181" formatCode="&quot;€&quot;#,##0.00"/>
    <numFmt numFmtId="182" formatCode="0.00_)"/>
    <numFmt numFmtId="183" formatCode="0.00000%"/>
    <numFmt numFmtId="184" formatCode="0.0000%"/>
  </numFmts>
  <fonts count="203">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10"/>
      <name val="AvantGarde"/>
    </font>
    <font>
      <sz val="10"/>
      <color rgb="FFFF0000"/>
      <name val="Arial"/>
      <family val="2"/>
    </font>
    <font>
      <b/>
      <sz val="10"/>
      <name val="AvantGarde"/>
    </font>
    <font>
      <sz val="14"/>
      <name val="Arial"/>
      <family val="2"/>
    </font>
    <font>
      <b/>
      <sz val="10"/>
      <name val="Arial"/>
      <family val="2"/>
    </font>
    <font>
      <sz val="9"/>
      <name val="MS Sans Serif"/>
      <family val="2"/>
    </font>
    <font>
      <b/>
      <sz val="9"/>
      <color indexed="10"/>
      <name val="MS Sans Serif"/>
      <family val="2"/>
    </font>
    <font>
      <b/>
      <sz val="9"/>
      <name val="MS Sans Serif"/>
      <family val="2"/>
    </font>
    <font>
      <b/>
      <sz val="10"/>
      <color rgb="FFFF0000"/>
      <name val="Arial"/>
      <family val="2"/>
    </font>
    <font>
      <sz val="9"/>
      <name val="MS Sans Serif"/>
    </font>
    <font>
      <b/>
      <sz val="9"/>
      <name val="MS Sans Serif"/>
    </font>
    <font>
      <b/>
      <sz val="9"/>
      <color rgb="FFFF0000"/>
      <name val="MS Sans Serif"/>
    </font>
    <font>
      <sz val="10"/>
      <color rgb="FF0070C0"/>
      <name val="Arial"/>
      <family val="2"/>
    </font>
    <font>
      <sz val="9"/>
      <color rgb="FF0070C0"/>
      <name val="MS Sans Serif"/>
    </font>
    <font>
      <b/>
      <sz val="9"/>
      <color rgb="FF0070C0"/>
      <name val="Arial"/>
      <family val="2"/>
    </font>
    <font>
      <b/>
      <sz val="9"/>
      <color rgb="FF0070C0"/>
      <name val="MS Sans Serif"/>
    </font>
    <font>
      <b/>
      <sz val="9"/>
      <color indexed="18"/>
      <name val="Arial"/>
      <family val="2"/>
    </font>
    <font>
      <sz val="9"/>
      <color indexed="18"/>
      <name val="Arial"/>
      <family val="2"/>
    </font>
    <font>
      <i/>
      <sz val="8"/>
      <color indexed="10"/>
      <name val="Arial"/>
      <family val="2"/>
    </font>
    <font>
      <i/>
      <sz val="8"/>
      <color indexed="10"/>
      <name val="Arial Narrow"/>
      <family val="2"/>
    </font>
    <font>
      <sz val="9"/>
      <color indexed="10"/>
      <name val="Arial Narrow"/>
      <family val="2"/>
    </font>
    <font>
      <sz val="9"/>
      <color indexed="10"/>
      <name val="MS Sans Serif"/>
    </font>
    <font>
      <b/>
      <sz val="9"/>
      <color rgb="FFFF0000"/>
      <name val="Arial"/>
      <family val="2"/>
    </font>
    <font>
      <sz val="9"/>
      <color rgb="FF002060"/>
      <name val="MS Sans Serif"/>
    </font>
    <font>
      <i/>
      <sz val="9"/>
      <color rgb="FF0070C0"/>
      <name val="Arial"/>
      <family val="2"/>
    </font>
    <font>
      <i/>
      <sz val="10"/>
      <color indexed="12"/>
      <name val="Arial"/>
      <family val="2"/>
    </font>
    <font>
      <sz val="9"/>
      <color rgb="FFFF0000"/>
      <name val="MS Sans Serif"/>
    </font>
    <font>
      <sz val="9"/>
      <color rgb="FFFF0000"/>
      <name val="Arial"/>
      <family val="2"/>
    </font>
    <font>
      <sz val="9"/>
      <color indexed="81"/>
      <name val="Tahoma"/>
      <family val="2"/>
    </font>
    <font>
      <b/>
      <sz val="10"/>
      <color rgb="FFFF0000"/>
      <name val="MS Sans Serif"/>
    </font>
    <font>
      <b/>
      <sz val="9"/>
      <color indexed="81"/>
      <name val="Tahoma"/>
      <family val="2"/>
    </font>
    <font>
      <b/>
      <i/>
      <sz val="9"/>
      <color rgb="FF0070C0"/>
      <name val="Arial"/>
      <family val="2"/>
    </font>
    <font>
      <vertAlign val="superscript"/>
      <sz val="10"/>
      <name val="Arial"/>
      <family val="2"/>
    </font>
    <font>
      <sz val="10"/>
      <color theme="1"/>
      <name val="Arial"/>
      <family val="2"/>
    </font>
    <font>
      <sz val="11"/>
      <color theme="1"/>
      <name val="Calibri"/>
      <family val="2"/>
      <scheme val="minor"/>
    </font>
    <font>
      <sz val="11"/>
      <name val="Calibri"/>
      <family val="2"/>
      <scheme val="minor"/>
    </font>
    <font>
      <i/>
      <sz val="8"/>
      <color indexed="55"/>
      <name val="Arial"/>
      <family val="2"/>
    </font>
    <font>
      <sz val="10"/>
      <name val="AvantGarde Bk BT"/>
    </font>
    <font>
      <sz val="12"/>
      <name val="Arial MT"/>
    </font>
    <font>
      <sz val="9"/>
      <color indexed="8"/>
      <name val="MS Sans Serif"/>
      <family val="2"/>
    </font>
    <font>
      <sz val="9"/>
      <color indexed="23"/>
      <name val="MS Sans Serif"/>
      <family val="2"/>
    </font>
    <font>
      <sz val="9"/>
      <color indexed="12"/>
      <name val="MS Sans Serif"/>
      <family val="2"/>
    </font>
    <font>
      <b/>
      <i/>
      <sz val="9"/>
      <color rgb="FFFF0066"/>
      <name val="Arial"/>
      <family val="2"/>
    </font>
    <font>
      <sz val="9"/>
      <color rgb="FF0070C0"/>
      <name val="Arial"/>
      <family val="2"/>
    </font>
    <font>
      <sz val="10"/>
      <name val="Times New Roman"/>
      <family val="1"/>
    </font>
    <font>
      <sz val="9"/>
      <color theme="1"/>
      <name val="MS Sans Serif"/>
    </font>
    <font>
      <b/>
      <sz val="9"/>
      <color theme="1"/>
      <name val="MS Sans Serif"/>
    </font>
    <font>
      <b/>
      <i/>
      <sz val="9"/>
      <color rgb="FFFF0000"/>
      <name val="Arial"/>
      <family val="2"/>
    </font>
    <font>
      <i/>
      <sz val="9"/>
      <color rgb="FFFF0000"/>
      <name val="Arial"/>
      <family val="2"/>
    </font>
  </fonts>
  <fills count="30">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
      <patternFill patternType="lightUp"/>
    </fill>
    <fill>
      <patternFill patternType="lightGray">
        <bgColor indexed="26"/>
      </patternFill>
    </fill>
    <fill>
      <patternFill patternType="solid">
        <fgColor indexed="10"/>
        <bgColor indexed="64"/>
      </patternFill>
    </fill>
    <fill>
      <patternFill patternType="lightGray">
        <bgColor indexed="51"/>
      </patternFill>
    </fill>
    <fill>
      <patternFill patternType="solid">
        <fgColor indexed="47"/>
        <bgColor indexed="8"/>
      </patternFill>
    </fill>
    <fill>
      <patternFill patternType="solid">
        <fgColor rgb="FFFFC000"/>
        <bgColor indexed="64"/>
      </patternFill>
    </fill>
    <fill>
      <patternFill patternType="solid">
        <fgColor rgb="FFFF0000"/>
        <bgColor indexed="64"/>
      </patternFill>
    </fill>
  </fills>
  <borders count="72">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dotted">
        <color indexed="64"/>
      </left>
      <right style="dotted">
        <color indexed="64"/>
      </right>
      <top style="dotted">
        <color indexed="64"/>
      </top>
      <bottom/>
      <diagonal/>
    </border>
    <border>
      <left/>
      <right/>
      <top/>
      <bottom style="dotted">
        <color indexed="64"/>
      </bottom>
      <diagonal/>
    </border>
    <border>
      <left/>
      <right/>
      <top/>
      <bottom style="dashed">
        <color indexed="64"/>
      </bottom>
      <diagonal/>
    </border>
    <border>
      <left/>
      <right/>
      <top style="dotted">
        <color indexed="64"/>
      </top>
      <bottom/>
      <diagonal/>
    </border>
    <border>
      <left/>
      <right/>
      <top style="thin">
        <color indexed="64"/>
      </top>
      <bottom style="dashed">
        <color indexed="64"/>
      </bottom>
      <diagonal/>
    </border>
    <border>
      <left style="dotted">
        <color indexed="64"/>
      </left>
      <right style="dotted">
        <color indexed="64"/>
      </right>
      <top style="dotted">
        <color indexed="64"/>
      </top>
      <bottom style="dotted">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diagonal/>
    </border>
    <border>
      <left style="thin">
        <color indexed="64"/>
      </left>
      <right style="thin">
        <color indexed="64"/>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1">
    <xf numFmtId="0" fontId="0" fillId="0" borderId="0"/>
    <xf numFmtId="164" fontId="4" fillId="0" borderId="0" applyFont="0" applyFill="0" applyBorder="0" applyAlignment="0" applyProtection="0"/>
    <xf numFmtId="165"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31" fillId="0" borderId="0"/>
    <xf numFmtId="0" fontId="148" fillId="0" borderId="0"/>
    <xf numFmtId="1" fontId="4" fillId="0" borderId="0"/>
    <xf numFmtId="0" fontId="4" fillId="0" borderId="0"/>
    <xf numFmtId="0" fontId="154" fillId="0" borderId="0"/>
    <xf numFmtId="164" fontId="154" fillId="0" borderId="0" applyFont="0" applyFill="0" applyBorder="0" applyAlignment="0" applyProtection="0"/>
    <xf numFmtId="0" fontId="154" fillId="0" borderId="0"/>
    <xf numFmtId="43" fontId="154" fillId="0" borderId="0" applyFont="0" applyFill="0" applyBorder="0" applyAlignment="0" applyProtection="0"/>
    <xf numFmtId="1" fontId="4" fillId="0" borderId="0"/>
    <xf numFmtId="1" fontId="4" fillId="0" borderId="0"/>
    <xf numFmtId="0" fontId="188" fillId="0" borderId="0"/>
    <xf numFmtId="0" fontId="191" fillId="0" borderId="0"/>
    <xf numFmtId="182" fontId="192" fillId="0" borderId="0"/>
  </cellStyleXfs>
  <cellXfs count="1378">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9"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2" fontId="15" fillId="0" borderId="0" xfId="6" applyNumberFormat="1" applyFont="1" applyProtection="1">
      <protection locked="0"/>
    </xf>
    <xf numFmtId="1" fontId="12" fillId="0" borderId="0" xfId="6" applyFont="1" applyAlignment="1" applyProtection="1">
      <alignment horizontal="center"/>
      <protection locked="0"/>
    </xf>
    <xf numFmtId="2" fontId="12" fillId="0" borderId="0" xfId="3" applyNumberFormat="1" applyFont="1" applyProtection="1">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166" fontId="12" fillId="0" borderId="1" xfId="6" applyNumberFormat="1" applyFont="1" applyBorder="1" applyProtection="1">
      <protection locked="0"/>
    </xf>
    <xf numFmtId="0" fontId="16" fillId="0" borderId="0" xfId="3" applyFont="1" applyProtection="1">
      <protection locked="0"/>
    </xf>
    <xf numFmtId="2" fontId="12" fillId="0" borderId="10" xfId="6" applyNumberFormat="1" applyFont="1" applyBorder="1" applyAlignment="1" applyProtection="1">
      <alignment horizontal="center"/>
      <protection locked="0"/>
    </xf>
    <xf numFmtId="1" fontId="15" fillId="0" borderId="0" xfId="6" applyFont="1" applyAlignment="1" applyProtection="1">
      <alignment horizontal="left"/>
      <protection locked="0"/>
    </xf>
    <xf numFmtId="0" fontId="24" fillId="0" borderId="0" xfId="3" applyFont="1" applyProtection="1">
      <protection locked="0"/>
    </xf>
    <xf numFmtId="0" fontId="15" fillId="0" borderId="11" xfId="3" applyFont="1" applyBorder="1" applyAlignment="1" applyProtection="1">
      <alignment horizontal="center"/>
      <protection locked="0"/>
    </xf>
    <xf numFmtId="166" fontId="12" fillId="0" borderId="0" xfId="6" applyNumberFormat="1" applyFont="1" applyProtection="1">
      <protection locked="0"/>
    </xf>
    <xf numFmtId="0" fontId="12" fillId="0" borderId="1" xfId="3" applyFont="1" applyBorder="1" applyProtection="1">
      <protection locked="0"/>
    </xf>
    <xf numFmtId="2" fontId="12" fillId="0" borderId="1" xfId="3" applyNumberFormat="1" applyFont="1" applyBorder="1" applyProtection="1">
      <protection locked="0"/>
    </xf>
    <xf numFmtId="1" fontId="7" fillId="0" borderId="1" xfId="6" applyFont="1" applyBorder="1" applyProtection="1">
      <protection locked="0"/>
    </xf>
    <xf numFmtId="0" fontId="24" fillId="0" borderId="1" xfId="3" applyFont="1" applyBorder="1" applyProtection="1">
      <protection locked="0"/>
    </xf>
    <xf numFmtId="2" fontId="13" fillId="2" borderId="0" xfId="3" applyNumberFormat="1" applyFont="1" applyFill="1" applyAlignment="1" applyProtection="1">
      <alignment horizontal="center"/>
      <protection locked="0"/>
    </xf>
    <xf numFmtId="0" fontId="17" fillId="0" borderId="0" xfId="3" applyFont="1" applyAlignment="1" applyProtection="1">
      <alignment horizontal="right"/>
      <protection locked="0"/>
    </xf>
    <xf numFmtId="0" fontId="7" fillId="0" borderId="0" xfId="3" applyFont="1" applyProtection="1">
      <protection locked="0"/>
    </xf>
    <xf numFmtId="1" fontId="7" fillId="0" borderId="0" xfId="3" applyNumberFormat="1" applyFont="1" applyProtection="1">
      <protection locked="0"/>
    </xf>
    <xf numFmtId="2" fontId="7" fillId="0" borderId="0" xfId="6" applyNumberFormat="1" applyFont="1" applyAlignment="1" applyProtection="1">
      <alignment horizontal="right"/>
      <protection locked="0"/>
    </xf>
    <xf numFmtId="1" fontId="7" fillId="0" borderId="0" xfId="6" applyFont="1" applyProtection="1">
      <protection locked="0"/>
    </xf>
    <xf numFmtId="2" fontId="7" fillId="0" borderId="0" xfId="6" applyNumberFormat="1" applyFont="1" applyProtection="1">
      <protection locked="0"/>
    </xf>
    <xf numFmtId="166" fontId="7" fillId="0" borderId="0" xfId="6" applyNumberFormat="1" applyFont="1" applyProtection="1">
      <protection locked="0"/>
    </xf>
    <xf numFmtId="2" fontId="7" fillId="0" borderId="0" xfId="3" applyNumberFormat="1" applyFont="1" applyAlignment="1" applyProtection="1">
      <alignment horizontal="right"/>
      <protection locked="0"/>
    </xf>
    <xf numFmtId="0" fontId="7" fillId="0" borderId="0" xfId="3" applyFont="1" applyAlignment="1" applyProtection="1">
      <alignment horizontal="right"/>
      <protection locked="0"/>
    </xf>
    <xf numFmtId="0" fontId="18" fillId="0" borderId="0" xfId="3" applyFont="1" applyProtection="1">
      <protection locked="0"/>
    </xf>
    <xf numFmtId="0" fontId="19" fillId="0" borderId="1" xfId="3" applyFont="1" applyBorder="1" applyAlignment="1" applyProtection="1">
      <alignment horizontal="left"/>
      <protection locked="0"/>
    </xf>
    <xf numFmtId="0" fontId="20" fillId="0" borderId="1" xfId="3" applyFont="1" applyBorder="1" applyAlignment="1" applyProtection="1">
      <alignment horizontal="right"/>
      <protection locked="0"/>
    </xf>
    <xf numFmtId="0" fontId="3" fillId="0" borderId="1" xfId="3" applyFont="1" applyBorder="1" applyProtection="1">
      <protection locked="0"/>
    </xf>
    <xf numFmtId="0" fontId="19" fillId="0" borderId="1" xfId="3" applyFont="1" applyBorder="1" applyAlignment="1" applyProtection="1">
      <alignment horizontal="right"/>
      <protection locked="0"/>
    </xf>
    <xf numFmtId="1" fontId="19" fillId="2" borderId="1" xfId="6" applyFont="1" applyFill="1" applyBorder="1" applyProtection="1">
      <protection locked="0"/>
    </xf>
    <xf numFmtId="2" fontId="19" fillId="2" borderId="1" xfId="6" applyNumberFormat="1" applyFont="1" applyFill="1" applyBorder="1" applyProtection="1">
      <protection locked="0"/>
    </xf>
    <xf numFmtId="2" fontId="19" fillId="2" borderId="1" xfId="3" applyNumberFormat="1" applyFont="1" applyFill="1" applyBorder="1" applyProtection="1">
      <protection locked="0"/>
    </xf>
    <xf numFmtId="0" fontId="21" fillId="2" borderId="1" xfId="3" applyFont="1" applyFill="1" applyBorder="1" applyProtection="1">
      <protection locked="0"/>
    </xf>
    <xf numFmtId="0" fontId="19" fillId="0" borderId="0" xfId="3" applyFont="1" applyAlignment="1" applyProtection="1">
      <alignment horizontal="left"/>
      <protection locked="0"/>
    </xf>
    <xf numFmtId="0" fontId="20" fillId="0" borderId="0" xfId="3" applyFont="1" applyAlignment="1" applyProtection="1">
      <alignment horizontal="right"/>
      <protection locked="0"/>
    </xf>
    <xf numFmtId="0" fontId="3" fillId="0" borderId="0" xfId="3" applyFont="1" applyAlignment="1" applyProtection="1">
      <alignment horizontal="right"/>
      <protection locked="0"/>
    </xf>
    <xf numFmtId="0" fontId="19" fillId="0" borderId="0" xfId="3" applyFont="1" applyAlignment="1" applyProtection="1">
      <alignment horizontal="right"/>
      <protection locked="0"/>
    </xf>
    <xf numFmtId="2" fontId="19" fillId="0" borderId="0" xfId="3" applyNumberFormat="1" applyFont="1" applyProtection="1">
      <protection locked="0"/>
    </xf>
    <xf numFmtId="2" fontId="19" fillId="0" borderId="0" xfId="6" applyNumberFormat="1" applyFont="1" applyProtection="1">
      <protection locked="0"/>
    </xf>
    <xf numFmtId="2" fontId="21" fillId="0" borderId="0" xfId="3" applyNumberFormat="1" applyFont="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0" fontId="15" fillId="0" borderId="0" xfId="3" applyFont="1" applyProtection="1">
      <protection locked="0"/>
    </xf>
    <xf numFmtId="2" fontId="15" fillId="0" borderId="0" xfId="3" applyNumberFormat="1" applyFont="1" applyProtection="1">
      <protection locked="0"/>
    </xf>
    <xf numFmtId="2" fontId="12" fillId="0" borderId="12" xfId="3" applyNumberFormat="1" applyFont="1" applyBorder="1" applyProtection="1">
      <protection locked="0"/>
    </xf>
    <xf numFmtId="0" fontId="15" fillId="12" borderId="0" xfId="3" applyFont="1" applyFill="1" applyAlignment="1" applyProtection="1">
      <alignment horizontal="left"/>
      <protection locked="0"/>
    </xf>
    <xf numFmtId="0" fontId="15" fillId="12" borderId="0" xfId="3" applyFont="1" applyFill="1" applyAlignment="1" applyProtection="1">
      <alignment horizontal="right"/>
      <protection locked="0"/>
    </xf>
    <xf numFmtId="2" fontId="12" fillId="2" borderId="0" xfId="3" applyNumberFormat="1" applyFont="1" applyFill="1" applyAlignment="1" applyProtection="1">
      <alignment horizontal="center"/>
      <protection locked="0"/>
    </xf>
    <xf numFmtId="2" fontId="12" fillId="13" borderId="12" xfId="6" applyNumberFormat="1" applyFont="1" applyFill="1" applyBorder="1" applyProtection="1">
      <protection locked="0"/>
    </xf>
    <xf numFmtId="2" fontId="12" fillId="0" borderId="12" xfId="6" applyNumberFormat="1" applyFont="1" applyBorder="1" applyProtection="1">
      <protection locked="0"/>
    </xf>
    <xf numFmtId="0" fontId="12" fillId="2" borderId="0" xfId="3" applyFont="1" applyFill="1" applyAlignment="1" applyProtection="1">
      <alignment horizontal="center"/>
      <protection locked="0"/>
    </xf>
    <xf numFmtId="1" fontId="23" fillId="0" borderId="0" xfId="6" applyFont="1" applyProtection="1">
      <protection locked="0"/>
    </xf>
    <xf numFmtId="1" fontId="19" fillId="0" borderId="0" xfId="6" applyFont="1" applyAlignment="1" applyProtection="1">
      <alignment horizontal="right"/>
      <protection locked="0"/>
    </xf>
    <xf numFmtId="2" fontId="12" fillId="7" borderId="12" xfId="3" applyNumberFormat="1" applyFont="1" applyFill="1" applyBorder="1" applyProtection="1">
      <protection locked="0"/>
    </xf>
    <xf numFmtId="2" fontId="24" fillId="0" borderId="12" xfId="3" applyNumberFormat="1" applyFont="1" applyBorder="1" applyProtection="1">
      <protection locked="0"/>
    </xf>
    <xf numFmtId="2" fontId="12" fillId="6" borderId="12" xfId="3" applyNumberFormat="1" applyFont="1" applyFill="1" applyBorder="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6"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6"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6" fontId="0" fillId="0" borderId="1" xfId="0" applyNumberFormat="1" applyBorder="1" applyProtection="1">
      <protection locked="0"/>
    </xf>
    <xf numFmtId="0" fontId="23" fillId="0" borderId="0" xfId="0" applyFont="1" applyAlignment="1" applyProtection="1">
      <alignment horizontal="center"/>
      <protection locked="0"/>
    </xf>
    <xf numFmtId="0" fontId="28" fillId="0" borderId="0" xfId="0" applyFont="1" applyProtection="1">
      <protection locked="0"/>
    </xf>
    <xf numFmtId="0" fontId="23" fillId="0" borderId="0" xfId="0" applyFont="1" applyAlignment="1" applyProtection="1">
      <alignment horizontal="left"/>
      <protection locked="0"/>
    </xf>
    <xf numFmtId="0" fontId="29" fillId="0" borderId="0" xfId="0" applyFont="1" applyAlignment="1" applyProtection="1">
      <alignment horizontal="center"/>
      <protection locked="0"/>
    </xf>
    <xf numFmtId="0" fontId="23" fillId="0" borderId="1" xfId="0" applyFont="1" applyBorder="1" applyAlignment="1" applyProtection="1">
      <alignment horizontal="center"/>
      <protection locked="0"/>
    </xf>
    <xf numFmtId="0" fontId="28" fillId="0" borderId="1" xfId="0" applyFont="1" applyBorder="1" applyProtection="1">
      <protection locked="0"/>
    </xf>
    <xf numFmtId="0" fontId="23"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6"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62"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12" fillId="0" borderId="0" xfId="6" applyNumberFormat="1" applyFont="1" applyAlignment="1" applyProtection="1">
      <alignment vertical="top"/>
      <protection locked="0"/>
    </xf>
    <xf numFmtId="0" fontId="28"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33"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5"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7"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8" fillId="0" borderId="0" xfId="0" applyFont="1"/>
    <xf numFmtId="0" fontId="0" fillId="14" borderId="0" xfId="0" applyFill="1" applyAlignment="1" applyProtection="1">
      <alignment horizontal="center"/>
      <protection locked="0"/>
    </xf>
    <xf numFmtId="0" fontId="75" fillId="7" borderId="0" xfId="0" applyFont="1" applyFill="1" applyAlignment="1" applyProtection="1">
      <alignment horizontal="center"/>
      <protection locked="0"/>
    </xf>
    <xf numFmtId="0" fontId="77" fillId="14" borderId="0" xfId="0" applyFont="1" applyFill="1" applyAlignment="1" applyProtection="1">
      <alignment horizontal="center"/>
      <protection locked="0"/>
    </xf>
    <xf numFmtId="0" fontId="77" fillId="2" borderId="0" xfId="0" applyFont="1" applyFill="1" applyAlignment="1">
      <alignment horizontal="center"/>
    </xf>
    <xf numFmtId="0" fontId="77" fillId="12" borderId="0" xfId="0" applyFont="1" applyFill="1" applyAlignment="1" applyProtection="1">
      <alignment horizontal="center"/>
      <protection locked="0"/>
    </xf>
    <xf numFmtId="0" fontId="78" fillId="0" borderId="0" xfId="0" applyFont="1" applyAlignment="1">
      <alignment horizontal="center"/>
    </xf>
    <xf numFmtId="0" fontId="77"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7" fillId="0" borderId="0" xfId="7" applyProtection="1">
      <protection locked="0"/>
    </xf>
    <xf numFmtId="0" fontId="76" fillId="0" borderId="0" xfId="0" applyFont="1" applyProtection="1">
      <protection locked="0"/>
    </xf>
    <xf numFmtId="0" fontId="35"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5"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6"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19"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9"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3" fillId="0" borderId="0" xfId="8" applyFont="1" applyAlignment="1" applyProtection="1">
      <alignment horizontal="right"/>
      <protection locked="0"/>
    </xf>
    <xf numFmtId="0" fontId="23"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7" fillId="0" borderId="0" xfId="0" applyFont="1" applyProtection="1">
      <protection locked="0"/>
    </xf>
    <xf numFmtId="0" fontId="68"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6" fillId="0" borderId="0" xfId="0" applyFont="1" applyAlignment="1" applyProtection="1">
      <alignment horizontal="right"/>
      <protection locked="0"/>
    </xf>
    <xf numFmtId="0" fontId="70" fillId="0" borderId="22" xfId="8" applyFont="1" applyBorder="1" applyAlignment="1" applyProtection="1">
      <alignment horizontal="left"/>
      <protection locked="0"/>
    </xf>
    <xf numFmtId="0" fontId="69" fillId="0" borderId="22" xfId="8" applyFont="1" applyBorder="1" applyAlignment="1" applyProtection="1">
      <alignment horizontal="centerContinuous"/>
      <protection locked="0"/>
    </xf>
    <xf numFmtId="0" fontId="69" fillId="0" borderId="22" xfId="8" applyFont="1" applyBorder="1" applyProtection="1">
      <protection locked="0"/>
    </xf>
    <xf numFmtId="0" fontId="71" fillId="0" borderId="22" xfId="0" applyFont="1" applyBorder="1" applyProtection="1">
      <protection locked="0"/>
    </xf>
    <xf numFmtId="0" fontId="71" fillId="0" borderId="0" xfId="0" applyFont="1" applyProtection="1">
      <protection locked="0"/>
    </xf>
    <xf numFmtId="0" fontId="72" fillId="0" borderId="0" xfId="0" applyFont="1" applyAlignment="1" applyProtection="1">
      <alignment horizontal="right"/>
      <protection locked="0"/>
    </xf>
    <xf numFmtId="169" fontId="72" fillId="0" borderId="0" xfId="0" applyNumberFormat="1" applyFont="1" applyAlignment="1" applyProtection="1">
      <alignment horizontal="right"/>
      <protection locked="0"/>
    </xf>
    <xf numFmtId="0" fontId="70" fillId="0" borderId="0" xfId="8" applyFont="1" applyAlignment="1" applyProtection="1">
      <alignment horizontal="left"/>
      <protection locked="0"/>
    </xf>
    <xf numFmtId="0" fontId="69" fillId="0" borderId="0" xfId="8" applyFont="1" applyAlignment="1" applyProtection="1">
      <alignment horizontal="centerContinuous"/>
      <protection locked="0"/>
    </xf>
    <xf numFmtId="0" fontId="69"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3"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7"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3" fillId="0" borderId="20" xfId="8" applyFont="1" applyBorder="1" applyAlignment="1" applyProtection="1">
      <alignment horizontal="left"/>
      <protection locked="0"/>
    </xf>
    <xf numFmtId="0" fontId="23"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3" fillId="0" borderId="17" xfId="8" applyFont="1" applyBorder="1" applyAlignment="1" applyProtection="1">
      <alignment horizontal="left"/>
      <protection locked="0"/>
    </xf>
    <xf numFmtId="0" fontId="23"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7"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7" fontId="12" fillId="0" borderId="0" xfId="0" applyNumberFormat="1" applyFont="1"/>
    <xf numFmtId="0" fontId="12" fillId="17" borderId="0" xfId="8" applyFont="1" applyFill="1" applyAlignment="1">
      <alignment horizontal="left"/>
    </xf>
    <xf numFmtId="0" fontId="8" fillId="17" borderId="0" xfId="0" applyFont="1" applyFill="1"/>
    <xf numFmtId="0" fontId="44" fillId="17" borderId="0" xfId="8" applyFont="1" applyFill="1"/>
    <xf numFmtId="1" fontId="53" fillId="2" borderId="3" xfId="6" applyFont="1" applyFill="1" applyBorder="1" applyAlignment="1">
      <alignment horizontal="center"/>
    </xf>
    <xf numFmtId="166" fontId="12"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0" fillId="17" borderId="18" xfId="0" applyFont="1" applyFill="1" applyBorder="1" applyAlignment="1">
      <alignment horizontal="center"/>
    </xf>
    <xf numFmtId="0" fontId="87" fillId="0" borderId="0" xfId="3" applyFont="1" applyAlignment="1">
      <alignment horizontal="center"/>
    </xf>
    <xf numFmtId="0" fontId="0" fillId="0" borderId="28" xfId="0" applyBorder="1"/>
    <xf numFmtId="164" fontId="0" fillId="0" borderId="0" xfId="1" applyFont="1" applyAlignment="1" applyProtection="1">
      <alignment horizontal="right"/>
      <protection locked="0"/>
    </xf>
    <xf numFmtId="164" fontId="19" fillId="0" borderId="0" xfId="1" applyFont="1" applyFill="1" applyBorder="1" applyProtection="1">
      <protection locked="0"/>
    </xf>
    <xf numFmtId="164" fontId="0" fillId="0" borderId="0" xfId="1" applyFont="1" applyProtection="1">
      <protection locked="0"/>
    </xf>
    <xf numFmtId="164" fontId="4" fillId="0" borderId="0" xfId="1" applyProtection="1">
      <protection locked="0"/>
    </xf>
    <xf numFmtId="164" fontId="12" fillId="19" borderId="9" xfId="1" applyFont="1" applyFill="1" applyBorder="1" applyProtection="1">
      <protection locked="0"/>
    </xf>
    <xf numFmtId="164" fontId="12"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2"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2" fillId="0" borderId="17" xfId="0" applyNumberFormat="1" applyFont="1" applyBorder="1" applyAlignment="1" applyProtection="1">
      <alignment horizontal="center"/>
      <protection locked="0"/>
    </xf>
    <xf numFmtId="0" fontId="92" fillId="17" borderId="14" xfId="0" applyFont="1" applyFill="1" applyBorder="1"/>
    <xf numFmtId="0" fontId="92" fillId="17" borderId="16" xfId="0" applyFont="1" applyFill="1" applyBorder="1"/>
    <xf numFmtId="0" fontId="93" fillId="17" borderId="14" xfId="0" applyFont="1" applyFill="1" applyBorder="1"/>
    <xf numFmtId="0" fontId="0" fillId="0" borderId="0" xfId="0" applyAlignment="1">
      <alignment horizontal="center"/>
    </xf>
    <xf numFmtId="0" fontId="96" fillId="0" borderId="10" xfId="0" applyFont="1" applyBorder="1" applyAlignment="1">
      <alignment horizontal="center"/>
    </xf>
    <xf numFmtId="0" fontId="96" fillId="0" borderId="11" xfId="0" applyFont="1" applyBorder="1" applyAlignment="1">
      <alignment horizontal="center"/>
    </xf>
    <xf numFmtId="10" fontId="94" fillId="12" borderId="17" xfId="0" applyNumberFormat="1" applyFont="1" applyFill="1" applyBorder="1" applyAlignment="1" applyProtection="1">
      <alignment horizontal="center"/>
      <protection locked="0"/>
    </xf>
    <xf numFmtId="2" fontId="89" fillId="12" borderId="10" xfId="0" applyNumberFormat="1" applyFont="1" applyFill="1" applyBorder="1" applyAlignment="1" applyProtection="1">
      <alignment horizontal="center"/>
      <protection locked="0"/>
    </xf>
    <xf numFmtId="0" fontId="93" fillId="17" borderId="22" xfId="0" applyFont="1" applyFill="1" applyBorder="1"/>
    <xf numFmtId="0" fontId="92" fillId="17" borderId="22" xfId="0" applyFont="1" applyFill="1" applyBorder="1"/>
    <xf numFmtId="0" fontId="92" fillId="17" borderId="24" xfId="0" applyFont="1" applyFill="1" applyBorder="1"/>
    <xf numFmtId="0" fontId="93" fillId="14" borderId="14" xfId="0" applyFont="1" applyFill="1" applyBorder="1"/>
    <xf numFmtId="0" fontId="90" fillId="14" borderId="14" xfId="0" applyFont="1" applyFill="1" applyBorder="1"/>
    <xf numFmtId="0" fontId="95" fillId="17" borderId="10" xfId="7" applyFont="1" applyFill="1" applyBorder="1" applyAlignment="1" applyProtection="1">
      <alignment horizontal="center"/>
      <protection locked="0"/>
    </xf>
    <xf numFmtId="0" fontId="97"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4"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6" fillId="0" borderId="0" xfId="6" applyFont="1" applyProtection="1">
      <protection locked="0"/>
    </xf>
    <xf numFmtId="0" fontId="22" fillId="12" borderId="0" xfId="3" applyFont="1" applyFill="1" applyProtection="1">
      <protection locked="0"/>
    </xf>
    <xf numFmtId="0" fontId="25" fillId="12" borderId="0" xfId="3" applyFont="1" applyFill="1" applyProtection="1">
      <protection locked="0"/>
    </xf>
    <xf numFmtId="0" fontId="79" fillId="0" borderId="0" xfId="0" applyFont="1"/>
    <xf numFmtId="0" fontId="79" fillId="0" borderId="0" xfId="0" applyFont="1" applyProtection="1">
      <protection locked="0"/>
    </xf>
    <xf numFmtId="0" fontId="4" fillId="0" borderId="0" xfId="7" applyFont="1" applyAlignment="1">
      <alignment horizontal="centerContinuous" vertical="center"/>
    </xf>
    <xf numFmtId="0" fontId="82" fillId="0" borderId="0" xfId="2" applyNumberFormat="1" applyFont="1" applyFill="1" applyBorder="1" applyAlignment="1" applyProtection="1">
      <alignment horizontal="center"/>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70" fontId="13" fillId="17" borderId="0" xfId="4" applyNumberFormat="1" applyFont="1" applyFill="1" applyAlignment="1">
      <alignment horizontal="center"/>
    </xf>
    <xf numFmtId="0" fontId="88"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0" fillId="2" borderId="18" xfId="0" applyNumberFormat="1" applyFont="1" applyFill="1" applyBorder="1" applyAlignment="1">
      <alignment horizontal="center"/>
    </xf>
    <xf numFmtId="0" fontId="102"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164" fontId="12" fillId="0" borderId="0" xfId="1" applyFont="1" applyFill="1" applyBorder="1" applyAlignment="1" applyProtection="1">
      <alignment horizontal="right"/>
      <protection locked="0"/>
    </xf>
    <xf numFmtId="0" fontId="105" fillId="0" borderId="0" xfId="3" applyFont="1" applyAlignment="1">
      <alignment horizontal="center" vertical="center"/>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3" fillId="0" borderId="30"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67" fillId="0" borderId="0" xfId="0" applyFont="1" applyAlignment="1" applyProtection="1">
      <alignment horizontal="center"/>
      <protection locked="0"/>
    </xf>
    <xf numFmtId="0" fontId="67" fillId="0" borderId="21" xfId="0" applyFont="1" applyBorder="1" applyAlignment="1" applyProtection="1">
      <alignment horizontal="center"/>
      <protection locked="0"/>
    </xf>
    <xf numFmtId="0" fontId="107"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9" fillId="0" borderId="0" xfId="7" applyFont="1"/>
    <xf numFmtId="49" fontId="79" fillId="0" borderId="0" xfId="2" applyNumberFormat="1" applyFont="1" applyFill="1" applyBorder="1" applyAlignment="1" applyProtection="1">
      <alignment horizontal="right"/>
      <protection locked="0"/>
    </xf>
    <xf numFmtId="49" fontId="109" fillId="0" borderId="0" xfId="2" applyNumberFormat="1" applyFont="1" applyFill="1" applyBorder="1" applyAlignment="1" applyProtection="1">
      <alignment horizontal="right" vertical="center"/>
    </xf>
    <xf numFmtId="0" fontId="110" fillId="0" borderId="0" xfId="0" applyFont="1" applyAlignment="1">
      <alignment horizontal="right"/>
    </xf>
    <xf numFmtId="0" fontId="93" fillId="2" borderId="3" xfId="7" applyFont="1" applyFill="1" applyBorder="1" applyAlignment="1">
      <alignment horizontal="center"/>
    </xf>
    <xf numFmtId="164" fontId="0" fillId="0" borderId="0" xfId="1" applyFont="1" applyAlignment="1" applyProtection="1">
      <alignment horizontal="right"/>
    </xf>
    <xf numFmtId="0" fontId="106" fillId="17" borderId="11" xfId="3" applyFont="1" applyFill="1" applyBorder="1" applyAlignment="1" applyProtection="1">
      <alignment horizontal="left" vertical="center"/>
      <protection locked="0"/>
    </xf>
    <xf numFmtId="0" fontId="114" fillId="17" borderId="6" xfId="3" applyFont="1" applyFill="1" applyBorder="1" applyAlignment="1">
      <alignment horizontal="center" vertical="center"/>
    </xf>
    <xf numFmtId="0" fontId="115"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99" fillId="0" borderId="0" xfId="7" applyFont="1" applyAlignment="1">
      <alignment vertical="center"/>
    </xf>
    <xf numFmtId="0" fontId="111" fillId="2" borderId="18" xfId="7" applyFont="1" applyFill="1" applyBorder="1" applyAlignment="1">
      <alignment horizontal="right"/>
    </xf>
    <xf numFmtId="0" fontId="98" fillId="12" borderId="10" xfId="0" applyFont="1" applyFill="1" applyBorder="1" applyAlignment="1" applyProtection="1">
      <alignment horizontal="center"/>
      <protection locked="0"/>
    </xf>
    <xf numFmtId="0" fontId="84" fillId="2" borderId="16" xfId="3" applyFont="1" applyFill="1" applyBorder="1" applyAlignment="1">
      <alignment horizontal="left"/>
    </xf>
    <xf numFmtId="0" fontId="98" fillId="12" borderId="25" xfId="0" applyFont="1" applyFill="1" applyBorder="1" applyAlignment="1" applyProtection="1">
      <alignment horizontal="center"/>
      <protection locked="0"/>
    </xf>
    <xf numFmtId="0" fontId="98" fillId="12" borderId="11" xfId="0" applyFont="1" applyFill="1" applyBorder="1" applyAlignment="1" applyProtection="1">
      <alignment horizontal="center"/>
      <protection locked="0"/>
    </xf>
    <xf numFmtId="0" fontId="74" fillId="0" borderId="0" xfId="3" applyFont="1" applyAlignment="1">
      <alignment horizontal="right"/>
    </xf>
    <xf numFmtId="0" fontId="91" fillId="14" borderId="14" xfId="0" applyFont="1" applyFill="1" applyBorder="1"/>
    <xf numFmtId="0" fontId="91" fillId="14" borderId="16" xfId="0" applyFont="1" applyFill="1" applyBorder="1"/>
    <xf numFmtId="2" fontId="92" fillId="2" borderId="10" xfId="3" applyNumberFormat="1" applyFont="1" applyFill="1" applyBorder="1" applyAlignment="1">
      <alignment horizontal="center"/>
    </xf>
    <xf numFmtId="2" fontId="92" fillId="2" borderId="25" xfId="3" applyNumberFormat="1" applyFont="1" applyFill="1" applyBorder="1" applyAlignment="1">
      <alignment horizontal="center"/>
    </xf>
    <xf numFmtId="2" fontId="92" fillId="2" borderId="11" xfId="3" applyNumberFormat="1" applyFont="1" applyFill="1" applyBorder="1" applyAlignment="1">
      <alignment horizontal="center"/>
    </xf>
    <xf numFmtId="2" fontId="13" fillId="12" borderId="0" xfId="3" applyNumberFormat="1" applyFont="1" applyFill="1" applyAlignment="1">
      <alignment horizontal="center"/>
    </xf>
    <xf numFmtId="0" fontId="73" fillId="12" borderId="3" xfId="3" applyFont="1" applyFill="1" applyBorder="1" applyAlignment="1" applyProtection="1">
      <alignment horizontal="center"/>
      <protection locked="0"/>
    </xf>
    <xf numFmtId="164" fontId="12" fillId="18" borderId="19" xfId="1" applyFont="1" applyFill="1" applyBorder="1" applyAlignment="1" applyProtection="1">
      <alignment horizontal="center"/>
      <protection locked="0"/>
    </xf>
    <xf numFmtId="0" fontId="118" fillId="0" borderId="19" xfId="0" applyFont="1" applyBorder="1" applyAlignment="1" applyProtection="1">
      <alignment horizontal="center"/>
      <protection locked="0"/>
    </xf>
    <xf numFmtId="0" fontId="118" fillId="0" borderId="25" xfId="0" applyFont="1" applyBorder="1" applyAlignment="1" applyProtection="1">
      <alignment horizontal="center"/>
      <protection locked="0"/>
    </xf>
    <xf numFmtId="0" fontId="118" fillId="0" borderId="0" xfId="0" applyFont="1" applyAlignment="1" applyProtection="1">
      <alignment horizontal="center"/>
      <protection locked="0"/>
    </xf>
    <xf numFmtId="0" fontId="13" fillId="0" borderId="0" xfId="0" applyFont="1" applyProtection="1">
      <protection locked="0"/>
    </xf>
    <xf numFmtId="0" fontId="119" fillId="0" borderId="0" xfId="0" applyFont="1" applyAlignment="1" applyProtection="1">
      <alignment horizontal="center"/>
      <protection locked="0"/>
    </xf>
    <xf numFmtId="0" fontId="120" fillId="0" borderId="0" xfId="0" applyFont="1" applyAlignment="1" applyProtection="1">
      <alignment horizontal="center"/>
      <protection locked="0"/>
    </xf>
    <xf numFmtId="0" fontId="93" fillId="17" borderId="5" xfId="7" applyFont="1" applyFill="1" applyBorder="1" applyAlignment="1">
      <alignment horizontal="centerContinuous" vertical="center"/>
    </xf>
    <xf numFmtId="0" fontId="9"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0"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39" fontId="12" fillId="17" borderId="3" xfId="1" applyNumberFormat="1" applyFont="1" applyFill="1" applyBorder="1" applyAlignment="1" applyProtection="1">
      <alignment horizontal="right"/>
    </xf>
    <xf numFmtId="164" fontId="15" fillId="17" borderId="17" xfId="1" applyFont="1" applyFill="1" applyBorder="1" applyAlignment="1" applyProtection="1">
      <alignment horizontal="center"/>
    </xf>
    <xf numFmtId="164" fontId="15" fillId="17" borderId="0" xfId="1" applyFont="1" applyFill="1" applyBorder="1" applyAlignment="1" applyProtection="1">
      <alignment horizontal="center"/>
    </xf>
    <xf numFmtId="164" fontId="12" fillId="17" borderId="0" xfId="1" applyFont="1" applyFill="1" applyBorder="1" applyAlignment="1" applyProtection="1">
      <alignment horizontal="center"/>
    </xf>
    <xf numFmtId="164" fontId="12" fillId="0" borderId="0" xfId="1" applyFont="1" applyBorder="1" applyProtection="1"/>
    <xf numFmtId="174" fontId="15" fillId="17" borderId="0" xfId="1" applyNumberFormat="1" applyFont="1" applyFill="1" applyBorder="1" applyAlignment="1" applyProtection="1">
      <alignment horizontal="center"/>
    </xf>
    <xf numFmtId="0" fontId="121"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22" fillId="0" borderId="0" xfId="0" applyFont="1" applyAlignment="1" applyProtection="1">
      <alignment horizontal="right" vertical="top"/>
      <protection locked="0"/>
    </xf>
    <xf numFmtId="10" fontId="123" fillId="17" borderId="18" xfId="7" applyNumberFormat="1" applyFont="1" applyFill="1" applyBorder="1" applyAlignment="1">
      <alignment horizontal="center"/>
    </xf>
    <xf numFmtId="10" fontId="123" fillId="17" borderId="23" xfId="7" applyNumberFormat="1" applyFont="1" applyFill="1" applyBorder="1" applyAlignment="1">
      <alignment horizontal="center"/>
    </xf>
    <xf numFmtId="10" fontId="124" fillId="14" borderId="18" xfId="7" applyNumberFormat="1" applyFont="1" applyFill="1" applyBorder="1" applyAlignment="1">
      <alignment horizontal="center"/>
    </xf>
    <xf numFmtId="2" fontId="124" fillId="14" borderId="18" xfId="7" applyNumberFormat="1" applyFont="1" applyFill="1" applyBorder="1" applyAlignment="1">
      <alignment horizontal="center"/>
    </xf>
    <xf numFmtId="0" fontId="79" fillId="0" borderId="1" xfId="0" applyFont="1" applyBorder="1" applyProtection="1">
      <protection locked="0"/>
    </xf>
    <xf numFmtId="14" fontId="58" fillId="0" borderId="0" xfId="7" applyNumberFormat="1" applyFont="1" applyAlignment="1" applyProtection="1">
      <alignment horizontal="center"/>
      <protection locked="0"/>
    </xf>
    <xf numFmtId="171" fontId="13" fillId="0" borderId="0" xfId="3" applyNumberFormat="1" applyFont="1" applyProtection="1">
      <protection locked="0"/>
    </xf>
    <xf numFmtId="171" fontId="83" fillId="17" borderId="19" xfId="0" applyNumberFormat="1" applyFont="1" applyFill="1" applyBorder="1" applyAlignment="1" applyProtection="1">
      <alignment horizontal="center"/>
      <protection locked="0"/>
    </xf>
    <xf numFmtId="168" fontId="12" fillId="0" borderId="11" xfId="7" applyNumberFormat="1" applyFont="1" applyBorder="1" applyAlignment="1" applyProtection="1">
      <alignment horizontal="center"/>
      <protection locked="0"/>
    </xf>
    <xf numFmtId="39" fontId="127" fillId="0" borderId="16" xfId="1" applyNumberFormat="1" applyFont="1" applyFill="1" applyBorder="1" applyAlignment="1" applyProtection="1">
      <alignment horizontal="right"/>
    </xf>
    <xf numFmtId="39" fontId="127" fillId="0" borderId="18" xfId="1" applyNumberFormat="1" applyFont="1" applyFill="1" applyBorder="1" applyAlignment="1" applyProtection="1">
      <alignment horizontal="right"/>
    </xf>
    <xf numFmtId="0" fontId="128" fillId="0" borderId="14" xfId="7" applyFont="1" applyBorder="1" applyAlignment="1">
      <alignment horizontal="center"/>
    </xf>
    <xf numFmtId="40" fontId="22" fillId="2" borderId="14" xfId="7" applyNumberFormat="1" applyFont="1" applyFill="1" applyBorder="1" applyAlignment="1">
      <alignment horizontal="right"/>
    </xf>
    <xf numFmtId="40" fontId="22"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5" fillId="0" borderId="0" xfId="0" applyFont="1"/>
    <xf numFmtId="39" fontId="58" fillId="0" borderId="0" xfId="1" applyNumberFormat="1" applyFont="1" applyFill="1" applyBorder="1" applyAlignment="1" applyProtection="1">
      <alignment horizontal="right"/>
      <protection locked="0"/>
    </xf>
    <xf numFmtId="164" fontId="58" fillId="0" borderId="0" xfId="1" applyFont="1" applyFill="1" applyBorder="1" applyAlignment="1" applyProtection="1">
      <alignment horizontal="right"/>
      <protection locked="0"/>
    </xf>
    <xf numFmtId="164" fontId="58" fillId="0" borderId="0" xfId="1" applyFont="1" applyBorder="1" applyAlignment="1" applyProtection="1">
      <alignment horizontal="right"/>
      <protection locked="0"/>
    </xf>
    <xf numFmtId="175" fontId="15" fillId="17" borderId="3" xfId="1" applyNumberFormat="1" applyFont="1" applyFill="1" applyBorder="1" applyAlignment="1" applyProtection="1">
      <alignment horizontal="right"/>
    </xf>
    <xf numFmtId="168" fontId="126" fillId="17" borderId="3" xfId="7" applyNumberFormat="1" applyFont="1" applyFill="1" applyBorder="1" applyAlignment="1">
      <alignment horizontal="center"/>
    </xf>
    <xf numFmtId="0" fontId="12" fillId="0" borderId="1" xfId="3" applyFont="1" applyBorder="1"/>
    <xf numFmtId="0" fontId="114" fillId="17" borderId="25" xfId="0" applyFont="1" applyFill="1" applyBorder="1" applyAlignment="1">
      <alignment horizontal="center" vertical="center"/>
    </xf>
    <xf numFmtId="0" fontId="114" fillId="17" borderId="19" xfId="0" applyFont="1" applyFill="1" applyBorder="1" applyAlignment="1">
      <alignment horizontal="center" vertical="center"/>
    </xf>
    <xf numFmtId="0" fontId="114" fillId="17" borderId="6" xfId="0" applyFont="1" applyFill="1" applyBorder="1" applyAlignment="1">
      <alignment horizontal="right" vertical="center"/>
    </xf>
    <xf numFmtId="0" fontId="34" fillId="11" borderId="11" xfId="3" applyFont="1" applyFill="1" applyBorder="1" applyAlignment="1">
      <alignment horizontal="left"/>
    </xf>
    <xf numFmtId="0" fontId="111" fillId="2" borderId="23" xfId="7" applyFont="1" applyFill="1" applyBorder="1" applyAlignment="1">
      <alignment horizontal="center"/>
    </xf>
    <xf numFmtId="2" fontId="34" fillId="2" borderId="17" xfId="7" applyNumberFormat="1" applyFont="1" applyFill="1" applyBorder="1" applyAlignment="1">
      <alignment horizontal="center"/>
    </xf>
    <xf numFmtId="0" fontId="84" fillId="2" borderId="21" xfId="3" applyFont="1" applyFill="1" applyBorder="1" applyAlignment="1">
      <alignment horizontal="left"/>
    </xf>
    <xf numFmtId="0" fontId="13"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7" fillId="14" borderId="3" xfId="0" applyFont="1" applyFill="1" applyBorder="1" applyAlignment="1" applyProtection="1">
      <alignment horizontal="center"/>
      <protection locked="0"/>
    </xf>
    <xf numFmtId="0" fontId="77" fillId="1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0" fontId="8" fillId="19" borderId="3" xfId="0" applyFont="1" applyFill="1" applyBorder="1" applyProtection="1">
      <protection locked="0"/>
    </xf>
    <xf numFmtId="0" fontId="23"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0" fillId="0" borderId="0" xfId="0" applyFont="1"/>
    <xf numFmtId="38" fontId="131"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2" fillId="0" borderId="0" xfId="7" applyFont="1" applyProtection="1">
      <protection locked="0"/>
    </xf>
    <xf numFmtId="0" fontId="133" fillId="0" borderId="0" xfId="0" applyFont="1" applyProtection="1">
      <protection locked="0"/>
    </xf>
    <xf numFmtId="0" fontId="134" fillId="0" borderId="0" xfId="0" applyFont="1" applyProtection="1">
      <protection locked="0"/>
    </xf>
    <xf numFmtId="0" fontId="51" fillId="0" borderId="0" xfId="0" applyFont="1" applyProtection="1">
      <protection locked="0"/>
    </xf>
    <xf numFmtId="0" fontId="136" fillId="0" borderId="3" xfId="0" applyFont="1" applyBorder="1" applyAlignment="1">
      <alignment horizontal="center"/>
    </xf>
    <xf numFmtId="0" fontId="113" fillId="0" borderId="0" xfId="0" applyFont="1" applyAlignment="1">
      <alignment vertical="center"/>
    </xf>
    <xf numFmtId="2" fontId="13"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7" fillId="0" borderId="0" xfId="3" applyFont="1" applyAlignment="1">
      <alignment horizontal="right" vertical="top"/>
    </xf>
    <xf numFmtId="0" fontId="137" fillId="0" borderId="0" xfId="7" applyFont="1" applyAlignment="1">
      <alignment horizontal="right"/>
    </xf>
    <xf numFmtId="0" fontId="137" fillId="0" borderId="0" xfId="3" applyFont="1" applyAlignment="1">
      <alignment horizontal="right"/>
    </xf>
    <xf numFmtId="0" fontId="138" fillId="0" borderId="0" xfId="0" applyFont="1" applyAlignment="1" applyProtection="1">
      <alignment horizontal="left"/>
      <protection locked="0"/>
    </xf>
    <xf numFmtId="0" fontId="139" fillId="0" borderId="0" xfId="0" applyFont="1" applyProtection="1">
      <protection locked="0"/>
    </xf>
    <xf numFmtId="2" fontId="13" fillId="17" borderId="6" xfId="0" applyNumberFormat="1" applyFont="1" applyFill="1" applyBorder="1" applyAlignment="1">
      <alignment horizontal="center" vertical="center"/>
    </xf>
    <xf numFmtId="49" fontId="140"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41" fillId="0" borderId="3" xfId="1" applyNumberFormat="1" applyFont="1" applyFill="1" applyBorder="1" applyAlignment="1" applyProtection="1">
      <alignment horizontal="right"/>
      <protection locked="0"/>
    </xf>
    <xf numFmtId="176" fontId="12" fillId="0" borderId="3" xfId="1" applyNumberFormat="1" applyFont="1" applyFill="1" applyBorder="1" applyAlignment="1" applyProtection="1">
      <alignment horizontal="right"/>
      <protection locked="0"/>
    </xf>
    <xf numFmtId="177" fontId="12"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4" fontId="7" fillId="13" borderId="0" xfId="6" applyNumberFormat="1" applyFont="1" applyFill="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pplyProtection="1">
      <alignment horizontal="right"/>
      <protection locked="0"/>
    </xf>
    <xf numFmtId="4" fontId="7" fillId="2" borderId="0" xfId="3" applyNumberFormat="1" applyFont="1" applyFill="1" applyAlignment="1" applyProtection="1">
      <alignment horizontal="right"/>
      <protection locked="0"/>
    </xf>
    <xf numFmtId="4" fontId="7" fillId="7" borderId="0" xfId="3" applyNumberFormat="1" applyFont="1" applyFill="1" applyAlignment="1" applyProtection="1">
      <alignment horizontal="right"/>
      <protection locked="0"/>
    </xf>
    <xf numFmtId="4" fontId="12" fillId="8" borderId="0" xfId="3" applyNumberFormat="1" applyFont="1" applyFill="1" applyProtection="1">
      <protection locked="0"/>
    </xf>
    <xf numFmtId="4" fontId="19" fillId="2" borderId="1" xfId="3" applyNumberFormat="1" applyFont="1" applyFill="1" applyBorder="1" applyAlignment="1" applyProtection="1">
      <alignment horizontal="right"/>
      <protection locked="0"/>
    </xf>
    <xf numFmtId="4" fontId="12" fillId="13" borderId="12" xfId="6" applyNumberFormat="1" applyFont="1" applyFill="1" applyBorder="1" applyAlignment="1" applyProtection="1">
      <alignment horizontal="right"/>
      <protection locked="0"/>
    </xf>
    <xf numFmtId="4" fontId="12" fillId="7" borderId="12" xfId="3" applyNumberFormat="1" applyFont="1" applyFill="1" applyBorder="1" applyAlignment="1" applyProtection="1">
      <alignment horizontal="right"/>
      <protection locked="0"/>
    </xf>
    <xf numFmtId="4" fontId="12" fillId="6" borderId="12" xfId="3" applyNumberFormat="1" applyFont="1" applyFill="1" applyBorder="1" applyProtection="1">
      <protection locked="0"/>
    </xf>
    <xf numFmtId="4" fontId="12" fillId="7" borderId="0" xfId="3" applyNumberFormat="1" applyFont="1" applyFill="1" applyProtection="1">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2" fillId="17" borderId="19" xfId="0" applyFont="1" applyFill="1" applyBorder="1" applyAlignment="1">
      <alignment horizontal="left"/>
    </xf>
    <xf numFmtId="0" fontId="143" fillId="0" borderId="0" xfId="0" applyFont="1" applyAlignment="1" applyProtection="1">
      <alignment horizontal="left"/>
      <protection locked="0"/>
    </xf>
    <xf numFmtId="2" fontId="13" fillId="3" borderId="3" xfId="3" applyNumberFormat="1" applyFont="1" applyFill="1" applyBorder="1" applyAlignment="1" applyProtection="1">
      <alignment horizontal="center"/>
      <protection locked="0"/>
    </xf>
    <xf numFmtId="166"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101"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5"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5"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29" fillId="0" borderId="0" xfId="0" applyFont="1" applyAlignment="1">
      <alignment horizontal="center"/>
    </xf>
    <xf numFmtId="0" fontId="77" fillId="2" borderId="3" xfId="0" applyFont="1" applyFill="1" applyBorder="1" applyAlignment="1" applyProtection="1">
      <alignment horizontal="center"/>
      <protection locked="0"/>
    </xf>
    <xf numFmtId="0" fontId="78" fillId="0" borderId="3" xfId="0" applyFont="1" applyBorder="1" applyAlignment="1" applyProtection="1">
      <alignment horizontal="center"/>
      <protection locked="0"/>
    </xf>
    <xf numFmtId="4" fontId="12" fillId="9" borderId="0" xfId="3" applyNumberFormat="1" applyFont="1" applyFill="1" applyProtection="1">
      <protection locked="0"/>
    </xf>
    <xf numFmtId="4" fontId="12" fillId="10" borderId="0" xfId="3" applyNumberFormat="1" applyFont="1" applyFill="1" applyProtection="1">
      <protection locked="0"/>
    </xf>
    <xf numFmtId="4" fontId="12" fillId="11" borderId="0" xfId="3" applyNumberFormat="1" applyFont="1" applyFill="1" applyProtection="1">
      <protection locked="0"/>
    </xf>
    <xf numFmtId="49" fontId="140" fillId="17"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62" fillId="0" borderId="0" xfId="0" applyNumberFormat="1" applyFont="1" applyProtection="1">
      <protection locked="0"/>
    </xf>
    <xf numFmtId="0" fontId="7" fillId="0" borderId="1" xfId="0" applyFont="1" applyBorder="1" applyProtection="1">
      <protection locked="0"/>
    </xf>
    <xf numFmtId="0" fontId="13" fillId="0" borderId="1" xfId="3" applyFont="1" applyBorder="1" applyAlignment="1">
      <alignment horizontal="center"/>
    </xf>
    <xf numFmtId="164" fontId="22" fillId="0" borderId="42" xfId="3" applyNumberFormat="1" applyFont="1" applyBorder="1"/>
    <xf numFmtId="164" fontId="15" fillId="0" borderId="1" xfId="1" applyFont="1" applyFill="1" applyBorder="1"/>
    <xf numFmtId="164" fontId="15" fillId="2" borderId="15" xfId="1" applyFont="1" applyFill="1" applyBorder="1"/>
    <xf numFmtId="168" fontId="146"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9" fillId="2" borderId="1" xfId="6" applyFont="1" applyFill="1" applyBorder="1" applyAlignment="1" applyProtection="1">
      <alignment horizontal="center"/>
      <protection locked="0"/>
    </xf>
    <xf numFmtId="1" fontId="15" fillId="0" borderId="0" xfId="6" applyFont="1" applyAlignment="1" applyProtection="1">
      <alignment horizontal="center" vertical="top"/>
      <protection locked="0"/>
    </xf>
    <xf numFmtId="0" fontId="15" fillId="0" borderId="43" xfId="3" applyFont="1" applyBorder="1" applyAlignment="1">
      <alignment horizontal="center"/>
    </xf>
    <xf numFmtId="0" fontId="12" fillId="0" borderId="0" xfId="3" applyFont="1" applyAlignment="1">
      <alignment horizontal="left"/>
    </xf>
    <xf numFmtId="0" fontId="15" fillId="0" borderId="44" xfId="3" applyFont="1" applyBorder="1" applyAlignment="1">
      <alignment horizontal="center"/>
    </xf>
    <xf numFmtId="2" fontId="7" fillId="0" borderId="0" xfId="10" applyNumberFormat="1" applyFont="1" applyProtection="1">
      <protection locked="0"/>
    </xf>
    <xf numFmtId="0" fontId="7" fillId="0" borderId="0" xfId="3" applyFont="1"/>
    <xf numFmtId="0" fontId="7" fillId="0" borderId="24" xfId="3" applyFont="1" applyBorder="1" applyAlignment="1">
      <alignment horizontal="right"/>
    </xf>
    <xf numFmtId="0" fontId="7" fillId="17" borderId="0" xfId="3" applyFont="1" applyFill="1"/>
    <xf numFmtId="4" fontId="13" fillId="3" borderId="3" xfId="3" applyNumberFormat="1" applyFont="1" applyFill="1" applyBorder="1" applyAlignment="1">
      <alignment horizontal="center"/>
    </xf>
    <xf numFmtId="2" fontId="15" fillId="3" borderId="3" xfId="3" applyNumberFormat="1" applyFont="1" applyFill="1" applyBorder="1" applyAlignment="1">
      <alignment horizontal="center"/>
    </xf>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0" fontId="7" fillId="0" borderId="1" xfId="3" applyFont="1" applyBorder="1"/>
    <xf numFmtId="0" fontId="4" fillId="0" borderId="0" xfId="0" applyFont="1"/>
    <xf numFmtId="0" fontId="4" fillId="0" borderId="0" xfId="0" applyFont="1" applyAlignment="1">
      <alignment vertical="top"/>
    </xf>
    <xf numFmtId="0" fontId="4" fillId="0" borderId="0" xfId="0" applyFont="1" applyAlignment="1">
      <alignment horizontal="left" vertical="top"/>
    </xf>
    <xf numFmtId="0" fontId="1" fillId="0" borderId="0" xfId="0" applyFont="1" applyAlignment="1">
      <alignment horizontal="right" vertical="top"/>
    </xf>
    <xf numFmtId="4" fontId="4" fillId="0" borderId="0" xfId="0" applyNumberFormat="1" applyFont="1" applyAlignment="1">
      <alignment vertical="top"/>
    </xf>
    <xf numFmtId="4" fontId="1" fillId="0" borderId="0" xfId="0" applyNumberFormat="1" applyFont="1" applyAlignment="1">
      <alignment vertical="top"/>
    </xf>
    <xf numFmtId="0" fontId="4" fillId="0" borderId="0" xfId="0" applyFont="1" applyProtection="1">
      <protection locked="0"/>
    </xf>
    <xf numFmtId="179" fontId="81" fillId="12" borderId="3" xfId="0" applyNumberFormat="1" applyFont="1" applyFill="1" applyBorder="1" applyAlignment="1" applyProtection="1">
      <alignment horizontal="center"/>
      <protection locked="0"/>
    </xf>
    <xf numFmtId="0" fontId="149" fillId="0" borderId="0" xfId="3" applyFont="1" applyProtection="1">
      <protection locked="0"/>
    </xf>
    <xf numFmtId="0" fontId="150" fillId="0" borderId="0" xfId="3" applyFont="1" applyAlignment="1" applyProtection="1">
      <alignment horizontal="right"/>
      <protection locked="0"/>
    </xf>
    <xf numFmtId="0" fontId="149" fillId="0" borderId="0" xfId="11" applyFont="1" applyProtection="1">
      <protection locked="0"/>
    </xf>
    <xf numFmtId="0" fontId="149" fillId="0" borderId="0" xfId="3" applyFont="1" applyAlignment="1" applyProtection="1">
      <alignment horizontal="left"/>
      <protection locked="0"/>
    </xf>
    <xf numFmtId="0" fontId="149" fillId="0" borderId="13" xfId="3" applyFont="1" applyBorder="1" applyProtection="1">
      <protection locked="0"/>
    </xf>
    <xf numFmtId="0" fontId="149" fillId="0" borderId="13" xfId="11" applyFont="1" applyBorder="1" applyProtection="1">
      <protection locked="0"/>
    </xf>
    <xf numFmtId="0" fontId="150" fillId="0" borderId="0" xfId="11" applyFont="1" applyAlignment="1" applyProtection="1">
      <alignment horizontal="right"/>
      <protection locked="0"/>
    </xf>
    <xf numFmtId="15" fontId="149" fillId="0" borderId="0" xfId="11" applyNumberFormat="1" applyFont="1" applyProtection="1">
      <protection locked="0"/>
    </xf>
    <xf numFmtId="0" fontId="149" fillId="17" borderId="0" xfId="3" applyFont="1" applyFill="1" applyAlignment="1" applyProtection="1">
      <alignment horizontal="left"/>
      <protection locked="0"/>
    </xf>
    <xf numFmtId="0" fontId="151" fillId="0" borderId="0" xfId="3" applyFont="1" applyProtection="1">
      <protection locked="0"/>
    </xf>
    <xf numFmtId="0" fontId="151" fillId="0" borderId="0" xfId="3" applyFont="1" applyAlignment="1" applyProtection="1">
      <alignment horizontal="right"/>
      <protection locked="0"/>
    </xf>
    <xf numFmtId="4" fontId="149" fillId="17" borderId="0" xfId="1" applyNumberFormat="1" applyFont="1" applyFill="1" applyBorder="1" applyAlignment="1" applyProtection="1">
      <alignment horizontal="centerContinuous"/>
      <protection locked="0"/>
    </xf>
    <xf numFmtId="0" fontId="149" fillId="0" borderId="0" xfId="11" applyFont="1"/>
    <xf numFmtId="0" fontId="150" fillId="0" borderId="0" xfId="3" applyFont="1" applyAlignment="1" applyProtection="1">
      <alignment horizontal="left"/>
      <protection locked="0"/>
    </xf>
    <xf numFmtId="0" fontId="151" fillId="0" borderId="0" xfId="3" applyFont="1" applyAlignment="1" applyProtection="1">
      <alignment horizontal="left"/>
      <protection locked="0"/>
    </xf>
    <xf numFmtId="0" fontId="150" fillId="0" borderId="0" xfId="3" applyFont="1" applyProtection="1">
      <protection locked="0"/>
    </xf>
    <xf numFmtId="0" fontId="149" fillId="0" borderId="0" xfId="3" applyFont="1" applyAlignment="1" applyProtection="1">
      <alignment horizontal="center"/>
      <protection locked="0"/>
    </xf>
    <xf numFmtId="0" fontId="149" fillId="0" borderId="22" xfId="3" applyFont="1" applyBorder="1" applyProtection="1">
      <protection locked="0"/>
    </xf>
    <xf numFmtId="0" fontId="149" fillId="0" borderId="34" xfId="3" applyFont="1" applyBorder="1" applyProtection="1">
      <protection locked="0"/>
    </xf>
    <xf numFmtId="0" fontId="149" fillId="0" borderId="35" xfId="3" applyFont="1" applyBorder="1" applyProtection="1">
      <protection locked="0"/>
    </xf>
    <xf numFmtId="0" fontId="149" fillId="0" borderId="36" xfId="3" applyFont="1" applyBorder="1" applyProtection="1">
      <protection locked="0"/>
    </xf>
    <xf numFmtId="0" fontId="149" fillId="0" borderId="37" xfId="3" applyFont="1" applyBorder="1" applyProtection="1">
      <protection locked="0"/>
    </xf>
    <xf numFmtId="0" fontId="151" fillId="0" borderId="0" xfId="7" applyFont="1" applyAlignment="1" applyProtection="1">
      <alignment horizontal="left" vertical="center"/>
      <protection locked="0"/>
    </xf>
    <xf numFmtId="0" fontId="149" fillId="0" borderId="38" xfId="3" applyFont="1" applyBorder="1" applyProtection="1">
      <protection locked="0"/>
    </xf>
    <xf numFmtId="0" fontId="149" fillId="0" borderId="39" xfId="3" applyFont="1" applyBorder="1" applyProtection="1">
      <protection locked="0"/>
    </xf>
    <xf numFmtId="0" fontId="152" fillId="0" borderId="0" xfId="3" applyFont="1" applyProtection="1">
      <protection locked="0"/>
    </xf>
    <xf numFmtId="0" fontId="150" fillId="0" borderId="0" xfId="7" applyFont="1" applyAlignment="1" applyProtection="1">
      <alignment horizontal="right"/>
      <protection locked="0"/>
    </xf>
    <xf numFmtId="0" fontId="150" fillId="0" borderId="13" xfId="7" applyFont="1" applyBorder="1" applyAlignment="1" applyProtection="1">
      <alignment horizontal="left"/>
      <protection locked="0"/>
    </xf>
    <xf numFmtId="0" fontId="150" fillId="0" borderId="0" xfId="7" applyFont="1" applyAlignment="1" applyProtection="1">
      <alignment horizontal="left"/>
      <protection locked="0"/>
    </xf>
    <xf numFmtId="0" fontId="153" fillId="0" borderId="0" xfId="3" applyFont="1" applyAlignment="1" applyProtection="1">
      <alignment horizontal="right"/>
      <protection locked="0"/>
    </xf>
    <xf numFmtId="0" fontId="152" fillId="0" borderId="0" xfId="3" applyFont="1" applyAlignment="1" applyProtection="1">
      <alignment horizontal="left"/>
      <protection locked="0"/>
    </xf>
    <xf numFmtId="0" fontId="4" fillId="0" borderId="0" xfId="14" applyFont="1" applyAlignment="1">
      <alignment horizontal="centerContinuous"/>
    </xf>
    <xf numFmtId="180" fontId="4" fillId="0" borderId="17" xfId="14" applyNumberFormat="1" applyFont="1" applyBorder="1" applyAlignment="1">
      <alignment horizontal="center" vertical="top"/>
    </xf>
    <xf numFmtId="4" fontId="4" fillId="0" borderId="19" xfId="14" applyNumberFormat="1" applyFont="1" applyBorder="1" applyAlignment="1">
      <alignment horizontal="left" vertical="top" wrapText="1"/>
    </xf>
    <xf numFmtId="1" fontId="4" fillId="0" borderId="17" xfId="14" applyNumberFormat="1" applyFont="1" applyBorder="1" applyAlignment="1">
      <alignment horizontal="center"/>
    </xf>
    <xf numFmtId="4" fontId="4" fillId="0" borderId="17" xfId="14" applyNumberFormat="1" applyFont="1" applyBorder="1" applyAlignment="1" applyProtection="1">
      <alignment horizontal="right"/>
      <protection locked="0"/>
    </xf>
    <xf numFmtId="4" fontId="4" fillId="0" borderId="25" xfId="14" applyNumberFormat="1" applyFont="1" applyBorder="1" applyAlignment="1" applyProtection="1">
      <alignment horizontal="right"/>
      <protection locked="0"/>
    </xf>
    <xf numFmtId="4" fontId="4" fillId="0" borderId="0" xfId="14" applyNumberFormat="1" applyFont="1" applyAlignment="1">
      <alignment horizontal="left" vertical="top" wrapText="1"/>
    </xf>
    <xf numFmtId="0" fontId="1" fillId="0" borderId="0" xfId="14" applyFont="1" applyAlignment="1">
      <alignment horizontal="justify" vertical="center"/>
    </xf>
    <xf numFmtId="4" fontId="4" fillId="0" borderId="17" xfId="14" applyNumberFormat="1" applyFont="1" applyBorder="1" applyAlignment="1">
      <alignment horizontal="center"/>
    </xf>
    <xf numFmtId="0" fontId="4" fillId="0" borderId="17" xfId="14" applyFont="1" applyBorder="1" applyAlignment="1">
      <alignment horizontal="center"/>
    </xf>
    <xf numFmtId="180" fontId="4" fillId="0" borderId="17" xfId="14" applyNumberFormat="1" applyFont="1" applyBorder="1" applyAlignment="1">
      <alignment vertical="top"/>
    </xf>
    <xf numFmtId="4" fontId="4" fillId="0" borderId="17" xfId="14" applyNumberFormat="1" applyFont="1" applyBorder="1" applyProtection="1">
      <protection locked="0"/>
    </xf>
    <xf numFmtId="1" fontId="7" fillId="0" borderId="0" xfId="10" applyFont="1" applyProtection="1">
      <protection locked="0"/>
    </xf>
    <xf numFmtId="1" fontId="15" fillId="0" borderId="0" xfId="10" applyFont="1" applyProtection="1">
      <protection locked="0"/>
    </xf>
    <xf numFmtId="166" fontId="7" fillId="0" borderId="0" xfId="10" applyNumberFormat="1" applyFont="1" applyProtection="1">
      <protection locked="0"/>
    </xf>
    <xf numFmtId="2" fontId="7" fillId="13" borderId="0" xfId="10" applyNumberFormat="1" applyFont="1" applyFill="1"/>
    <xf numFmtId="0" fontId="13" fillId="0" borderId="0" xfId="3" applyFont="1" applyAlignment="1">
      <alignment horizontal="center"/>
    </xf>
    <xf numFmtId="0" fontId="13" fillId="0" borderId="23" xfId="3" applyFont="1" applyBorder="1" applyAlignment="1">
      <alignment horizontal="right"/>
    </xf>
    <xf numFmtId="0" fontId="13" fillId="0" borderId="22" xfId="3" applyFont="1" applyBorder="1" applyAlignment="1">
      <alignment horizontal="right"/>
    </xf>
    <xf numFmtId="1" fontId="15" fillId="0" borderId="3" xfId="10" applyFont="1" applyBorder="1" applyAlignment="1" applyProtection="1">
      <alignment horizontal="center"/>
      <protection locked="0"/>
    </xf>
    <xf numFmtId="0" fontId="158" fillId="0" borderId="3" xfId="0" applyFont="1" applyBorder="1" applyAlignment="1">
      <alignment horizontal="center"/>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4" fontId="15" fillId="3" borderId="18" xfId="3" applyNumberFormat="1" applyFont="1" applyFill="1" applyBorder="1" applyAlignment="1">
      <alignment horizontal="right"/>
    </xf>
    <xf numFmtId="4" fontId="15" fillId="3" borderId="16" xfId="3" applyNumberFormat="1" applyFont="1" applyFill="1" applyBorder="1" applyAlignment="1">
      <alignment horizontal="right"/>
    </xf>
    <xf numFmtId="1" fontId="15" fillId="0" borderId="0" xfId="10" applyFont="1" applyAlignment="1" applyProtection="1">
      <alignment vertical="top"/>
      <protection locked="0"/>
    </xf>
    <xf numFmtId="2" fontId="15" fillId="0" borderId="0" xfId="10" applyNumberFormat="1" applyFont="1" applyProtection="1">
      <protection locked="0"/>
    </xf>
    <xf numFmtId="1" fontId="15" fillId="0" borderId="0" xfId="10" applyFont="1"/>
    <xf numFmtId="2" fontId="7" fillId="3" borderId="3" xfId="3" applyNumberFormat="1" applyFont="1" applyFill="1" applyBorder="1" applyAlignment="1">
      <alignment horizontal="center"/>
    </xf>
    <xf numFmtId="166" fontId="15" fillId="0" borderId="0" xfId="10" applyNumberFormat="1" applyFont="1" applyProtection="1">
      <protection locked="0"/>
    </xf>
    <xf numFmtId="2" fontId="7" fillId="18"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6" fontId="7" fillId="0" borderId="1" xfId="10" applyNumberFormat="1" applyFont="1" applyBorder="1" applyProtection="1">
      <protection locked="0"/>
    </xf>
    <xf numFmtId="2" fontId="7" fillId="13" borderId="15" xfId="10" applyNumberFormat="1" applyFont="1" applyFill="1" applyBorder="1"/>
    <xf numFmtId="1" fontId="14" fillId="0" borderId="0" xfId="10" applyFont="1" applyAlignment="1" applyProtection="1">
      <alignment horizontal="left" vertical="top" wrapText="1"/>
      <protection locked="0"/>
    </xf>
    <xf numFmtId="0" fontId="7" fillId="0" borderId="0" xfId="3" applyFont="1" applyAlignment="1">
      <alignment vertical="top" wrapText="1"/>
    </xf>
    <xf numFmtId="1" fontId="15" fillId="0" borderId="0" xfId="10" applyFont="1" applyAlignment="1" applyProtection="1">
      <alignment vertical="top" wrapText="1"/>
      <protection locked="0"/>
    </xf>
    <xf numFmtId="0" fontId="4" fillId="0" borderId="0" xfId="3" applyAlignment="1">
      <alignment vertical="top" wrapText="1"/>
    </xf>
    <xf numFmtId="2" fontId="15" fillId="0" borderId="0" xfId="10" applyNumberFormat="1" applyFont="1" applyAlignment="1" applyProtection="1">
      <alignment vertical="top" wrapText="1"/>
      <protection locked="0"/>
    </xf>
    <xf numFmtId="0" fontId="7" fillId="0" borderId="0" xfId="3" applyFont="1" applyAlignment="1" applyProtection="1">
      <alignment vertical="top" wrapText="1"/>
      <protection locked="0"/>
    </xf>
    <xf numFmtId="2" fontId="7" fillId="0" borderId="0" xfId="3" applyNumberFormat="1" applyFont="1" applyAlignment="1" applyProtection="1">
      <alignment vertical="top" wrapText="1"/>
      <protection locked="0"/>
    </xf>
    <xf numFmtId="166" fontId="15" fillId="0" borderId="0" xfId="10" applyNumberFormat="1" applyFont="1" applyAlignment="1" applyProtection="1">
      <alignment vertical="top" wrapText="1"/>
      <protection locked="0"/>
    </xf>
    <xf numFmtId="1" fontId="7" fillId="0" borderId="0" xfId="3" applyNumberFormat="1" applyFont="1"/>
    <xf numFmtId="2" fontId="7" fillId="0" borderId="10" xfId="10" applyNumberFormat="1" applyFont="1" applyBorder="1" applyAlignment="1" applyProtection="1">
      <alignment horizontal="center"/>
      <protection locked="0"/>
    </xf>
    <xf numFmtId="1" fontId="15" fillId="0" borderId="0" xfId="10" applyFont="1" applyAlignment="1" applyProtection="1">
      <alignment horizontal="left"/>
      <protection locked="0"/>
    </xf>
    <xf numFmtId="171" fontId="13" fillId="0" borderId="0" xfId="3" applyNumberFormat="1" applyFont="1"/>
    <xf numFmtId="4" fontId="7" fillId="7" borderId="0" xfId="3" applyNumberFormat="1" applyFont="1" applyFill="1"/>
    <xf numFmtId="0" fontId="15" fillId="0" borderId="0" xfId="3" applyFont="1" applyAlignment="1">
      <alignment horizontal="right"/>
    </xf>
    <xf numFmtId="2" fontId="7" fillId="0" borderId="1" xfId="3" applyNumberFormat="1" applyFont="1" applyBorder="1"/>
    <xf numFmtId="0" fontId="18" fillId="0" borderId="1" xfId="3" applyFont="1" applyBorder="1" applyProtection="1">
      <protection locked="0"/>
    </xf>
    <xf numFmtId="0" fontId="14" fillId="0" borderId="0" xfId="3" applyFont="1"/>
    <xf numFmtId="4" fontId="7" fillId="6" borderId="0" xfId="3" applyNumberFormat="1" applyFont="1" applyFill="1"/>
    <xf numFmtId="0" fontId="15" fillId="0" borderId="0" xfId="3" applyFont="1" applyAlignment="1" applyProtection="1">
      <alignment horizontal="center"/>
      <protection locked="0"/>
    </xf>
    <xf numFmtId="1" fontId="15" fillId="0" borderId="0" xfId="10" applyFont="1" applyAlignment="1">
      <alignment horizontal="center"/>
    </xf>
    <xf numFmtId="0" fontId="13" fillId="0" borderId="0" xfId="0" applyFont="1"/>
    <xf numFmtId="4" fontId="15" fillId="3" borderId="3" xfId="3" applyNumberFormat="1" applyFont="1" applyFill="1" applyBorder="1" applyAlignment="1">
      <alignment horizontal="right"/>
    </xf>
    <xf numFmtId="1" fontId="15" fillId="0" borderId="0" xfId="10" applyFont="1" applyAlignment="1" applyProtection="1">
      <alignment horizontal="center"/>
      <protection locked="0"/>
    </xf>
    <xf numFmtId="0" fontId="7" fillId="0" borderId="0" xfId="0" applyFont="1"/>
    <xf numFmtId="0" fontId="159" fillId="0" borderId="0" xfId="0" applyFont="1"/>
    <xf numFmtId="0" fontId="100" fillId="0" borderId="0" xfId="0" applyFont="1"/>
    <xf numFmtId="0" fontId="160" fillId="0" borderId="0" xfId="0" applyFont="1"/>
    <xf numFmtId="0" fontId="159" fillId="17" borderId="0" xfId="0" applyFont="1" applyFill="1"/>
    <xf numFmtId="1" fontId="15" fillId="7" borderId="0" xfId="10" applyFont="1" applyFill="1"/>
    <xf numFmtId="0" fontId="159" fillId="0" borderId="0" xfId="0" applyFont="1" applyAlignment="1">
      <alignment horizontal="center"/>
    </xf>
    <xf numFmtId="1" fontId="15" fillId="7" borderId="0" xfId="10" applyFont="1" applyFill="1" applyAlignment="1">
      <alignment horizontal="center"/>
    </xf>
    <xf numFmtId="0" fontId="161" fillId="0" borderId="0" xfId="0" applyFont="1" applyAlignment="1">
      <alignment horizontal="center"/>
    </xf>
    <xf numFmtId="0" fontId="161" fillId="17" borderId="0" xfId="0" applyFont="1" applyFill="1" applyAlignment="1">
      <alignment horizontal="center"/>
    </xf>
    <xf numFmtId="170" fontId="159" fillId="0" borderId="0" xfId="0" applyNumberFormat="1" applyFont="1"/>
    <xf numFmtId="2" fontId="159" fillId="0" borderId="0" xfId="0" applyNumberFormat="1" applyFont="1"/>
    <xf numFmtId="2" fontId="7" fillId="3" borderId="0" xfId="3" applyNumberFormat="1" applyFont="1" applyFill="1"/>
    <xf numFmtId="2" fontId="159" fillId="3" borderId="0" xfId="0" applyNumberFormat="1" applyFont="1" applyFill="1"/>
    <xf numFmtId="2" fontId="159" fillId="18" borderId="0" xfId="0" applyNumberFormat="1" applyFont="1" applyFill="1"/>
    <xf numFmtId="1" fontId="15" fillId="0" borderId="1" xfId="10" applyFont="1" applyBorder="1" applyAlignment="1" applyProtection="1">
      <alignment horizontal="center"/>
      <protection locked="0"/>
    </xf>
    <xf numFmtId="1" fontId="7" fillId="0" borderId="1" xfId="10" applyFont="1" applyBorder="1" applyAlignment="1">
      <alignment horizontal="center"/>
    </xf>
    <xf numFmtId="0" fontId="163" fillId="0" borderId="0" xfId="0" applyFont="1"/>
    <xf numFmtId="0" fontId="163" fillId="17" borderId="0" xfId="0" applyFont="1" applyFill="1"/>
    <xf numFmtId="0" fontId="163" fillId="17" borderId="0" xfId="0" applyFont="1" applyFill="1" applyAlignment="1">
      <alignment horizontal="center"/>
    </xf>
    <xf numFmtId="0" fontId="164" fillId="17" borderId="0" xfId="0" applyFont="1" applyFill="1" applyAlignment="1">
      <alignment horizontal="center"/>
    </xf>
    <xf numFmtId="170" fontId="163" fillId="0" borderId="0" xfId="0" applyNumberFormat="1" applyFont="1"/>
    <xf numFmtId="2" fontId="163" fillId="0" borderId="0" xfId="0" applyNumberFormat="1" applyFont="1"/>
    <xf numFmtId="2" fontId="163" fillId="3" borderId="0" xfId="0" applyNumberFormat="1" applyFont="1" applyFill="1"/>
    <xf numFmtId="2" fontId="163" fillId="18" borderId="0" xfId="0" applyNumberFormat="1" applyFont="1" applyFill="1"/>
    <xf numFmtId="0" fontId="165" fillId="0" borderId="0" xfId="0" applyFont="1"/>
    <xf numFmtId="0" fontId="166" fillId="0" borderId="0" xfId="0" applyFont="1"/>
    <xf numFmtId="0" fontId="167" fillId="0" borderId="0" xfId="0" applyFont="1"/>
    <xf numFmtId="0" fontId="167" fillId="17" borderId="0" xfId="0" applyFont="1" applyFill="1"/>
    <xf numFmtId="1" fontId="168" fillId="7" borderId="0" xfId="10" applyFont="1" applyFill="1"/>
    <xf numFmtId="1" fontId="168" fillId="7" borderId="0" xfId="10" applyFont="1" applyFill="1" applyAlignment="1">
      <alignment horizontal="center"/>
    </xf>
    <xf numFmtId="0" fontId="169" fillId="17" borderId="0" xfId="0" applyFont="1" applyFill="1" applyAlignment="1">
      <alignment horizontal="center"/>
    </xf>
    <xf numFmtId="170" fontId="167" fillId="0" borderId="0" xfId="0" applyNumberFormat="1" applyFont="1"/>
    <xf numFmtId="2" fontId="167" fillId="0" borderId="0" xfId="0" applyNumberFormat="1" applyFont="1"/>
    <xf numFmtId="2" fontId="167" fillId="3" borderId="0" xfId="0" applyNumberFormat="1" applyFont="1" applyFill="1"/>
    <xf numFmtId="2" fontId="167" fillId="18" borderId="0" xfId="0" applyNumberFormat="1" applyFont="1" applyFill="1"/>
    <xf numFmtId="0" fontId="169" fillId="0" borderId="0" xfId="0" applyFont="1"/>
    <xf numFmtId="1" fontId="166" fillId="0" borderId="0" xfId="0" applyNumberFormat="1" applyFont="1"/>
    <xf numFmtId="0" fontId="7" fillId="0" borderId="0" xfId="3" applyFont="1" applyAlignment="1" applyProtection="1">
      <alignment horizontal="center"/>
      <protection locked="0"/>
    </xf>
    <xf numFmtId="4" fontId="170" fillId="2" borderId="18" xfId="10" applyNumberFormat="1" applyFont="1" applyFill="1" applyBorder="1" applyAlignment="1">
      <alignment horizontal="right"/>
    </xf>
    <xf numFmtId="4" fontId="170" fillId="2" borderId="16" xfId="10" applyNumberFormat="1" applyFont="1" applyFill="1" applyBorder="1" applyAlignment="1">
      <alignment horizontal="right"/>
    </xf>
    <xf numFmtId="0" fontId="1" fillId="0" borderId="0" xfId="3" applyFont="1"/>
    <xf numFmtId="2" fontId="171" fillId="2" borderId="3" xfId="10" applyNumberFormat="1" applyFont="1" applyFill="1" applyBorder="1" applyAlignment="1">
      <alignment horizontal="center"/>
    </xf>
    <xf numFmtId="2" fontId="13" fillId="2" borderId="3" xfId="3" applyNumberFormat="1" applyFont="1" applyFill="1" applyBorder="1" applyAlignment="1" applyProtection="1">
      <alignment horizontal="center"/>
      <protection locked="0"/>
    </xf>
    <xf numFmtId="2" fontId="15" fillId="2" borderId="3" xfId="3" applyNumberFormat="1" applyFont="1" applyFill="1" applyBorder="1" applyAlignment="1" applyProtection="1">
      <alignment horizontal="center"/>
      <protection locked="0"/>
    </xf>
    <xf numFmtId="1" fontId="22" fillId="0" borderId="0" xfId="10" applyFont="1" applyAlignment="1" applyProtection="1">
      <alignment vertical="center"/>
      <protection locked="0"/>
    </xf>
    <xf numFmtId="1" fontId="22" fillId="0" borderId="0" xfId="10" applyFont="1" applyAlignment="1" applyProtection="1">
      <alignment horizontal="centerContinuous" vertical="center"/>
      <protection locked="0"/>
    </xf>
    <xf numFmtId="2" fontId="172" fillId="0" borderId="48" xfId="3" applyNumberFormat="1" applyFont="1" applyBorder="1" applyAlignment="1">
      <alignment horizontal="right"/>
    </xf>
    <xf numFmtId="2" fontId="173" fillId="0" borderId="0" xfId="3" applyNumberFormat="1" applyFont="1" applyAlignment="1">
      <alignment horizontal="left"/>
    </xf>
    <xf numFmtId="1" fontId="7" fillId="0" borderId="49" xfId="10" applyFont="1" applyBorder="1" applyProtection="1">
      <protection locked="0"/>
    </xf>
    <xf numFmtId="2" fontId="7" fillId="0" borderId="49" xfId="10" applyNumberFormat="1" applyFont="1" applyBorder="1" applyProtection="1">
      <protection locked="0"/>
    </xf>
    <xf numFmtId="1" fontId="15" fillId="0" borderId="49" xfId="10" applyFont="1" applyBorder="1" applyAlignment="1">
      <alignment horizontal="center"/>
    </xf>
    <xf numFmtId="1" fontId="15" fillId="0" borderId="49" xfId="10" applyFont="1" applyBorder="1"/>
    <xf numFmtId="2" fontId="7" fillId="0" borderId="50" xfId="10" applyNumberFormat="1" applyFont="1" applyBorder="1" applyProtection="1">
      <protection locked="0"/>
    </xf>
    <xf numFmtId="2" fontId="7" fillId="0" borderId="50" xfId="3" applyNumberFormat="1" applyFont="1" applyBorder="1"/>
    <xf numFmtId="2" fontId="7" fillId="0" borderId="50" xfId="10" applyNumberFormat="1" applyFont="1" applyBorder="1"/>
    <xf numFmtId="0" fontId="7" fillId="23" borderId="18" xfId="3" applyFont="1" applyFill="1" applyBorder="1" applyProtection="1">
      <protection locked="0"/>
    </xf>
    <xf numFmtId="4" fontId="27" fillId="3" borderId="18" xfId="3" applyNumberFormat="1" applyFont="1" applyFill="1" applyBorder="1" applyAlignment="1">
      <alignment horizontal="right"/>
    </xf>
    <xf numFmtId="4" fontId="27" fillId="3" borderId="14" xfId="3" applyNumberFormat="1" applyFont="1" applyFill="1" applyBorder="1" applyAlignment="1">
      <alignment horizontal="right"/>
    </xf>
    <xf numFmtId="4" fontId="27" fillId="3" borderId="16" xfId="3" applyNumberFormat="1" applyFont="1" applyFill="1" applyBorder="1" applyAlignment="1">
      <alignment horizontal="right"/>
    </xf>
    <xf numFmtId="1" fontId="7" fillId="0" borderId="0" xfId="3" applyNumberFormat="1" applyFont="1" applyAlignment="1" applyProtection="1">
      <alignment horizontal="center"/>
      <protection locked="0"/>
    </xf>
    <xf numFmtId="1" fontId="15" fillId="0" borderId="51" xfId="10" applyFont="1" applyBorder="1" applyProtection="1">
      <protection locked="0"/>
    </xf>
    <xf numFmtId="1" fontId="7" fillId="0" borderId="51" xfId="10" applyFont="1" applyBorder="1" applyAlignment="1">
      <alignment horizontal="center"/>
    </xf>
    <xf numFmtId="17" fontId="7" fillId="0" borderId="0" xfId="3" applyNumberFormat="1" applyFont="1" applyAlignment="1" applyProtection="1">
      <alignment horizontal="center"/>
      <protection locked="0"/>
    </xf>
    <xf numFmtId="2" fontId="7" fillId="0" borderId="0" xfId="3" applyNumberFormat="1" applyFont="1" applyAlignment="1" applyProtection="1">
      <alignment horizontal="center"/>
      <protection locked="0"/>
    </xf>
    <xf numFmtId="1" fontId="7" fillId="0" borderId="23" xfId="10" applyFont="1" applyBorder="1" applyAlignment="1" applyProtection="1">
      <alignment horizontal="right"/>
      <protection locked="0"/>
    </xf>
    <xf numFmtId="2" fontId="7" fillId="0" borderId="24" xfId="10" applyNumberFormat="1" applyFont="1" applyBorder="1" applyAlignment="1" applyProtection="1">
      <alignment horizontal="left"/>
      <protection locked="0"/>
    </xf>
    <xf numFmtId="166" fontId="7" fillId="0" borderId="49" xfId="10" applyNumberFormat="1" applyFont="1" applyBorder="1" applyProtection="1">
      <protection locked="0"/>
    </xf>
    <xf numFmtId="1" fontId="15" fillId="0" borderId="49" xfId="10" applyFont="1" applyBorder="1" applyProtection="1">
      <protection locked="0"/>
    </xf>
    <xf numFmtId="1" fontId="7" fillId="0" borderId="49" xfId="10" applyFont="1" applyBorder="1" applyAlignment="1">
      <alignment horizontal="center"/>
    </xf>
    <xf numFmtId="166" fontId="7" fillId="0" borderId="50" xfId="10" applyNumberFormat="1" applyFont="1" applyBorder="1" applyProtection="1">
      <protection locked="0"/>
    </xf>
    <xf numFmtId="2" fontId="7" fillId="3" borderId="52" xfId="10" applyNumberFormat="1" applyFont="1" applyFill="1" applyBorder="1"/>
    <xf numFmtId="1" fontId="7" fillId="0" borderId="50" xfId="10" applyFont="1" applyBorder="1" applyProtection="1">
      <protection locked="0"/>
    </xf>
    <xf numFmtId="4" fontId="13" fillId="3" borderId="53" xfId="3" applyNumberFormat="1" applyFont="1" applyFill="1" applyBorder="1"/>
    <xf numFmtId="0" fontId="7" fillId="2" borderId="3" xfId="3" applyFont="1" applyFill="1" applyBorder="1" applyProtection="1">
      <protection locked="0"/>
    </xf>
    <xf numFmtId="4" fontId="92" fillId="4" borderId="18" xfId="3" applyNumberFormat="1" applyFont="1" applyFill="1" applyBorder="1" applyAlignment="1">
      <alignment horizontal="left"/>
    </xf>
    <xf numFmtId="4" fontId="27" fillId="4" borderId="14" xfId="3" applyNumberFormat="1" applyFont="1" applyFill="1" applyBorder="1" applyAlignment="1">
      <alignment horizontal="right"/>
    </xf>
    <xf numFmtId="4" fontId="27" fillId="24" borderId="16" xfId="3" applyNumberFormat="1" applyFont="1" applyFill="1" applyBorder="1" applyAlignment="1">
      <alignment horizontal="right"/>
    </xf>
    <xf numFmtId="2" fontId="7" fillId="0" borderId="0" xfId="10" applyNumberFormat="1" applyFont="1"/>
    <xf numFmtId="1" fontId="7" fillId="0" borderId="18" xfId="10" applyFont="1" applyBorder="1" applyAlignment="1" applyProtection="1">
      <alignment horizontal="right"/>
      <protection locked="0"/>
    </xf>
    <xf numFmtId="2" fontId="7" fillId="0" borderId="16" xfId="10" applyNumberFormat="1" applyFont="1" applyBorder="1" applyAlignment="1" applyProtection="1">
      <alignment horizontal="left"/>
      <protection locked="0"/>
    </xf>
    <xf numFmtId="0" fontId="7" fillId="0" borderId="50" xfId="3" applyFont="1" applyBorder="1"/>
    <xf numFmtId="1" fontId="15" fillId="0" borderId="50" xfId="10" applyFont="1" applyBorder="1" applyProtection="1">
      <protection locked="0"/>
    </xf>
    <xf numFmtId="1" fontId="7" fillId="0" borderId="50" xfId="10" applyFont="1" applyBorder="1" applyAlignment="1">
      <alignment horizontal="center"/>
    </xf>
    <xf numFmtId="4" fontId="13" fillId="4" borderId="53" xfId="3" applyNumberFormat="1" applyFont="1" applyFill="1" applyBorder="1"/>
    <xf numFmtId="1" fontId="92" fillId="2" borderId="22" xfId="10" applyFont="1" applyFill="1" applyBorder="1" applyAlignment="1" applyProtection="1">
      <alignment vertical="center"/>
      <protection locked="0"/>
    </xf>
    <xf numFmtId="0" fontId="7" fillId="2" borderId="0" xfId="3" applyFont="1" applyFill="1"/>
    <xf numFmtId="2" fontId="15" fillId="0" borderId="0" xfId="3" applyNumberFormat="1" applyFont="1" applyAlignment="1">
      <alignment horizontal="right"/>
    </xf>
    <xf numFmtId="1" fontId="7" fillId="0" borderId="0" xfId="10" applyFont="1" applyAlignment="1">
      <alignment horizontal="center"/>
    </xf>
    <xf numFmtId="1" fontId="7" fillId="0" borderId="0" xfId="10" applyFont="1"/>
    <xf numFmtId="1" fontId="174" fillId="2" borderId="1" xfId="10" applyFont="1" applyFill="1" applyBorder="1" applyAlignment="1" applyProtection="1">
      <alignment horizontal="left" vertical="center"/>
      <protection locked="0"/>
    </xf>
    <xf numFmtId="0" fontId="7" fillId="2" borderId="1" xfId="3" applyFont="1" applyFill="1" applyBorder="1"/>
    <xf numFmtId="2" fontId="21" fillId="2" borderId="15" xfId="10" applyNumberFormat="1" applyFont="1" applyFill="1" applyBorder="1"/>
    <xf numFmtId="0" fontId="164" fillId="0" borderId="0" xfId="0" applyFont="1"/>
    <xf numFmtId="2" fontId="15" fillId="0" borderId="0" xfId="16" applyNumberFormat="1" applyFont="1" applyProtection="1">
      <protection locked="0"/>
    </xf>
    <xf numFmtId="1" fontId="15" fillId="0" borderId="0" xfId="16" applyFont="1" applyProtection="1">
      <protection locked="0"/>
    </xf>
    <xf numFmtId="1" fontId="15" fillId="2" borderId="0" xfId="16" applyFont="1" applyFill="1" applyProtection="1">
      <protection locked="0"/>
    </xf>
    <xf numFmtId="17" fontId="15" fillId="2" borderId="0" xfId="16" applyNumberFormat="1" applyFont="1" applyFill="1" applyProtection="1">
      <protection locked="0"/>
    </xf>
    <xf numFmtId="1" fontId="15" fillId="0" borderId="0" xfId="16" applyFont="1" applyAlignment="1" applyProtection="1">
      <alignment horizontal="center"/>
      <protection locked="0"/>
    </xf>
    <xf numFmtId="2" fontId="62" fillId="0" borderId="0" xfId="16" applyNumberFormat="1" applyFont="1"/>
    <xf numFmtId="2" fontId="7" fillId="3" borderId="0" xfId="16" applyNumberFormat="1" applyFont="1" applyFill="1"/>
    <xf numFmtId="2" fontId="7" fillId="3" borderId="0" xfId="10" applyNumberFormat="1" applyFont="1" applyFill="1"/>
    <xf numFmtId="1" fontId="7" fillId="0" borderId="0" xfId="16" applyFont="1" applyProtection="1">
      <protection locked="0"/>
    </xf>
    <xf numFmtId="1" fontId="7" fillId="0" borderId="0" xfId="16" applyFont="1" applyAlignment="1" applyProtection="1">
      <alignment horizontal="right"/>
      <protection locked="0"/>
    </xf>
    <xf numFmtId="2" fontId="7" fillId="0" borderId="0" xfId="16" applyNumberFormat="1" applyFont="1" applyProtection="1">
      <protection locked="0"/>
    </xf>
    <xf numFmtId="1" fontId="62" fillId="0" borderId="0" xfId="16" applyFont="1" applyProtection="1">
      <protection locked="0"/>
    </xf>
    <xf numFmtId="1" fontId="7" fillId="2" borderId="0" xfId="16" applyFont="1" applyFill="1" applyProtection="1">
      <protection locked="0"/>
    </xf>
    <xf numFmtId="17" fontId="7" fillId="2" borderId="0" xfId="16" applyNumberFormat="1" applyFont="1" applyFill="1" applyProtection="1">
      <protection locked="0"/>
    </xf>
    <xf numFmtId="1" fontId="7" fillId="0" borderId="0" xfId="16" applyFont="1" applyAlignment="1" applyProtection="1">
      <alignment horizontal="center"/>
      <protection locked="0"/>
    </xf>
    <xf numFmtId="2" fontId="62" fillId="3" borderId="0" xfId="16" applyNumberFormat="1" applyFont="1" applyFill="1"/>
    <xf numFmtId="2" fontId="175" fillId="0" borderId="0" xfId="0" applyNumberFormat="1" applyFont="1"/>
    <xf numFmtId="2" fontId="7" fillId="2" borderId="0" xfId="3" applyNumberFormat="1" applyFont="1" applyFill="1" applyAlignment="1" applyProtection="1">
      <alignment vertical="top"/>
      <protection locked="0"/>
    </xf>
    <xf numFmtId="2" fontId="15" fillId="14" borderId="3" xfId="10" applyNumberFormat="1" applyFont="1" applyFill="1" applyBorder="1" applyAlignment="1" applyProtection="1">
      <alignment horizontal="center" vertical="top"/>
      <protection locked="0"/>
    </xf>
    <xf numFmtId="1" fontId="7" fillId="0" borderId="0" xfId="10" applyFont="1" applyAlignment="1" applyProtection="1">
      <alignment horizontal="center" vertical="top"/>
      <protection locked="0"/>
    </xf>
    <xf numFmtId="1" fontId="62" fillId="0" borderId="0" xfId="10" applyFont="1" applyAlignment="1" applyProtection="1">
      <alignment horizontal="left" vertical="top"/>
      <protection locked="0"/>
    </xf>
    <xf numFmtId="1" fontId="14" fillId="0" borderId="0" xfId="10" applyFont="1" applyAlignment="1" applyProtection="1">
      <alignment vertical="top"/>
      <protection locked="0"/>
    </xf>
    <xf numFmtId="2" fontId="15" fillId="0" borderId="0" xfId="10" applyNumberFormat="1" applyFont="1" applyAlignment="1" applyProtection="1">
      <alignment vertical="top"/>
      <protection locked="0"/>
    </xf>
    <xf numFmtId="1" fontId="7" fillId="0" borderId="0" xfId="10" applyFont="1" applyAlignment="1" applyProtection="1">
      <alignment vertical="top"/>
      <protection locked="0"/>
    </xf>
    <xf numFmtId="2" fontId="15" fillId="3" borderId="0" xfId="3" applyNumberFormat="1" applyFont="1" applyFill="1" applyAlignment="1" applyProtection="1">
      <alignment vertical="top"/>
      <protection locked="0"/>
    </xf>
    <xf numFmtId="2" fontId="62" fillId="16" borderId="1" xfId="10" applyNumberFormat="1" applyFont="1" applyFill="1" applyBorder="1" applyAlignment="1">
      <alignment horizontal="right" vertical="top"/>
    </xf>
    <xf numFmtId="2" fontId="7" fillId="0" borderId="0" xfId="10" applyNumberFormat="1" applyFont="1" applyAlignment="1" applyProtection="1">
      <alignment horizontal="right" vertical="top"/>
      <protection locked="0"/>
    </xf>
    <xf numFmtId="1" fontId="13" fillId="0" borderId="1" xfId="10" applyFont="1" applyBorder="1" applyAlignment="1" applyProtection="1">
      <alignment horizontal="right"/>
      <protection locked="0"/>
    </xf>
    <xf numFmtId="1" fontId="7" fillId="0" borderId="1" xfId="10" applyFont="1" applyBorder="1" applyAlignment="1" applyProtection="1">
      <alignment horizontal="center"/>
      <protection locked="0"/>
    </xf>
    <xf numFmtId="2" fontId="65" fillId="3" borderId="15" xfId="10" applyNumberFormat="1" applyFont="1" applyFill="1" applyBorder="1" applyAlignment="1">
      <alignment horizontal="right"/>
    </xf>
    <xf numFmtId="1" fontId="7" fillId="0" borderId="1" xfId="10" applyFont="1" applyBorder="1" applyAlignment="1" applyProtection="1">
      <alignment horizontal="right"/>
      <protection locked="0"/>
    </xf>
    <xf numFmtId="0" fontId="1" fillId="0" borderId="3" xfId="0" applyFont="1" applyBorder="1" applyAlignment="1">
      <alignment horizontal="center"/>
    </xf>
    <xf numFmtId="0" fontId="176" fillId="0" borderId="0" xfId="3" applyFont="1" applyProtection="1">
      <protection locked="0"/>
    </xf>
    <xf numFmtId="1" fontId="0" fillId="3" borderId="0" xfId="0" applyNumberFormat="1" applyFill="1"/>
    <xf numFmtId="2" fontId="64" fillId="16" borderId="1" xfId="6" applyNumberFormat="1" applyFont="1" applyFill="1" applyBorder="1" applyAlignment="1">
      <alignment horizontal="right" vertical="top"/>
    </xf>
    <xf numFmtId="2" fontId="62" fillId="16" borderId="1" xfId="10" applyNumberFormat="1" applyFont="1" applyFill="1" applyBorder="1" applyAlignment="1">
      <alignment vertical="top"/>
    </xf>
    <xf numFmtId="2" fontId="64" fillId="16" borderId="1" xfId="6" applyNumberFormat="1" applyFont="1" applyFill="1" applyBorder="1" applyAlignment="1">
      <alignment vertical="top"/>
    </xf>
    <xf numFmtId="0" fontId="0" fillId="3" borderId="0" xfId="0" applyFill="1"/>
    <xf numFmtId="2" fontId="177" fillId="0" borderId="0" xfId="0" applyNumberFormat="1" applyFont="1"/>
    <xf numFmtId="1" fontId="178" fillId="0" borderId="0" xfId="10" applyFont="1" applyAlignment="1" applyProtection="1">
      <alignment horizontal="left" vertical="top"/>
      <protection locked="0"/>
    </xf>
    <xf numFmtId="0" fontId="179" fillId="0" borderId="0" xfId="3" applyFont="1"/>
    <xf numFmtId="9" fontId="4" fillId="0" borderId="0" xfId="3" applyNumberFormat="1"/>
    <xf numFmtId="0" fontId="7" fillId="3" borderId="0" xfId="0" applyFont="1" applyFill="1"/>
    <xf numFmtId="2" fontId="7" fillId="0" borderId="0" xfId="0" applyNumberFormat="1" applyFont="1" applyProtection="1">
      <protection locked="0"/>
    </xf>
    <xf numFmtId="2" fontId="7" fillId="0" borderId="0" xfId="0" applyNumberFormat="1" applyFont="1"/>
    <xf numFmtId="49" fontId="13" fillId="2" borderId="0" xfId="17" applyNumberFormat="1" applyFont="1" applyFill="1" applyAlignment="1" applyProtection="1">
      <alignment horizontal="center"/>
      <protection locked="0"/>
    </xf>
    <xf numFmtId="1" fontId="15" fillId="0" borderId="0" xfId="0" applyNumberFormat="1" applyFont="1" applyAlignment="1">
      <alignment horizontal="center"/>
    </xf>
    <xf numFmtId="17" fontId="7" fillId="2" borderId="0" xfId="17" applyNumberFormat="1" applyFont="1" applyFill="1" applyAlignment="1" applyProtection="1">
      <alignment horizontal="center"/>
      <protection locked="0"/>
    </xf>
    <xf numFmtId="2" fontId="159" fillId="0" borderId="0" xfId="0" applyNumberFormat="1" applyFont="1" applyAlignment="1" applyProtection="1">
      <alignment horizontal="center"/>
      <protection locked="0"/>
    </xf>
    <xf numFmtId="49" fontId="13" fillId="2" borderId="0" xfId="0" applyNumberFormat="1" applyFont="1" applyFill="1" applyAlignment="1" applyProtection="1">
      <alignment horizontal="center"/>
      <protection locked="0"/>
    </xf>
    <xf numFmtId="1" fontId="15" fillId="0" borderId="0" xfId="0" applyNumberFormat="1" applyFont="1" applyAlignment="1" applyProtection="1">
      <alignment horizontal="center"/>
      <protection locked="0"/>
    </xf>
    <xf numFmtId="17" fontId="7" fillId="2" borderId="0" xfId="0" applyNumberFormat="1" applyFont="1" applyFill="1" applyAlignment="1" applyProtection="1">
      <alignment horizontal="center"/>
      <protection locked="0"/>
    </xf>
    <xf numFmtId="2" fontId="159" fillId="25" borderId="0" xfId="0" applyNumberFormat="1" applyFont="1" applyFill="1"/>
    <xf numFmtId="0" fontId="7" fillId="3" borderId="0" xfId="3" applyFont="1" applyFill="1" applyProtection="1">
      <protection locked="0"/>
    </xf>
    <xf numFmtId="0" fontId="180" fillId="0" borderId="0" xfId="0" applyFont="1"/>
    <xf numFmtId="0" fontId="181" fillId="0" borderId="0" xfId="3" applyFont="1"/>
    <xf numFmtId="0" fontId="155" fillId="0" borderId="0" xfId="0" applyFont="1"/>
    <xf numFmtId="1" fontId="178" fillId="0" borderId="0" xfId="10" applyFont="1" applyProtection="1">
      <protection locked="0"/>
    </xf>
    <xf numFmtId="0" fontId="0" fillId="0" borderId="0" xfId="0" applyAlignment="1">
      <alignment vertical="top" wrapText="1"/>
    </xf>
    <xf numFmtId="0" fontId="163" fillId="0" borderId="0" xfId="0" applyFont="1" applyProtection="1">
      <protection locked="0"/>
    </xf>
    <xf numFmtId="0" fontId="183" fillId="0" borderId="0" xfId="0" applyFont="1"/>
    <xf numFmtId="1" fontId="185" fillId="0" borderId="0" xfId="10" applyFont="1" applyAlignment="1" applyProtection="1">
      <alignment horizontal="left" vertical="top" wrapText="1"/>
      <protection locked="0"/>
    </xf>
    <xf numFmtId="1" fontId="185" fillId="0" borderId="0" xfId="10" applyFont="1" applyAlignment="1" applyProtection="1">
      <alignment horizontal="left"/>
      <protection locked="0"/>
    </xf>
    <xf numFmtId="1" fontId="22" fillId="0" borderId="13" xfId="10" applyFont="1" applyBorder="1" applyAlignment="1" applyProtection="1">
      <alignment vertical="center"/>
      <protection locked="0"/>
    </xf>
    <xf numFmtId="1" fontId="22" fillId="0" borderId="13" xfId="10" applyFont="1" applyBorder="1" applyAlignment="1" applyProtection="1">
      <alignment horizontal="centerContinuous" vertical="center"/>
      <protection locked="0"/>
    </xf>
    <xf numFmtId="2" fontId="172" fillId="0" borderId="54" xfId="3" applyNumberFormat="1" applyFont="1" applyBorder="1" applyAlignment="1">
      <alignment horizontal="right"/>
    </xf>
    <xf numFmtId="2" fontId="173" fillId="0" borderId="49" xfId="3" applyNumberFormat="1" applyFont="1" applyBorder="1" applyAlignment="1">
      <alignment horizontal="left"/>
    </xf>
    <xf numFmtId="4" fontId="27" fillId="12" borderId="18" xfId="3" applyNumberFormat="1" applyFont="1" applyFill="1" applyBorder="1" applyAlignment="1">
      <alignment horizontal="right"/>
    </xf>
    <xf numFmtId="2" fontId="7" fillId="12" borderId="14" xfId="3" applyNumberFormat="1" applyFont="1" applyFill="1" applyBorder="1" applyProtection="1">
      <protection locked="0"/>
    </xf>
    <xf numFmtId="4" fontId="27" fillId="12" borderId="14" xfId="3" applyNumberFormat="1" applyFont="1" applyFill="1" applyBorder="1" applyAlignment="1">
      <alignment horizontal="right"/>
    </xf>
    <xf numFmtId="4" fontId="27" fillId="12" borderId="16" xfId="3" applyNumberFormat="1" applyFont="1" applyFill="1" applyBorder="1" applyAlignment="1">
      <alignment horizontal="right"/>
    </xf>
    <xf numFmtId="4" fontId="92" fillId="5" borderId="18" xfId="3" applyNumberFormat="1" applyFont="1" applyFill="1" applyBorder="1" applyAlignment="1">
      <alignment horizontal="left"/>
    </xf>
    <xf numFmtId="1" fontId="7" fillId="5" borderId="14" xfId="10" applyFont="1" applyFill="1" applyBorder="1" applyProtection="1">
      <protection locked="0"/>
    </xf>
    <xf numFmtId="4" fontId="27" fillId="5" borderId="14" xfId="3" applyNumberFormat="1" applyFont="1" applyFill="1" applyBorder="1" applyAlignment="1">
      <alignment horizontal="right"/>
    </xf>
    <xf numFmtId="4" fontId="27" fillId="26" borderId="16" xfId="3" applyNumberFormat="1" applyFont="1" applyFill="1" applyBorder="1" applyAlignment="1">
      <alignment horizontal="right"/>
    </xf>
    <xf numFmtId="1" fontId="15" fillId="0" borderId="55" xfId="10" applyFont="1" applyBorder="1" applyProtection="1">
      <protection locked="0"/>
    </xf>
    <xf numFmtId="1" fontId="62" fillId="0" borderId="0" xfId="10" applyFont="1" applyProtection="1">
      <protection locked="0"/>
    </xf>
    <xf numFmtId="2" fontId="7" fillId="0" borderId="0" xfId="10" applyNumberFormat="1" applyFont="1" applyAlignment="1" applyProtection="1">
      <alignment horizontal="center"/>
      <protection locked="0"/>
    </xf>
    <xf numFmtId="4" fontId="13" fillId="5" borderId="53" xfId="3" applyNumberFormat="1" applyFont="1" applyFill="1" applyBorder="1"/>
    <xf numFmtId="1" fontId="18" fillId="0" borderId="1" xfId="10" applyFont="1" applyBorder="1" applyProtection="1">
      <protection locked="0"/>
    </xf>
    <xf numFmtId="180" fontId="1" fillId="0" borderId="22" xfId="14" applyNumberFormat="1" applyFont="1" applyBorder="1" applyAlignment="1">
      <alignment horizontal="centerContinuous"/>
    </xf>
    <xf numFmtId="180" fontId="1" fillId="0" borderId="22" xfId="14" applyNumberFormat="1" applyFont="1" applyBorder="1" applyAlignment="1" applyProtection="1">
      <alignment horizontal="centerContinuous"/>
      <protection locked="0"/>
    </xf>
    <xf numFmtId="180" fontId="1" fillId="0" borderId="24" xfId="14" applyNumberFormat="1" applyFont="1" applyBorder="1" applyAlignment="1" applyProtection="1">
      <alignment horizontal="centerContinuous"/>
      <protection locked="0"/>
    </xf>
    <xf numFmtId="0" fontId="156" fillId="0" borderId="0" xfId="14" applyFont="1" applyAlignment="1">
      <alignment horizontal="center"/>
    </xf>
    <xf numFmtId="0" fontId="156" fillId="0" borderId="0" xfId="14" applyFont="1"/>
    <xf numFmtId="0" fontId="154" fillId="0" borderId="0" xfId="14"/>
    <xf numFmtId="0" fontId="1" fillId="0" borderId="0" xfId="14" applyFont="1" applyAlignment="1">
      <alignment horizontal="centerContinuous"/>
    </xf>
    <xf numFmtId="0" fontId="1" fillId="0" borderId="0" xfId="14" applyFont="1" applyAlignment="1" applyProtection="1">
      <alignment horizontal="centerContinuous"/>
      <protection locked="0"/>
    </xf>
    <xf numFmtId="0" fontId="1" fillId="0" borderId="19" xfId="14" applyFont="1" applyBorder="1" applyAlignment="1" applyProtection="1">
      <alignment horizontal="centerContinuous"/>
      <protection locked="0"/>
    </xf>
    <xf numFmtId="180" fontId="162" fillId="0" borderId="17" xfId="14" applyNumberFormat="1" applyFont="1" applyBorder="1" applyAlignment="1">
      <alignment horizontal="centerContinuous"/>
    </xf>
    <xf numFmtId="1" fontId="4" fillId="0" borderId="0" xfId="14" applyNumberFormat="1" applyFont="1" applyAlignment="1">
      <alignment horizontal="centerContinuous"/>
    </xf>
    <xf numFmtId="180" fontId="15" fillId="0" borderId="17" xfId="14" applyNumberFormat="1" applyFont="1" applyBorder="1"/>
    <xf numFmtId="0" fontId="4" fillId="0" borderId="0" xfId="14" applyFont="1"/>
    <xf numFmtId="1" fontId="4" fillId="0" borderId="0" xfId="14" applyNumberFormat="1" applyFont="1"/>
    <xf numFmtId="0" fontId="1" fillId="0" borderId="0" xfId="14" applyFont="1" applyProtection="1">
      <protection locked="0"/>
    </xf>
    <xf numFmtId="0" fontId="1" fillId="0" borderId="19" xfId="14" applyFont="1" applyBorder="1" applyProtection="1">
      <protection locked="0"/>
    </xf>
    <xf numFmtId="180" fontId="1" fillId="0" borderId="4" xfId="14" applyNumberFormat="1" applyFont="1" applyBorder="1" applyAlignment="1">
      <alignment horizontal="center"/>
    </xf>
    <xf numFmtId="4" fontId="1" fillId="0" borderId="33" xfId="14" applyNumberFormat="1" applyFont="1" applyBorder="1" applyAlignment="1">
      <alignment horizontal="centerContinuous"/>
    </xf>
    <xf numFmtId="4" fontId="1" fillId="0" borderId="4" xfId="14" applyNumberFormat="1" applyFont="1" applyBorder="1" applyAlignment="1">
      <alignment horizontal="center"/>
    </xf>
    <xf numFmtId="1" fontId="1" fillId="0" borderId="4" xfId="14" applyNumberFormat="1" applyFont="1" applyBorder="1" applyAlignment="1">
      <alignment horizontal="center"/>
    </xf>
    <xf numFmtId="4" fontId="1" fillId="0" borderId="4" xfId="14" applyNumberFormat="1" applyFont="1" applyBorder="1" applyAlignment="1" applyProtection="1">
      <alignment horizontal="center"/>
      <protection locked="0"/>
    </xf>
    <xf numFmtId="4" fontId="1" fillId="0" borderId="6" xfId="14" applyNumberFormat="1" applyFont="1" applyBorder="1" applyAlignment="1" applyProtection="1">
      <alignment horizontal="center"/>
      <protection locked="0"/>
    </xf>
    <xf numFmtId="180" fontId="4" fillId="0" borderId="10" xfId="14" applyNumberFormat="1" applyFont="1" applyBorder="1" applyAlignment="1">
      <alignment horizontal="center" vertical="center"/>
    </xf>
    <xf numFmtId="0" fontId="4" fillId="0" borderId="24" xfId="14" applyFont="1" applyBorder="1" applyAlignment="1">
      <alignment horizontal="left" vertical="center"/>
    </xf>
    <xf numFmtId="0" fontId="4" fillId="0" borderId="10" xfId="14" applyFont="1" applyBorder="1" applyAlignment="1">
      <alignment horizontal="center"/>
    </xf>
    <xf numFmtId="1" fontId="4" fillId="0" borderId="10" xfId="14" applyNumberFormat="1" applyFont="1" applyBorder="1" applyAlignment="1">
      <alignment horizontal="center"/>
    </xf>
    <xf numFmtId="2" fontId="1" fillId="0" borderId="10" xfId="14" applyNumberFormat="1" applyFont="1" applyBorder="1" applyAlignment="1" applyProtection="1">
      <alignment horizontal="center"/>
      <protection locked="0"/>
    </xf>
    <xf numFmtId="2" fontId="1" fillId="0" borderId="19" xfId="14" applyNumberFormat="1" applyFont="1" applyBorder="1" applyAlignment="1" applyProtection="1">
      <alignment horizontal="center"/>
      <protection locked="0"/>
    </xf>
    <xf numFmtId="1" fontId="4" fillId="0" borderId="17" xfId="14" applyNumberFormat="1" applyFont="1" applyBorder="1" applyAlignment="1">
      <alignment horizontal="center" vertical="center"/>
    </xf>
    <xf numFmtId="4" fontId="47" fillId="0" borderId="19" xfId="14" applyNumberFormat="1" applyFont="1" applyBorder="1" applyAlignment="1">
      <alignment horizontal="left" vertical="top" wrapText="1"/>
    </xf>
    <xf numFmtId="4" fontId="1" fillId="0" borderId="17" xfId="14" applyNumberFormat="1" applyFont="1" applyBorder="1" applyAlignment="1">
      <alignment horizontal="center"/>
    </xf>
    <xf numFmtId="1" fontId="1" fillId="0" borderId="17" xfId="14" applyNumberFormat="1" applyFont="1" applyBorder="1" applyAlignment="1">
      <alignment horizontal="center"/>
    </xf>
    <xf numFmtId="4" fontId="1" fillId="0" borderId="17" xfId="14" applyNumberFormat="1" applyFont="1" applyBorder="1" applyAlignment="1" applyProtection="1">
      <alignment horizontal="right"/>
      <protection locked="0"/>
    </xf>
    <xf numFmtId="4" fontId="1" fillId="0" borderId="25" xfId="14" applyNumberFormat="1" applyFont="1" applyBorder="1" applyAlignment="1" applyProtection="1">
      <alignment horizontal="right"/>
      <protection locked="0"/>
    </xf>
    <xf numFmtId="0" fontId="1" fillId="0" borderId="0" xfId="14" applyFont="1" applyAlignment="1">
      <alignment horizontal="center"/>
    </xf>
    <xf numFmtId="4" fontId="28" fillId="0" borderId="0" xfId="14" applyNumberFormat="1" applyFont="1" applyAlignment="1">
      <alignment horizontal="left" vertical="top" wrapText="1"/>
    </xf>
    <xf numFmtId="4" fontId="28" fillId="0" borderId="19" xfId="14" applyNumberFormat="1" applyFont="1" applyBorder="1" applyAlignment="1">
      <alignment horizontal="left" vertical="top" wrapText="1"/>
    </xf>
    <xf numFmtId="4" fontId="1" fillId="0" borderId="0" xfId="14" applyNumberFormat="1" applyFont="1" applyAlignment="1">
      <alignment horizontal="center"/>
    </xf>
    <xf numFmtId="181" fontId="1" fillId="0" borderId="0" xfId="14" applyNumberFormat="1" applyFont="1" applyAlignment="1">
      <alignment horizontal="center"/>
    </xf>
    <xf numFmtId="4" fontId="4" fillId="0" borderId="0" xfId="14" applyNumberFormat="1" applyFont="1" applyAlignment="1">
      <alignment horizontal="left" wrapText="1"/>
    </xf>
    <xf numFmtId="0" fontId="4" fillId="0" borderId="0" xfId="14" applyFont="1" applyAlignment="1">
      <alignment wrapText="1"/>
    </xf>
    <xf numFmtId="180" fontId="4" fillId="0" borderId="17" xfId="14" applyNumberFormat="1" applyFont="1" applyBorder="1" applyAlignment="1">
      <alignment horizontal="center" vertical="center"/>
    </xf>
    <xf numFmtId="1" fontId="4" fillId="0" borderId="0" xfId="14" applyNumberFormat="1" applyFont="1" applyAlignment="1">
      <alignment horizontal="justify" vertical="center"/>
    </xf>
    <xf numFmtId="4" fontId="1" fillId="0" borderId="0" xfId="14" applyNumberFormat="1" applyFont="1" applyAlignment="1">
      <alignment vertical="top" wrapText="1"/>
    </xf>
    <xf numFmtId="4" fontId="4" fillId="0" borderId="19" xfId="14" applyNumberFormat="1" applyFont="1" applyBorder="1" applyAlignment="1" applyProtection="1">
      <alignment horizontal="right"/>
      <protection locked="0"/>
    </xf>
    <xf numFmtId="180" fontId="4" fillId="0" borderId="25" xfId="14" applyNumberFormat="1" applyFont="1" applyBorder="1" applyAlignment="1">
      <alignment horizontal="center" vertical="center"/>
    </xf>
    <xf numFmtId="0" fontId="4" fillId="0" borderId="19" xfId="14" applyFont="1" applyBorder="1" applyAlignment="1">
      <alignment horizontal="left" vertical="center"/>
    </xf>
    <xf numFmtId="0" fontId="4" fillId="0" borderId="25" xfId="14" applyFont="1" applyBorder="1" applyAlignment="1">
      <alignment horizontal="center"/>
    </xf>
    <xf numFmtId="1" fontId="4" fillId="0" borderId="25" xfId="14" applyNumberFormat="1" applyFont="1" applyBorder="1" applyAlignment="1">
      <alignment horizontal="center"/>
    </xf>
    <xf numFmtId="2" fontId="1" fillId="0" borderId="25" xfId="14" applyNumberFormat="1" applyFont="1" applyBorder="1" applyAlignment="1" applyProtection="1">
      <alignment horizontal="center"/>
      <protection locked="0"/>
    </xf>
    <xf numFmtId="180" fontId="4" fillId="0" borderId="45" xfId="14" applyNumberFormat="1" applyFont="1" applyBorder="1" applyAlignment="1">
      <alignment horizontal="center"/>
    </xf>
    <xf numFmtId="0" fontId="4" fillId="0" borderId="28" xfId="14" applyFont="1" applyBorder="1" applyAlignment="1">
      <alignment horizontal="left"/>
    </xf>
    <xf numFmtId="0" fontId="4" fillId="0" borderId="28" xfId="14" applyFont="1" applyBorder="1" applyAlignment="1">
      <alignment horizontal="center"/>
    </xf>
    <xf numFmtId="1" fontId="4" fillId="0" borderId="28" xfId="14" applyNumberFormat="1" applyFont="1" applyBorder="1" applyAlignment="1">
      <alignment horizontal="center"/>
    </xf>
    <xf numFmtId="2" fontId="1" fillId="0" borderId="46" xfId="14" applyNumberFormat="1" applyFont="1" applyBorder="1" applyAlignment="1" applyProtection="1">
      <alignment horizontal="center"/>
      <protection locked="0"/>
    </xf>
    <xf numFmtId="180" fontId="4" fillId="0" borderId="25" xfId="14" applyNumberFormat="1" applyFont="1" applyBorder="1" applyAlignment="1">
      <alignment horizontal="center"/>
    </xf>
    <xf numFmtId="4" fontId="1" fillId="0" borderId="0" xfId="14" applyNumberFormat="1" applyFont="1" applyAlignment="1">
      <alignment horizontal="left" vertical="center"/>
    </xf>
    <xf numFmtId="0" fontId="4" fillId="0" borderId="0" xfId="14" applyFont="1" applyAlignment="1">
      <alignment horizontal="center"/>
    </xf>
    <xf numFmtId="1" fontId="4" fillId="0" borderId="0" xfId="14" applyNumberFormat="1" applyFont="1" applyAlignment="1">
      <alignment horizontal="center"/>
    </xf>
    <xf numFmtId="43" fontId="1" fillId="0" borderId="19" xfId="15" applyFont="1" applyBorder="1" applyAlignment="1" applyProtection="1">
      <alignment horizontal="center"/>
      <protection locked="0"/>
    </xf>
    <xf numFmtId="180" fontId="4" fillId="0" borderId="11" xfId="14" applyNumberFormat="1" applyFont="1" applyBorder="1" applyAlignment="1">
      <alignment horizontal="center"/>
    </xf>
    <xf numFmtId="0" fontId="4" fillId="0" borderId="13" xfId="14" applyFont="1" applyBorder="1" applyAlignment="1">
      <alignment horizontal="left"/>
    </xf>
    <xf numFmtId="0" fontId="4" fillId="0" borderId="13" xfId="14" applyFont="1" applyBorder="1" applyAlignment="1">
      <alignment horizontal="center"/>
    </xf>
    <xf numFmtId="1" fontId="4" fillId="0" borderId="13" xfId="14" applyNumberFormat="1" applyFont="1" applyBorder="1" applyAlignment="1">
      <alignment horizontal="center"/>
    </xf>
    <xf numFmtId="2" fontId="1" fillId="0" borderId="21" xfId="14" applyNumberFormat="1" applyFont="1" applyBorder="1" applyAlignment="1" applyProtection="1">
      <alignment horizontal="center"/>
      <protection locked="0"/>
    </xf>
    <xf numFmtId="180" fontId="1" fillId="0" borderId="23" xfId="14" applyNumberFormat="1" applyFont="1" applyBorder="1" applyAlignment="1">
      <alignment horizontal="centerContinuous" vertical="center"/>
    </xf>
    <xf numFmtId="0" fontId="4" fillId="0" borderId="22" xfId="14" applyFont="1" applyBorder="1" applyAlignment="1">
      <alignment horizontal="centerContinuous" vertical="center"/>
    </xf>
    <xf numFmtId="1" fontId="4" fillId="0" borderId="22" xfId="14" applyNumberFormat="1" applyFont="1" applyBorder="1" applyAlignment="1">
      <alignment horizontal="centerContinuous" vertical="center"/>
    </xf>
    <xf numFmtId="2" fontId="1" fillId="0" borderId="22" xfId="14" applyNumberFormat="1" applyFont="1" applyBorder="1" applyAlignment="1" applyProtection="1">
      <alignment horizontal="centerContinuous" vertical="center"/>
      <protection locked="0"/>
    </xf>
    <xf numFmtId="2" fontId="1" fillId="0" borderId="24" xfId="14" applyNumberFormat="1" applyFont="1" applyBorder="1" applyAlignment="1" applyProtection="1">
      <alignment horizontal="centerContinuous" vertical="center"/>
      <protection locked="0"/>
    </xf>
    <xf numFmtId="180" fontId="1" fillId="0" borderId="17" xfId="14" applyNumberFormat="1" applyFont="1" applyBorder="1" applyAlignment="1">
      <alignment horizontal="centerContinuous" vertical="center"/>
    </xf>
    <xf numFmtId="0" fontId="4" fillId="0" borderId="0" xfId="14" applyFont="1" applyAlignment="1">
      <alignment horizontal="centerContinuous" vertical="center"/>
    </xf>
    <xf numFmtId="1" fontId="4" fillId="0" borderId="0" xfId="14" applyNumberFormat="1" applyFont="1" applyAlignment="1">
      <alignment horizontal="centerContinuous" vertical="center"/>
    </xf>
    <xf numFmtId="2" fontId="1" fillId="0" borderId="0" xfId="14" applyNumberFormat="1" applyFont="1" applyAlignment="1" applyProtection="1">
      <alignment horizontal="centerContinuous" vertical="center"/>
      <protection locked="0"/>
    </xf>
    <xf numFmtId="2" fontId="1" fillId="0" borderId="19" xfId="14" applyNumberFormat="1" applyFont="1" applyBorder="1" applyAlignment="1" applyProtection="1">
      <alignment horizontal="centerContinuous" vertical="center"/>
      <protection locked="0"/>
    </xf>
    <xf numFmtId="180" fontId="4" fillId="0" borderId="17" xfId="14" applyNumberFormat="1" applyFont="1" applyBorder="1" applyAlignment="1">
      <alignment horizontal="center"/>
    </xf>
    <xf numFmtId="0" fontId="4" fillId="0" borderId="0" xfId="14" applyFont="1" applyAlignment="1">
      <alignment horizontal="left"/>
    </xf>
    <xf numFmtId="2" fontId="1" fillId="0" borderId="0" xfId="14" applyNumberFormat="1" applyFont="1" applyAlignment="1" applyProtection="1">
      <alignment horizontal="center"/>
      <protection locked="0"/>
    </xf>
    <xf numFmtId="4" fontId="28" fillId="0" borderId="0" xfId="14" applyNumberFormat="1" applyFont="1" applyAlignment="1">
      <alignment horizontal="left" wrapText="1"/>
    </xf>
    <xf numFmtId="181" fontId="156" fillId="0" borderId="0" xfId="14" applyNumberFormat="1" applyFont="1" applyAlignment="1">
      <alignment horizontal="center"/>
    </xf>
    <xf numFmtId="4" fontId="4" fillId="0" borderId="17" xfId="14" applyNumberFormat="1" applyFont="1" applyBorder="1" applyAlignment="1">
      <alignment horizontal="center" vertical="center"/>
    </xf>
    <xf numFmtId="4" fontId="4" fillId="0" borderId="17" xfId="14" applyNumberFormat="1" applyFont="1" applyBorder="1" applyAlignment="1" applyProtection="1">
      <alignment vertical="center"/>
      <protection locked="0"/>
    </xf>
    <xf numFmtId="180" fontId="4" fillId="0" borderId="25" xfId="14" applyNumberFormat="1" applyFont="1" applyBorder="1" applyAlignment="1">
      <alignment horizontal="center" vertical="top"/>
    </xf>
    <xf numFmtId="2" fontId="4" fillId="0" borderId="25" xfId="14" applyNumberFormat="1" applyFont="1" applyBorder="1" applyAlignment="1" applyProtection="1">
      <alignment horizontal="center"/>
      <protection locked="0"/>
    </xf>
    <xf numFmtId="180" fontId="4" fillId="0" borderId="56" xfId="14" applyNumberFormat="1" applyFont="1" applyBorder="1" applyAlignment="1">
      <alignment horizontal="center" vertical="center"/>
    </xf>
    <xf numFmtId="2" fontId="4" fillId="0" borderId="56" xfId="14" applyNumberFormat="1" applyFont="1" applyBorder="1" applyAlignment="1" applyProtection="1">
      <alignment horizontal="center"/>
      <protection locked="0"/>
    </xf>
    <xf numFmtId="2" fontId="4" fillId="0" borderId="19" xfId="14" applyNumberFormat="1" applyFont="1" applyBorder="1" applyAlignment="1" applyProtection="1">
      <alignment horizontal="center"/>
      <protection locked="0"/>
    </xf>
    <xf numFmtId="4" fontId="28" fillId="0" borderId="19" xfId="14" applyNumberFormat="1" applyFont="1" applyBorder="1" applyAlignment="1">
      <alignment horizontal="left" vertical="top"/>
    </xf>
    <xf numFmtId="3" fontId="4" fillId="0" borderId="17" xfId="14" applyNumberFormat="1" applyFont="1" applyBorder="1" applyAlignment="1">
      <alignment horizontal="center"/>
    </xf>
    <xf numFmtId="180" fontId="154" fillId="0" borderId="25" xfId="14" applyNumberFormat="1" applyBorder="1"/>
    <xf numFmtId="0" fontId="154" fillId="0" borderId="25" xfId="14" applyBorder="1"/>
    <xf numFmtId="1" fontId="154" fillId="0" borderId="25" xfId="14" applyNumberFormat="1" applyBorder="1"/>
    <xf numFmtId="0" fontId="156" fillId="0" borderId="25" xfId="14" applyFont="1" applyBorder="1" applyProtection="1">
      <protection locked="0"/>
    </xf>
    <xf numFmtId="180" fontId="154" fillId="0" borderId="56" xfId="14" applyNumberFormat="1" applyBorder="1"/>
    <xf numFmtId="0" fontId="154" fillId="0" borderId="56" xfId="14" applyBorder="1"/>
    <xf numFmtId="1" fontId="154" fillId="0" borderId="56" xfId="14" applyNumberFormat="1" applyBorder="1"/>
    <xf numFmtId="0" fontId="156" fillId="0" borderId="56" xfId="14" applyFont="1" applyBorder="1" applyProtection="1">
      <protection locked="0"/>
    </xf>
    <xf numFmtId="0" fontId="4" fillId="0" borderId="0" xfId="14" applyFont="1" applyAlignment="1">
      <alignment horizontal="left" vertical="center"/>
    </xf>
    <xf numFmtId="0" fontId="4" fillId="0" borderId="0" xfId="14" applyFont="1" applyAlignment="1">
      <alignment horizontal="justify" vertical="center"/>
    </xf>
    <xf numFmtId="4" fontId="4" fillId="0" borderId="25" xfId="14" applyNumberFormat="1" applyFont="1" applyBorder="1" applyAlignment="1">
      <alignment horizontal="center"/>
    </xf>
    <xf numFmtId="0" fontId="154" fillId="0" borderId="19" xfId="14" applyBorder="1"/>
    <xf numFmtId="1" fontId="4" fillId="0" borderId="19" xfId="14" applyNumberFormat="1" applyFont="1" applyBorder="1" applyAlignment="1">
      <alignment horizontal="justify" vertical="center"/>
    </xf>
    <xf numFmtId="0" fontId="4" fillId="0" borderId="56" xfId="14" applyFont="1" applyBorder="1" applyAlignment="1">
      <alignment horizontal="center"/>
    </xf>
    <xf numFmtId="1" fontId="4" fillId="0" borderId="56" xfId="14" applyNumberFormat="1" applyFont="1" applyBorder="1" applyAlignment="1">
      <alignment horizontal="center"/>
    </xf>
    <xf numFmtId="2" fontId="1" fillId="0" borderId="56" xfId="14" applyNumberFormat="1" applyFont="1" applyBorder="1" applyAlignment="1" applyProtection="1">
      <alignment horizontal="center"/>
      <protection locked="0"/>
    </xf>
    <xf numFmtId="180" fontId="4" fillId="0" borderId="45" xfId="14" applyNumberFormat="1" applyFont="1" applyBorder="1" applyAlignment="1">
      <alignment horizontal="center" vertical="center"/>
    </xf>
    <xf numFmtId="0" fontId="4" fillId="0" borderId="0" xfId="14" applyFont="1" applyAlignment="1">
      <alignment horizontal="justify" vertical="top"/>
    </xf>
    <xf numFmtId="0" fontId="154" fillId="0" borderId="17" xfId="14" applyBorder="1"/>
    <xf numFmtId="4" fontId="40" fillId="0" borderId="19" xfId="14" applyNumberFormat="1" applyFont="1" applyBorder="1" applyAlignment="1">
      <alignment horizontal="left" vertical="top" wrapText="1"/>
    </xf>
    <xf numFmtId="4" fontId="4" fillId="0" borderId="0" xfId="14" applyNumberFormat="1" applyFont="1" applyAlignment="1">
      <alignment wrapText="1"/>
    </xf>
    <xf numFmtId="180" fontId="154" fillId="0" borderId="0" xfId="14" applyNumberFormat="1"/>
    <xf numFmtId="1" fontId="154" fillId="0" borderId="0" xfId="14" applyNumberFormat="1"/>
    <xf numFmtId="0" fontId="156" fillId="0" borderId="0" xfId="14" applyFont="1" applyProtection="1">
      <protection locked="0"/>
    </xf>
    <xf numFmtId="180" fontId="1" fillId="0" borderId="23" xfId="14" applyNumberFormat="1" applyFont="1" applyBorder="1" applyAlignment="1">
      <alignment horizontal="center"/>
    </xf>
    <xf numFmtId="180" fontId="1" fillId="0" borderId="17" xfId="14" applyNumberFormat="1" applyFont="1" applyBorder="1" applyAlignment="1">
      <alignment horizontal="center"/>
    </xf>
    <xf numFmtId="0" fontId="167" fillId="17" borderId="0" xfId="0" applyFont="1" applyFill="1" applyAlignment="1">
      <alignment horizontal="center"/>
    </xf>
    <xf numFmtId="0" fontId="28" fillId="0" borderId="0" xfId="0" applyFont="1" applyAlignment="1">
      <alignment horizontal="centerContinuous" vertical="top"/>
    </xf>
    <xf numFmtId="0" fontId="1" fillId="0" borderId="0" xfId="0" applyFont="1" applyAlignment="1">
      <alignment vertical="top"/>
    </xf>
    <xf numFmtId="4" fontId="4" fillId="0" borderId="13" xfId="0" applyNumberFormat="1" applyFont="1" applyBorder="1" applyAlignment="1">
      <alignment vertical="top"/>
    </xf>
    <xf numFmtId="4" fontId="1" fillId="0" borderId="12" xfId="0" applyNumberFormat="1" applyFont="1" applyBorder="1" applyAlignment="1">
      <alignment vertical="top"/>
    </xf>
    <xf numFmtId="0" fontId="155" fillId="0" borderId="0" xfId="0" applyFont="1" applyAlignment="1">
      <alignment vertical="top"/>
    </xf>
    <xf numFmtId="164" fontId="4" fillId="0" borderId="0" xfId="1" applyFont="1" applyAlignment="1">
      <alignment vertical="top"/>
    </xf>
    <xf numFmtId="4" fontId="1" fillId="0" borderId="0" xfId="0" applyNumberFormat="1" applyFont="1" applyAlignment="1">
      <alignment horizontal="right" vertical="top"/>
    </xf>
    <xf numFmtId="4" fontId="1" fillId="0" borderId="1" xfId="0" applyNumberFormat="1" applyFont="1" applyBorder="1" applyAlignment="1">
      <alignment vertical="top"/>
    </xf>
    <xf numFmtId="0" fontId="188" fillId="0" borderId="0" xfId="18" applyAlignment="1">
      <alignment vertical="top"/>
    </xf>
    <xf numFmtId="0" fontId="188" fillId="0" borderId="0" xfId="18" applyAlignment="1" applyProtection="1">
      <alignment vertical="top"/>
      <protection locked="0"/>
    </xf>
    <xf numFmtId="1" fontId="188" fillId="0" borderId="0" xfId="18" applyNumberFormat="1" applyAlignment="1">
      <alignment vertical="top"/>
    </xf>
    <xf numFmtId="180" fontId="189" fillId="0" borderId="0" xfId="18" applyNumberFormat="1" applyFont="1" applyAlignment="1">
      <alignment horizontal="center" vertical="top"/>
    </xf>
    <xf numFmtId="4" fontId="4" fillId="0" borderId="0" xfId="18" applyNumberFormat="1" applyFont="1" applyAlignment="1" applyProtection="1">
      <alignment horizontal="center" vertical="top"/>
      <protection locked="0"/>
    </xf>
    <xf numFmtId="4" fontId="4" fillId="0" borderId="0" xfId="18" applyNumberFormat="1" applyFont="1" applyAlignment="1">
      <alignment vertical="top"/>
    </xf>
    <xf numFmtId="0" fontId="4" fillId="0" borderId="0" xfId="18" applyFont="1" applyAlignment="1">
      <alignment vertical="top"/>
    </xf>
    <xf numFmtId="0" fontId="4" fillId="0" borderId="11" xfId="18" applyFont="1" applyBorder="1" applyAlignment="1" applyProtection="1">
      <alignment vertical="top"/>
      <protection locked="0"/>
    </xf>
    <xf numFmtId="0" fontId="4" fillId="0" borderId="13" xfId="18" applyFont="1" applyBorder="1" applyAlignment="1" applyProtection="1">
      <alignment vertical="top"/>
      <protection locked="0"/>
    </xf>
    <xf numFmtId="0" fontId="4" fillId="0" borderId="13" xfId="18" applyFont="1" applyBorder="1" applyAlignment="1">
      <alignment vertical="top"/>
    </xf>
    <xf numFmtId="0" fontId="4" fillId="0" borderId="13" xfId="18" applyFont="1" applyBorder="1" applyAlignment="1">
      <alignment vertical="top" wrapText="1"/>
    </xf>
    <xf numFmtId="180" fontId="4" fillId="0" borderId="20" xfId="18" applyNumberFormat="1" applyFont="1" applyBorder="1" applyAlignment="1">
      <alignment horizontal="center" vertical="top"/>
    </xf>
    <xf numFmtId="4" fontId="1" fillId="0" borderId="25" xfId="18" applyNumberFormat="1" applyFont="1" applyBorder="1" applyAlignment="1" applyProtection="1">
      <alignment horizontal="center" vertical="top"/>
      <protection locked="0"/>
    </xf>
    <xf numFmtId="4" fontId="1" fillId="0" borderId="0" xfId="18" applyNumberFormat="1" applyFont="1" applyAlignment="1" applyProtection="1">
      <alignment horizontal="center" vertical="top"/>
      <protection locked="0"/>
    </xf>
    <xf numFmtId="4" fontId="1" fillId="0" borderId="0" xfId="18" applyNumberFormat="1" applyFont="1" applyAlignment="1">
      <alignment horizontal="right" vertical="top"/>
    </xf>
    <xf numFmtId="0" fontId="1" fillId="0" borderId="0" xfId="18" applyFont="1" applyAlignment="1">
      <alignment horizontal="center" vertical="top"/>
    </xf>
    <xf numFmtId="4" fontId="1" fillId="0" borderId="0" xfId="18" applyNumberFormat="1" applyFont="1" applyAlignment="1">
      <alignment horizontal="left" vertical="top" wrapText="1"/>
    </xf>
    <xf numFmtId="180" fontId="4" fillId="0" borderId="17" xfId="18" applyNumberFormat="1" applyFont="1" applyBorder="1" applyAlignment="1">
      <alignment horizontal="center" vertical="top"/>
    </xf>
    <xf numFmtId="4" fontId="4" fillId="0" borderId="45" xfId="18" applyNumberFormat="1" applyFont="1" applyBorder="1" applyAlignment="1" applyProtection="1">
      <alignment vertical="top"/>
      <protection locked="0"/>
    </xf>
    <xf numFmtId="4" fontId="4" fillId="0" borderId="28" xfId="18" applyNumberFormat="1" applyFont="1" applyBorder="1" applyAlignment="1" applyProtection="1">
      <alignment vertical="top"/>
      <protection locked="0"/>
    </xf>
    <xf numFmtId="4" fontId="4" fillId="0" borderId="28" xfId="18" applyNumberFormat="1" applyFont="1" applyBorder="1" applyAlignment="1">
      <alignment horizontal="center" vertical="top"/>
    </xf>
    <xf numFmtId="0" fontId="4" fillId="0" borderId="28" xfId="18" applyFont="1" applyBorder="1" applyAlignment="1">
      <alignment horizontal="center" vertical="top"/>
    </xf>
    <xf numFmtId="4" fontId="4" fillId="0" borderId="28" xfId="18" applyNumberFormat="1" applyFont="1" applyBorder="1" applyAlignment="1">
      <alignment vertical="top" wrapText="1"/>
    </xf>
    <xf numFmtId="180" fontId="4" fillId="0" borderId="47" xfId="18" applyNumberFormat="1" applyFont="1" applyBorder="1" applyAlignment="1">
      <alignment horizontal="center" vertical="top"/>
    </xf>
    <xf numFmtId="4" fontId="4" fillId="0" borderId="25" xfId="18" applyNumberFormat="1" applyFont="1" applyBorder="1" applyAlignment="1" applyProtection="1">
      <alignment horizontal="right" vertical="top"/>
      <protection locked="0"/>
    </xf>
    <xf numFmtId="4" fontId="4" fillId="0" borderId="17" xfId="18" applyNumberFormat="1" applyFont="1" applyBorder="1" applyAlignment="1" applyProtection="1">
      <alignment horizontal="right" vertical="top"/>
      <protection locked="0"/>
    </xf>
    <xf numFmtId="4" fontId="4" fillId="0" borderId="17" xfId="18" applyNumberFormat="1" applyFont="1" applyBorder="1" applyAlignment="1">
      <alignment horizontal="center" vertical="top"/>
    </xf>
    <xf numFmtId="0" fontId="4" fillId="0" borderId="17" xfId="18" applyFont="1" applyBorder="1" applyAlignment="1">
      <alignment horizontal="center" vertical="top"/>
    </xf>
    <xf numFmtId="4" fontId="4" fillId="0" borderId="0" xfId="18" applyNumberFormat="1" applyFont="1" applyAlignment="1">
      <alignment vertical="top" wrapText="1"/>
    </xf>
    <xf numFmtId="0" fontId="187" fillId="0" borderId="0" xfId="18" applyFont="1" applyAlignment="1">
      <alignment vertical="top"/>
    </xf>
    <xf numFmtId="4" fontId="4" fillId="0" borderId="25" xfId="18" applyNumberFormat="1" applyFont="1" applyBorder="1" applyAlignment="1" applyProtection="1">
      <alignment vertical="top"/>
      <protection locked="0"/>
    </xf>
    <xf numFmtId="4" fontId="4" fillId="0" borderId="17" xfId="18" applyNumberFormat="1" applyFont="1" applyBorder="1" applyAlignment="1" applyProtection="1">
      <alignment vertical="top"/>
      <protection locked="0"/>
    </xf>
    <xf numFmtId="3" fontId="4" fillId="0" borderId="17" xfId="18" applyNumberFormat="1" applyFont="1" applyBorder="1" applyAlignment="1">
      <alignment horizontal="center" vertical="top"/>
    </xf>
    <xf numFmtId="4" fontId="4" fillId="0" borderId="0" xfId="18" applyNumberFormat="1" applyFont="1" applyAlignment="1">
      <alignment horizontal="left" vertical="top" wrapText="1"/>
    </xf>
    <xf numFmtId="4" fontId="4" fillId="0" borderId="19" xfId="18" applyNumberFormat="1" applyFont="1" applyBorder="1" applyAlignment="1">
      <alignment horizontal="left" vertical="top" wrapText="1"/>
    </xf>
    <xf numFmtId="4" fontId="1" fillId="0" borderId="19" xfId="18" applyNumberFormat="1" applyFont="1" applyBorder="1" applyAlignment="1">
      <alignment horizontal="left" vertical="top" wrapText="1"/>
    </xf>
    <xf numFmtId="180" fontId="1" fillId="0" borderId="17" xfId="18" applyNumberFormat="1" applyFont="1" applyBorder="1" applyAlignment="1">
      <alignment horizontal="center" vertical="top"/>
    </xf>
    <xf numFmtId="2" fontId="13" fillId="0" borderId="17" xfId="18" applyNumberFormat="1" applyFont="1" applyBorder="1" applyAlignment="1">
      <alignment horizontal="center" vertical="top"/>
    </xf>
    <xf numFmtId="4" fontId="4" fillId="0" borderId="19" xfId="18" applyNumberFormat="1" applyFont="1" applyBorder="1" applyAlignment="1">
      <alignment horizontal="left" vertical="top"/>
    </xf>
    <xf numFmtId="4" fontId="1" fillId="0" borderId="19" xfId="18" applyNumberFormat="1" applyFont="1" applyBorder="1" applyAlignment="1">
      <alignment vertical="top"/>
    </xf>
    <xf numFmtId="4" fontId="1" fillId="0" borderId="6" xfId="18" applyNumberFormat="1" applyFont="1" applyBorder="1" applyAlignment="1" applyProtection="1">
      <alignment horizontal="center" vertical="top"/>
      <protection locked="0"/>
    </xf>
    <xf numFmtId="4" fontId="1" fillId="0" borderId="4" xfId="18" applyNumberFormat="1" applyFont="1" applyBorder="1" applyAlignment="1" applyProtection="1">
      <alignment horizontal="center" vertical="top"/>
      <protection locked="0"/>
    </xf>
    <xf numFmtId="4" fontId="1" fillId="0" borderId="4" xfId="18" applyNumberFormat="1" applyFont="1" applyBorder="1" applyAlignment="1">
      <alignment horizontal="center" vertical="top"/>
    </xf>
    <xf numFmtId="1" fontId="1" fillId="0" borderId="4" xfId="18" applyNumberFormat="1" applyFont="1" applyBorder="1" applyAlignment="1">
      <alignment horizontal="center" vertical="top"/>
    </xf>
    <xf numFmtId="4" fontId="1" fillId="0" borderId="33" xfId="18" applyNumberFormat="1" applyFont="1" applyBorder="1" applyAlignment="1">
      <alignment horizontal="centerContinuous" vertical="top"/>
    </xf>
    <xf numFmtId="180" fontId="1" fillId="0" borderId="4" xfId="18" applyNumberFormat="1" applyFont="1" applyBorder="1" applyAlignment="1">
      <alignment horizontal="center" vertical="top"/>
    </xf>
    <xf numFmtId="0" fontId="4" fillId="0" borderId="19" xfId="18" applyFont="1" applyBorder="1" applyAlignment="1" applyProtection="1">
      <alignment vertical="top"/>
      <protection locked="0"/>
    </xf>
    <xf numFmtId="0" fontId="4" fillId="0" borderId="0" xfId="18" applyFont="1" applyAlignment="1" applyProtection="1">
      <alignment vertical="top"/>
      <protection locked="0"/>
    </xf>
    <xf numFmtId="1" fontId="4" fillId="0" borderId="0" xfId="18" applyNumberFormat="1" applyFont="1" applyAlignment="1">
      <alignment vertical="top"/>
    </xf>
    <xf numFmtId="180" fontId="15" fillId="0" borderId="17" xfId="18" applyNumberFormat="1" applyFont="1" applyBorder="1" applyAlignment="1">
      <alignment horizontal="center" vertical="top"/>
    </xf>
    <xf numFmtId="0" fontId="4" fillId="0" borderId="19" xfId="18" applyFont="1" applyBorder="1" applyAlignment="1" applyProtection="1">
      <alignment horizontal="centerContinuous" vertical="top"/>
      <protection locked="0"/>
    </xf>
    <xf numFmtId="0" fontId="4" fillId="0" borderId="0" xfId="18" applyFont="1" applyAlignment="1" applyProtection="1">
      <alignment horizontal="centerContinuous" vertical="top"/>
      <protection locked="0"/>
    </xf>
    <xf numFmtId="0" fontId="4" fillId="0" borderId="0" xfId="18" applyFont="1" applyAlignment="1">
      <alignment horizontal="centerContinuous" vertical="top"/>
    </xf>
    <xf numFmtId="1" fontId="4" fillId="0" borderId="0" xfId="18" applyNumberFormat="1" applyFont="1" applyAlignment="1">
      <alignment horizontal="centerContinuous" vertical="top"/>
    </xf>
    <xf numFmtId="180" fontId="1" fillId="0" borderId="17" xfId="18" applyNumberFormat="1" applyFont="1" applyBorder="1" applyAlignment="1">
      <alignment vertical="top"/>
    </xf>
    <xf numFmtId="180" fontId="1" fillId="0" borderId="0" xfId="18" applyNumberFormat="1" applyFont="1" applyAlignment="1">
      <alignment vertical="top"/>
    </xf>
    <xf numFmtId="180" fontId="1" fillId="0" borderId="23" xfId="18" applyNumberFormat="1" applyFont="1" applyBorder="1" applyAlignment="1">
      <alignment vertical="top"/>
    </xf>
    <xf numFmtId="1" fontId="22" fillId="0" borderId="22" xfId="10" applyFont="1" applyBorder="1" applyAlignment="1" applyProtection="1">
      <alignment vertical="center"/>
      <protection locked="0"/>
    </xf>
    <xf numFmtId="1" fontId="22" fillId="0" borderId="22" xfId="10" applyFont="1" applyBorder="1" applyAlignment="1" applyProtection="1">
      <alignment horizontal="centerContinuous" vertical="center"/>
      <protection locked="0"/>
    </xf>
    <xf numFmtId="1" fontId="14" fillId="0" borderId="0" xfId="10" applyFont="1" applyAlignment="1" applyProtection="1">
      <alignment horizontal="left" vertical="top"/>
      <protection locked="0"/>
    </xf>
    <xf numFmtId="0" fontId="190" fillId="0" borderId="0" xfId="3" applyFont="1" applyAlignment="1" applyProtection="1">
      <alignment horizontal="left"/>
      <protection locked="0"/>
    </xf>
    <xf numFmtId="1" fontId="7" fillId="0" borderId="0" xfId="0" applyNumberFormat="1" applyFont="1"/>
    <xf numFmtId="0" fontId="159" fillId="0" borderId="0" xfId="19" applyFont="1" applyAlignment="1">
      <alignment horizontal="center" vertical="center"/>
    </xf>
    <xf numFmtId="182" fontId="193" fillId="0" borderId="0" xfId="20" applyFont="1"/>
    <xf numFmtId="182" fontId="193" fillId="27" borderId="0" xfId="20" applyFont="1" applyFill="1" applyAlignment="1">
      <alignment horizontal="center"/>
    </xf>
    <xf numFmtId="0" fontId="159" fillId="17" borderId="0" xfId="19" applyFont="1" applyFill="1" applyAlignment="1">
      <alignment horizontal="center" vertical="center"/>
    </xf>
    <xf numFmtId="0" fontId="159" fillId="0" borderId="0" xfId="19" applyFont="1" applyAlignment="1">
      <alignment horizontal="left" vertical="center"/>
    </xf>
    <xf numFmtId="0" fontId="194" fillId="0" borderId="0" xfId="19" applyFont="1" applyAlignment="1">
      <alignment horizontal="center" vertical="center"/>
    </xf>
    <xf numFmtId="2" fontId="195" fillId="0" borderId="0" xfId="19" applyNumberFormat="1" applyFont="1" applyAlignment="1">
      <alignment horizontal="center" vertical="center"/>
    </xf>
    <xf numFmtId="172" fontId="195" fillId="0" borderId="0" xfId="19" applyNumberFormat="1" applyFont="1" applyAlignment="1">
      <alignment horizontal="center" vertical="center"/>
    </xf>
    <xf numFmtId="1" fontId="161" fillId="17" borderId="0" xfId="19" applyNumberFormat="1" applyFont="1" applyFill="1" applyAlignment="1">
      <alignment horizontal="center" vertical="center"/>
    </xf>
    <xf numFmtId="170" fontId="159" fillId="0" borderId="0" xfId="19" applyNumberFormat="1" applyFont="1" applyAlignment="1">
      <alignment horizontal="center" vertical="center"/>
    </xf>
    <xf numFmtId="2" fontId="159" fillId="0" borderId="0" xfId="19" applyNumberFormat="1" applyFont="1" applyAlignment="1">
      <alignment vertical="center"/>
    </xf>
    <xf numFmtId="0" fontId="159" fillId="0" borderId="0" xfId="19" applyFont="1" applyAlignment="1">
      <alignment vertical="center"/>
    </xf>
    <xf numFmtId="180" fontId="1" fillId="0" borderId="22" xfId="11" applyNumberFormat="1" applyFont="1" applyBorder="1" applyAlignment="1">
      <alignment horizontal="centerContinuous" vertical="top"/>
    </xf>
    <xf numFmtId="0" fontId="157" fillId="0" borderId="22" xfId="11" applyFont="1" applyBorder="1" applyAlignment="1">
      <alignment horizontal="centerContinuous" vertical="top"/>
    </xf>
    <xf numFmtId="1" fontId="157" fillId="0" borderId="22" xfId="11" applyNumberFormat="1" applyFont="1" applyBorder="1" applyAlignment="1">
      <alignment horizontal="centerContinuous" vertical="top"/>
    </xf>
    <xf numFmtId="0" fontId="157" fillId="0" borderId="22" xfId="11" applyFont="1" applyBorder="1" applyAlignment="1" applyProtection="1">
      <alignment horizontal="centerContinuous" vertical="top"/>
      <protection locked="0"/>
    </xf>
    <xf numFmtId="0" fontId="157" fillId="0" borderId="24" xfId="11" applyFont="1" applyBorder="1" applyAlignment="1" applyProtection="1">
      <alignment horizontal="centerContinuous" vertical="top"/>
      <protection locked="0"/>
    </xf>
    <xf numFmtId="180" fontId="1" fillId="0" borderId="0" xfId="11" applyNumberFormat="1" applyFont="1" applyAlignment="1">
      <alignment horizontal="centerContinuous" vertical="top"/>
    </xf>
    <xf numFmtId="0" fontId="4" fillId="0" borderId="0" xfId="11" applyAlignment="1">
      <alignment horizontal="centerContinuous"/>
    </xf>
    <xf numFmtId="0" fontId="4" fillId="0" borderId="0" xfId="11" applyAlignment="1">
      <alignment horizontal="centerContinuous" vertical="top"/>
    </xf>
    <xf numFmtId="1" fontId="4" fillId="0" borderId="0" xfId="11" applyNumberFormat="1" applyAlignment="1">
      <alignment horizontal="centerContinuous" vertical="top"/>
    </xf>
    <xf numFmtId="0" fontId="4" fillId="0" borderId="0" xfId="11" applyAlignment="1" applyProtection="1">
      <alignment horizontal="centerContinuous" vertical="top"/>
      <protection locked="0"/>
    </xf>
    <xf numFmtId="0" fontId="4" fillId="0" borderId="19" xfId="11" applyBorder="1" applyAlignment="1" applyProtection="1">
      <alignment horizontal="centerContinuous" vertical="top"/>
      <protection locked="0"/>
    </xf>
    <xf numFmtId="180" fontId="1" fillId="0" borderId="17" xfId="11" applyNumberFormat="1" applyFont="1" applyBorder="1" applyAlignment="1">
      <alignment horizontal="centerContinuous" vertical="top"/>
    </xf>
    <xf numFmtId="180" fontId="15" fillId="0" borderId="17" xfId="11" applyNumberFormat="1" applyFont="1" applyBorder="1" applyAlignment="1">
      <alignment vertical="top"/>
    </xf>
    <xf numFmtId="180" fontId="4" fillId="0" borderId="0" xfId="11" applyNumberFormat="1" applyAlignment="1">
      <alignment vertical="top"/>
    </xf>
    <xf numFmtId="0" fontId="4" fillId="0" borderId="0" xfId="11" applyAlignment="1">
      <alignment vertical="top"/>
    </xf>
    <xf numFmtId="1" fontId="4" fillId="0" borderId="0" xfId="11" applyNumberFormat="1" applyAlignment="1">
      <alignment vertical="top"/>
    </xf>
    <xf numFmtId="0" fontId="4" fillId="0" borderId="0" xfId="11" applyAlignment="1" applyProtection="1">
      <alignment vertical="top"/>
      <protection locked="0"/>
    </xf>
    <xf numFmtId="0" fontId="4" fillId="0" borderId="19" xfId="11" applyBorder="1" applyAlignment="1" applyProtection="1">
      <alignment vertical="top"/>
      <protection locked="0"/>
    </xf>
    <xf numFmtId="180" fontId="1" fillId="0" borderId="4" xfId="11" applyNumberFormat="1" applyFont="1" applyBorder="1" applyAlignment="1">
      <alignment horizontal="center" vertical="top"/>
    </xf>
    <xf numFmtId="4" fontId="1" fillId="0" borderId="4" xfId="11" applyNumberFormat="1" applyFont="1" applyBorder="1" applyAlignment="1">
      <alignment horizontal="centerContinuous" vertical="top"/>
    </xf>
    <xf numFmtId="4" fontId="1" fillId="0" borderId="33" xfId="11" applyNumberFormat="1" applyFont="1" applyBorder="1" applyAlignment="1">
      <alignment horizontal="centerContinuous" vertical="top"/>
    </xf>
    <xf numFmtId="4" fontId="1" fillId="0" borderId="4" xfId="11" applyNumberFormat="1" applyFont="1" applyBorder="1" applyAlignment="1">
      <alignment horizontal="center" vertical="top"/>
    </xf>
    <xf numFmtId="1" fontId="1" fillId="0" borderId="4" xfId="11" applyNumberFormat="1" applyFont="1" applyBorder="1" applyAlignment="1">
      <alignment horizontal="center" vertical="top"/>
    </xf>
    <xf numFmtId="4" fontId="1" fillId="0" borderId="4" xfId="11" applyNumberFormat="1" applyFont="1" applyBorder="1" applyAlignment="1" applyProtection="1">
      <alignment horizontal="center" vertical="top"/>
      <protection locked="0"/>
    </xf>
    <xf numFmtId="4" fontId="1" fillId="0" borderId="6" xfId="11" applyNumberFormat="1" applyFont="1" applyBorder="1" applyAlignment="1" applyProtection="1">
      <alignment horizontal="center" vertical="top"/>
      <protection locked="0"/>
    </xf>
    <xf numFmtId="180" fontId="4" fillId="0" borderId="17" xfId="11" applyNumberFormat="1" applyBorder="1" applyAlignment="1">
      <alignment horizontal="center" vertical="top"/>
    </xf>
    <xf numFmtId="4" fontId="4" fillId="0" borderId="17" xfId="11" applyNumberFormat="1" applyBorder="1" applyAlignment="1">
      <alignment horizontal="center" vertical="top"/>
    </xf>
    <xf numFmtId="4" fontId="4" fillId="0" borderId="0" xfId="11" applyNumberFormat="1" applyAlignment="1">
      <alignment vertical="top"/>
    </xf>
    <xf numFmtId="0" fontId="4" fillId="0" borderId="17" xfId="11" applyBorder="1" applyAlignment="1">
      <alignment horizontal="center" vertical="top"/>
    </xf>
    <xf numFmtId="4" fontId="4" fillId="0" borderId="17" xfId="11" applyNumberFormat="1" applyBorder="1" applyAlignment="1" applyProtection="1">
      <alignment horizontal="right" vertical="top"/>
      <protection locked="0"/>
    </xf>
    <xf numFmtId="4" fontId="4" fillId="0" borderId="25" xfId="11" applyNumberFormat="1" applyBorder="1" applyAlignment="1" applyProtection="1">
      <alignment horizontal="right" vertical="top"/>
      <protection locked="0"/>
    </xf>
    <xf numFmtId="180" fontId="4" fillId="22" borderId="17" xfId="11" applyNumberFormat="1" applyFill="1" applyBorder="1" applyAlignment="1">
      <alignment horizontal="center" vertical="top"/>
    </xf>
    <xf numFmtId="4" fontId="4" fillId="22" borderId="17" xfId="11" applyNumberFormat="1" applyFill="1" applyBorder="1" applyAlignment="1">
      <alignment horizontal="center" vertical="top"/>
    </xf>
    <xf numFmtId="4" fontId="1" fillId="22" borderId="19" xfId="11" applyNumberFormat="1" applyFont="1" applyFill="1" applyBorder="1" applyAlignment="1">
      <alignment vertical="top" wrapText="1"/>
    </xf>
    <xf numFmtId="4" fontId="4" fillId="22" borderId="17" xfId="11" applyNumberFormat="1" applyFill="1" applyBorder="1" applyAlignment="1">
      <alignment horizontal="center" wrapText="1"/>
    </xf>
    <xf numFmtId="1" fontId="4" fillId="22" borderId="17" xfId="11" applyNumberFormat="1" applyFill="1" applyBorder="1" applyAlignment="1">
      <alignment horizontal="center"/>
    </xf>
    <xf numFmtId="4" fontId="4" fillId="22" borderId="17" xfId="11" applyNumberFormat="1" applyFill="1" applyBorder="1" applyAlignment="1" applyProtection="1">
      <alignment horizontal="right"/>
      <protection locked="0"/>
    </xf>
    <xf numFmtId="4" fontId="4" fillId="22" borderId="25" xfId="11" applyNumberFormat="1" applyFill="1" applyBorder="1" applyAlignment="1" applyProtection="1">
      <alignment horizontal="right"/>
      <protection locked="0"/>
    </xf>
    <xf numFmtId="4" fontId="1" fillId="22" borderId="19" xfId="11" applyNumberFormat="1" applyFont="1" applyFill="1" applyBorder="1" applyAlignment="1">
      <alignment horizontal="left" vertical="top" wrapText="1"/>
    </xf>
    <xf numFmtId="4" fontId="4" fillId="22" borderId="19" xfId="11" applyNumberFormat="1" applyFill="1" applyBorder="1" applyAlignment="1">
      <alignment horizontal="left" vertical="top" wrapText="1"/>
    </xf>
    <xf numFmtId="180" fontId="4" fillId="22" borderId="0" xfId="11" applyNumberFormat="1" applyFill="1" applyAlignment="1">
      <alignment horizontal="left" vertical="top" wrapText="1"/>
    </xf>
    <xf numFmtId="4" fontId="4" fillId="22" borderId="0" xfId="11" applyNumberFormat="1" applyFill="1" applyAlignment="1">
      <alignment horizontal="left" vertical="top" wrapText="1"/>
    </xf>
    <xf numFmtId="4" fontId="4" fillId="22" borderId="17" xfId="11" applyNumberFormat="1" applyFill="1" applyBorder="1" applyAlignment="1">
      <alignment horizontal="center" vertical="top" wrapText="1"/>
    </xf>
    <xf numFmtId="1" fontId="4" fillId="22" borderId="17" xfId="11" applyNumberFormat="1" applyFill="1" applyBorder="1" applyAlignment="1">
      <alignment horizontal="center" vertical="top"/>
    </xf>
    <xf numFmtId="4" fontId="4" fillId="22" borderId="17" xfId="11" applyNumberFormat="1" applyFill="1" applyBorder="1" applyAlignment="1" applyProtection="1">
      <alignment horizontal="right" vertical="top"/>
      <protection locked="0"/>
    </xf>
    <xf numFmtId="4" fontId="4" fillId="22" borderId="25" xfId="11" applyNumberFormat="1" applyFill="1" applyBorder="1" applyAlignment="1" applyProtection="1">
      <alignment horizontal="right" vertical="top"/>
      <protection locked="0"/>
    </xf>
    <xf numFmtId="4" fontId="4" fillId="22" borderId="0" xfId="11" applyNumberFormat="1" applyFill="1" applyAlignment="1">
      <alignment vertical="top" wrapText="1"/>
    </xf>
    <xf numFmtId="0" fontId="4" fillId="22" borderId="17" xfId="11" applyFill="1" applyBorder="1" applyAlignment="1">
      <alignment horizontal="center" vertical="top"/>
    </xf>
    <xf numFmtId="4" fontId="1" fillId="22" borderId="0" xfId="11" applyNumberFormat="1" applyFont="1" applyFill="1" applyAlignment="1">
      <alignment vertical="top" wrapText="1"/>
    </xf>
    <xf numFmtId="180" fontId="4" fillId="22" borderId="17" xfId="11" applyNumberFormat="1" applyFill="1" applyBorder="1" applyAlignment="1">
      <alignment vertical="top"/>
    </xf>
    <xf numFmtId="1" fontId="4" fillId="22" borderId="17" xfId="11" applyNumberFormat="1" applyFill="1" applyBorder="1" applyAlignment="1">
      <alignment horizontal="center" vertical="center"/>
    </xf>
    <xf numFmtId="4" fontId="28" fillId="22" borderId="19" xfId="11" applyNumberFormat="1" applyFont="1" applyFill="1" applyBorder="1" applyAlignment="1">
      <alignment horizontal="left" vertical="top" wrapText="1"/>
    </xf>
    <xf numFmtId="4" fontId="1" fillId="22" borderId="17" xfId="11" applyNumberFormat="1" applyFont="1" applyFill="1" applyBorder="1" applyAlignment="1">
      <alignment horizontal="center"/>
    </xf>
    <xf numFmtId="1" fontId="1" fillId="22" borderId="17" xfId="11" applyNumberFormat="1" applyFont="1" applyFill="1" applyBorder="1" applyAlignment="1">
      <alignment horizontal="center"/>
    </xf>
    <xf numFmtId="4" fontId="1" fillId="22" borderId="17" xfId="11" applyNumberFormat="1" applyFont="1" applyFill="1" applyBorder="1" applyAlignment="1" applyProtection="1">
      <alignment horizontal="right"/>
      <protection locked="0"/>
    </xf>
    <xf numFmtId="4" fontId="1" fillId="22" borderId="25" xfId="11" applyNumberFormat="1" applyFont="1" applyFill="1" applyBorder="1" applyAlignment="1" applyProtection="1">
      <alignment horizontal="right"/>
      <protection locked="0"/>
    </xf>
    <xf numFmtId="180" fontId="1" fillId="22" borderId="17" xfId="11" applyNumberFormat="1" applyFont="1" applyFill="1" applyBorder="1" applyAlignment="1">
      <alignment horizontal="center" vertical="center"/>
    </xf>
    <xf numFmtId="4" fontId="1" fillId="22" borderId="0" xfId="11" applyNumberFormat="1" applyFont="1" applyFill="1" applyAlignment="1">
      <alignment horizontal="center"/>
    </xf>
    <xf numFmtId="4" fontId="4" fillId="22" borderId="17" xfId="11" applyNumberFormat="1" applyFill="1" applyBorder="1" applyAlignment="1">
      <alignment horizontal="center"/>
    </xf>
    <xf numFmtId="0" fontId="4" fillId="22" borderId="0" xfId="11" applyFill="1" applyAlignment="1">
      <alignment wrapText="1"/>
    </xf>
    <xf numFmtId="4" fontId="4" fillId="22" borderId="17" xfId="11" applyNumberFormat="1" applyFill="1" applyBorder="1" applyAlignment="1" applyProtection="1">
      <alignment horizontal="right" vertical="center"/>
      <protection locked="0"/>
    </xf>
    <xf numFmtId="4" fontId="4" fillId="22" borderId="25" xfId="11" applyNumberFormat="1" applyFill="1" applyBorder="1" applyAlignment="1" applyProtection="1">
      <alignment horizontal="right" vertical="center"/>
      <protection locked="0"/>
    </xf>
    <xf numFmtId="4" fontId="4" fillId="0" borderId="0" xfId="11" applyNumberFormat="1" applyAlignment="1">
      <alignment vertical="top" wrapText="1"/>
    </xf>
    <xf numFmtId="180" fontId="4" fillId="0" borderId="47" xfId="11" applyNumberFormat="1" applyBorder="1" applyAlignment="1">
      <alignment horizontal="center" vertical="top"/>
    </xf>
    <xf numFmtId="4" fontId="4" fillId="0" borderId="47" xfId="11" applyNumberFormat="1" applyBorder="1" applyAlignment="1">
      <alignment horizontal="center" vertical="top"/>
    </xf>
    <xf numFmtId="4" fontId="4" fillId="0" borderId="28" xfId="11" applyNumberFormat="1" applyBorder="1" applyAlignment="1">
      <alignment vertical="top" wrapText="1"/>
    </xf>
    <xf numFmtId="4" fontId="4" fillId="0" borderId="28" xfId="11" applyNumberFormat="1" applyBorder="1" applyAlignment="1">
      <alignment horizontal="center" vertical="top"/>
    </xf>
    <xf numFmtId="0" fontId="4" fillId="0" borderId="28" xfId="11" applyBorder="1" applyAlignment="1">
      <alignment horizontal="center" vertical="top"/>
    </xf>
    <xf numFmtId="4" fontId="4" fillId="0" borderId="28" xfId="11" applyNumberFormat="1" applyBorder="1" applyAlignment="1" applyProtection="1">
      <alignment vertical="top"/>
      <protection locked="0"/>
    </xf>
    <xf numFmtId="4" fontId="4" fillId="0" borderId="45" xfId="11" applyNumberFormat="1" applyBorder="1" applyAlignment="1" applyProtection="1">
      <alignment vertical="top"/>
      <protection locked="0"/>
    </xf>
    <xf numFmtId="180" fontId="4" fillId="0" borderId="17" xfId="11" applyNumberFormat="1" applyBorder="1" applyAlignment="1">
      <alignment vertical="top"/>
    </xf>
    <xf numFmtId="4" fontId="4" fillId="0" borderId="17" xfId="11" applyNumberFormat="1" applyBorder="1" applyAlignment="1">
      <alignment vertical="top"/>
    </xf>
    <xf numFmtId="4" fontId="1" fillId="0" borderId="0" xfId="11" applyNumberFormat="1" applyFont="1" applyAlignment="1">
      <alignment horizontal="left" vertical="top" wrapText="1"/>
    </xf>
    <xf numFmtId="4" fontId="1" fillId="0" borderId="0" xfId="11" applyNumberFormat="1" applyFont="1" applyAlignment="1">
      <alignment horizontal="right" vertical="top"/>
    </xf>
    <xf numFmtId="0" fontId="1" fillId="0" borderId="0" xfId="11" applyFont="1" applyAlignment="1">
      <alignment horizontal="center" vertical="top"/>
    </xf>
    <xf numFmtId="4" fontId="1" fillId="0" borderId="0" xfId="11" applyNumberFormat="1" applyFont="1" applyAlignment="1" applyProtection="1">
      <alignment horizontal="center" vertical="top"/>
      <protection locked="0"/>
    </xf>
    <xf numFmtId="4" fontId="1" fillId="0" borderId="25" xfId="11" applyNumberFormat="1" applyFont="1" applyBorder="1" applyAlignment="1" applyProtection="1">
      <alignment horizontal="center" vertical="top"/>
      <protection locked="0"/>
    </xf>
    <xf numFmtId="180" fontId="4" fillId="0" borderId="20" xfId="11" applyNumberFormat="1" applyBorder="1" applyAlignment="1">
      <alignment vertical="top"/>
    </xf>
    <xf numFmtId="0" fontId="4" fillId="0" borderId="20" xfId="11" applyBorder="1" applyAlignment="1">
      <alignment vertical="top"/>
    </xf>
    <xf numFmtId="0" fontId="4" fillId="0" borderId="13" xfId="11" applyBorder="1" applyAlignment="1">
      <alignment vertical="top" wrapText="1"/>
    </xf>
    <xf numFmtId="0" fontId="4" fillId="0" borderId="13" xfId="11" applyBorder="1" applyAlignment="1">
      <alignment vertical="top"/>
    </xf>
    <xf numFmtId="0" fontId="4" fillId="0" borderId="13" xfId="11" applyBorder="1" applyAlignment="1" applyProtection="1">
      <alignment vertical="top"/>
      <protection locked="0"/>
    </xf>
    <xf numFmtId="0" fontId="4" fillId="0" borderId="11" xfId="11" applyBorder="1" applyAlignment="1" applyProtection="1">
      <alignment vertical="top"/>
      <protection locked="0"/>
    </xf>
    <xf numFmtId="180" fontId="1" fillId="0" borderId="23" xfId="11" applyNumberFormat="1" applyFont="1" applyBorder="1" applyAlignment="1">
      <alignment horizontal="centerContinuous" vertical="top"/>
    </xf>
    <xf numFmtId="180" fontId="4" fillId="0" borderId="17" xfId="11" applyNumberFormat="1" applyBorder="1" applyAlignment="1">
      <alignment horizontal="center" vertical="center"/>
    </xf>
    <xf numFmtId="4" fontId="28" fillId="0" borderId="0" xfId="11" applyNumberFormat="1" applyFont="1" applyAlignment="1">
      <alignment horizontal="left" vertical="top" wrapText="1"/>
    </xf>
    <xf numFmtId="4" fontId="4" fillId="0" borderId="17" xfId="11" applyNumberFormat="1" applyBorder="1" applyAlignment="1">
      <alignment horizontal="center"/>
    </xf>
    <xf numFmtId="1" fontId="4" fillId="0" borderId="17" xfId="11" applyNumberFormat="1" applyBorder="1" applyAlignment="1">
      <alignment horizontal="center" vertical="center"/>
    </xf>
    <xf numFmtId="4" fontId="4" fillId="0" borderId="17" xfId="11" applyNumberFormat="1" applyBorder="1" applyAlignment="1" applyProtection="1">
      <alignment horizontal="right"/>
      <protection locked="0"/>
    </xf>
    <xf numFmtId="4" fontId="4" fillId="0" borderId="25" xfId="11" applyNumberFormat="1" applyBorder="1" applyAlignment="1" applyProtection="1">
      <alignment horizontal="right"/>
      <protection locked="0"/>
    </xf>
    <xf numFmtId="180" fontId="4" fillId="22" borderId="17" xfId="11" applyNumberFormat="1" applyFill="1" applyBorder="1" applyAlignment="1">
      <alignment horizontal="center" vertical="center"/>
    </xf>
    <xf numFmtId="4" fontId="28" fillId="22" borderId="0" xfId="11" applyNumberFormat="1" applyFont="1" applyFill="1" applyAlignment="1">
      <alignment horizontal="left" vertical="top" wrapText="1"/>
    </xf>
    <xf numFmtId="1" fontId="4" fillId="22" borderId="0" xfId="11" applyNumberFormat="1" applyFill="1" applyAlignment="1">
      <alignment horizontal="justify" vertical="center"/>
    </xf>
    <xf numFmtId="1" fontId="155" fillId="22" borderId="17" xfId="11" applyNumberFormat="1" applyFont="1" applyFill="1" applyBorder="1" applyAlignment="1">
      <alignment horizontal="center" vertical="center"/>
    </xf>
    <xf numFmtId="1" fontId="155" fillId="22" borderId="17" xfId="11" applyNumberFormat="1" applyFont="1" applyFill="1" applyBorder="1" applyAlignment="1">
      <alignment horizontal="center"/>
    </xf>
    <xf numFmtId="180" fontId="155" fillId="22" borderId="17" xfId="11" applyNumberFormat="1" applyFont="1" applyFill="1" applyBorder="1" applyAlignment="1">
      <alignment horizontal="center" vertical="center"/>
    </xf>
    <xf numFmtId="180" fontId="1" fillId="0" borderId="23" xfId="11" applyNumberFormat="1" applyFont="1" applyBorder="1" applyAlignment="1">
      <alignment horizontal="left" vertical="top"/>
    </xf>
    <xf numFmtId="180" fontId="1" fillId="0" borderId="17" xfId="11" applyNumberFormat="1" applyFont="1" applyBorder="1" applyAlignment="1">
      <alignment horizontal="left" vertical="top"/>
    </xf>
    <xf numFmtId="0" fontId="162" fillId="0" borderId="0" xfId="0" applyFont="1"/>
    <xf numFmtId="2" fontId="185" fillId="0" borderId="0" xfId="3" applyNumberFormat="1" applyFont="1" applyAlignment="1" applyProtection="1">
      <alignment vertical="center"/>
      <protection locked="0"/>
    </xf>
    <xf numFmtId="0" fontId="7" fillId="0" borderId="23" xfId="3" applyFont="1" applyBorder="1" applyAlignment="1" applyProtection="1">
      <alignment horizontal="right"/>
      <protection locked="0"/>
    </xf>
    <xf numFmtId="0" fontId="190" fillId="0" borderId="22" xfId="3" applyFont="1" applyBorder="1" applyAlignment="1" applyProtection="1">
      <alignment horizontal="left"/>
      <protection locked="0"/>
    </xf>
    <xf numFmtId="2" fontId="7" fillId="0" borderId="22" xfId="3" applyNumberFormat="1" applyFont="1" applyBorder="1" applyProtection="1">
      <protection locked="0"/>
    </xf>
    <xf numFmtId="1" fontId="196" fillId="0" borderId="22" xfId="10" applyFont="1" applyBorder="1" applyAlignment="1" applyProtection="1">
      <alignment horizontal="left" vertical="top"/>
      <protection locked="0"/>
    </xf>
    <xf numFmtId="1" fontId="7" fillId="0" borderId="22" xfId="3" applyNumberFormat="1" applyFont="1" applyBorder="1" applyAlignment="1" applyProtection="1">
      <alignment horizontal="center"/>
      <protection locked="0"/>
    </xf>
    <xf numFmtId="1" fontId="7" fillId="0" borderId="22" xfId="3" applyNumberFormat="1" applyFont="1" applyBorder="1" applyProtection="1">
      <protection locked="0"/>
    </xf>
    <xf numFmtId="17" fontId="7" fillId="0" borderId="22" xfId="3" applyNumberFormat="1" applyFont="1" applyBorder="1" applyAlignment="1" applyProtection="1">
      <alignment horizontal="center"/>
      <protection locked="0"/>
    </xf>
    <xf numFmtId="2" fontId="7" fillId="0" borderId="22" xfId="3" applyNumberFormat="1" applyFont="1" applyBorder="1" applyAlignment="1" applyProtection="1">
      <alignment horizontal="center"/>
      <protection locked="0"/>
    </xf>
    <xf numFmtId="2" fontId="163" fillId="3" borderId="22" xfId="0" applyNumberFormat="1" applyFont="1" applyFill="1" applyBorder="1"/>
    <xf numFmtId="2" fontId="163" fillId="0" borderId="22" xfId="0" applyNumberFormat="1" applyFont="1" applyBorder="1"/>
    <xf numFmtId="2" fontId="163" fillId="18" borderId="24" xfId="0" applyNumberFormat="1" applyFont="1" applyFill="1" applyBorder="1"/>
    <xf numFmtId="1" fontId="7" fillId="0" borderId="17" xfId="16" applyFont="1" applyBorder="1" applyAlignment="1" applyProtection="1">
      <alignment horizontal="right"/>
      <protection locked="0"/>
    </xf>
    <xf numFmtId="1" fontId="7" fillId="3" borderId="0" xfId="16" applyFont="1" applyFill="1" applyAlignment="1" applyProtection="1">
      <alignment horizontal="right"/>
      <protection locked="0"/>
    </xf>
    <xf numFmtId="1" fontId="196" fillId="0" borderId="0" xfId="10" applyFont="1" applyAlignment="1" applyProtection="1">
      <alignment horizontal="left" vertical="top"/>
      <protection locked="0"/>
    </xf>
    <xf numFmtId="0" fontId="197" fillId="0" borderId="0" xfId="3" applyFont="1" applyProtection="1">
      <protection locked="0"/>
    </xf>
    <xf numFmtId="1" fontId="185" fillId="0" borderId="0" xfId="10" applyFont="1" applyAlignment="1" applyProtection="1">
      <alignment horizontal="left" vertical="top"/>
      <protection locked="0"/>
    </xf>
    <xf numFmtId="2" fontId="163" fillId="25" borderId="0" xfId="0" applyNumberFormat="1" applyFont="1" applyFill="1"/>
    <xf numFmtId="0" fontId="4" fillId="0" borderId="0" xfId="11"/>
    <xf numFmtId="0" fontId="1" fillId="0" borderId="0" xfId="11" applyFont="1" applyAlignment="1">
      <alignment horizontal="center"/>
    </xf>
    <xf numFmtId="0" fontId="4" fillId="0" borderId="0" xfId="11" applyAlignment="1">
      <alignment horizontal="center"/>
    </xf>
    <xf numFmtId="0" fontId="4" fillId="0" borderId="0" xfId="11" applyAlignment="1">
      <alignment horizontal="center" vertical="center"/>
    </xf>
    <xf numFmtId="0" fontId="4" fillId="0" borderId="0" xfId="11" applyAlignment="1">
      <alignment horizontal="center" vertical="center" wrapText="1"/>
    </xf>
    <xf numFmtId="0" fontId="198" fillId="0" borderId="0" xfId="11" applyFont="1"/>
    <xf numFmtId="0" fontId="166" fillId="0" borderId="0" xfId="11" applyFont="1"/>
    <xf numFmtId="0" fontId="166" fillId="0" borderId="0" xfId="11" applyFont="1" applyAlignment="1">
      <alignment horizontal="center"/>
    </xf>
    <xf numFmtId="2" fontId="199" fillId="0" borderId="0" xfId="0" applyNumberFormat="1" applyFont="1"/>
    <xf numFmtId="0" fontId="4" fillId="3" borderId="0" xfId="0" applyFont="1" applyFill="1"/>
    <xf numFmtId="0" fontId="164" fillId="0" borderId="0" xfId="0" applyFont="1" applyAlignment="1">
      <alignment horizontal="right"/>
    </xf>
    <xf numFmtId="0" fontId="0" fillId="3" borderId="57" xfId="0" applyFill="1" applyBorder="1"/>
    <xf numFmtId="0" fontId="200" fillId="0" borderId="0" xfId="0" applyFont="1" applyAlignment="1">
      <alignment horizontal="right"/>
    </xf>
    <xf numFmtId="0" fontId="199" fillId="17" borderId="0" xfId="0" applyFont="1" applyFill="1"/>
    <xf numFmtId="0" fontId="199" fillId="17" borderId="0" xfId="0" applyFont="1" applyFill="1" applyAlignment="1">
      <alignment horizontal="center"/>
    </xf>
    <xf numFmtId="0" fontId="199" fillId="0" borderId="0" xfId="0" applyFont="1"/>
    <xf numFmtId="0" fontId="200" fillId="17" borderId="0" xfId="0" applyFont="1" applyFill="1" applyAlignment="1">
      <alignment horizontal="center"/>
    </xf>
    <xf numFmtId="170" fontId="199" fillId="0" borderId="0" xfId="0" applyNumberFormat="1" applyFont="1"/>
    <xf numFmtId="0" fontId="163" fillId="0" borderId="0" xfId="0" applyFont="1" applyAlignment="1">
      <alignment horizontal="center"/>
    </xf>
    <xf numFmtId="0" fontId="197" fillId="0" borderId="0" xfId="3" applyFont="1"/>
    <xf numFmtId="1" fontId="201" fillId="0" borderId="0" xfId="0" applyNumberFormat="1" applyFont="1" applyProtection="1">
      <protection locked="0"/>
    </xf>
    <xf numFmtId="0" fontId="1" fillId="0" borderId="0" xfId="11" applyFont="1"/>
    <xf numFmtId="0" fontId="155" fillId="0" borderId="0" xfId="11" applyFont="1"/>
    <xf numFmtId="0" fontId="155" fillId="0" borderId="0" xfId="11" applyFont="1" applyAlignment="1">
      <alignment horizontal="center"/>
    </xf>
    <xf numFmtId="0" fontId="4" fillId="28" borderId="0" xfId="11" applyFill="1"/>
    <xf numFmtId="0" fontId="4" fillId="28" borderId="0" xfId="11" applyFill="1" applyAlignment="1">
      <alignment horizontal="center"/>
    </xf>
    <xf numFmtId="4" fontId="4" fillId="22" borderId="17" xfId="11" applyNumberFormat="1" applyFill="1" applyBorder="1" applyAlignment="1" applyProtection="1">
      <alignment horizontal="left"/>
      <protection locked="0"/>
    </xf>
    <xf numFmtId="0" fontId="180" fillId="17" borderId="0" xfId="0" applyFont="1" applyFill="1"/>
    <xf numFmtId="0" fontId="180" fillId="17" borderId="0" xfId="0" applyFont="1" applyFill="1" applyAlignment="1">
      <alignment horizontal="center"/>
    </xf>
    <xf numFmtId="0" fontId="165" fillId="17" borderId="0" xfId="0" applyFont="1" applyFill="1" applyAlignment="1">
      <alignment horizontal="center"/>
    </xf>
    <xf numFmtId="170" fontId="180" fillId="0" borderId="0" xfId="0" applyNumberFormat="1" applyFont="1"/>
    <xf numFmtId="2" fontId="180" fillId="0" borderId="0" xfId="0" applyNumberFormat="1" applyFont="1"/>
    <xf numFmtId="2" fontId="180" fillId="3" borderId="0" xfId="0" applyNumberFormat="1" applyFont="1" applyFill="1"/>
    <xf numFmtId="2" fontId="180" fillId="18" borderId="0" xfId="0" applyNumberFormat="1" applyFont="1" applyFill="1"/>
    <xf numFmtId="1" fontId="155" fillId="0" borderId="0" xfId="0" applyNumberFormat="1" applyFont="1"/>
    <xf numFmtId="4" fontId="15" fillId="6" borderId="18" xfId="3" applyNumberFormat="1" applyFont="1" applyFill="1" applyBorder="1" applyAlignment="1">
      <alignment horizontal="right"/>
    </xf>
    <xf numFmtId="4" fontId="15" fillId="6" borderId="16" xfId="3" applyNumberFormat="1" applyFont="1" applyFill="1" applyBorder="1" applyAlignment="1">
      <alignment horizontal="right"/>
    </xf>
    <xf numFmtId="2" fontId="13" fillId="6" borderId="3" xfId="3" applyNumberFormat="1" applyFont="1" applyFill="1" applyBorder="1" applyAlignment="1" applyProtection="1">
      <alignment horizontal="center"/>
      <protection locked="0"/>
    </xf>
    <xf numFmtId="4" fontId="13" fillId="6" borderId="3" xfId="3" applyNumberFormat="1" applyFont="1" applyFill="1" applyBorder="1" applyAlignment="1">
      <alignment horizontal="center"/>
    </xf>
    <xf numFmtId="2" fontId="15" fillId="6" borderId="3" xfId="3" applyNumberFormat="1" applyFont="1" applyFill="1" applyBorder="1" applyAlignment="1">
      <alignment horizontal="center"/>
    </xf>
    <xf numFmtId="2" fontId="7" fillId="6" borderId="3" xfId="3" applyNumberFormat="1" applyFont="1" applyFill="1" applyBorder="1" applyAlignment="1">
      <alignment horizontal="center"/>
    </xf>
    <xf numFmtId="1" fontId="181" fillId="0" borderId="17" xfId="16" applyFont="1" applyBorder="1" applyAlignment="1" applyProtection="1">
      <alignment horizontal="right"/>
      <protection locked="0"/>
    </xf>
    <xf numFmtId="1" fontId="181" fillId="0" borderId="0" xfId="16" applyFont="1" applyAlignment="1" applyProtection="1">
      <alignment horizontal="right"/>
      <protection locked="0"/>
    </xf>
    <xf numFmtId="1" fontId="7" fillId="0" borderId="23" xfId="16" applyFont="1" applyBorder="1" applyAlignment="1" applyProtection="1">
      <alignment horizontal="right"/>
      <protection locked="0"/>
    </xf>
    <xf numFmtId="0" fontId="163" fillId="0" borderId="22" xfId="0" applyFont="1" applyBorder="1"/>
    <xf numFmtId="0" fontId="165" fillId="0" borderId="22" xfId="0" applyFont="1" applyBorder="1"/>
    <xf numFmtId="0" fontId="163" fillId="17" borderId="22" xfId="0" applyFont="1" applyFill="1" applyBorder="1"/>
    <xf numFmtId="0" fontId="163" fillId="17" borderId="22" xfId="0" applyFont="1" applyFill="1" applyBorder="1" applyAlignment="1">
      <alignment horizontal="center"/>
    </xf>
    <xf numFmtId="0" fontId="164" fillId="17" borderId="22" xfId="0" applyFont="1" applyFill="1" applyBorder="1" applyAlignment="1">
      <alignment horizontal="center"/>
    </xf>
    <xf numFmtId="170" fontId="163" fillId="0" borderId="22" xfId="0" applyNumberFormat="1" applyFont="1" applyBorder="1"/>
    <xf numFmtId="2" fontId="180" fillId="18" borderId="19" xfId="0" applyNumberFormat="1" applyFont="1" applyFill="1" applyBorder="1"/>
    <xf numFmtId="0" fontId="180" fillId="0" borderId="13" xfId="0" applyFont="1" applyBorder="1"/>
    <xf numFmtId="0" fontId="180" fillId="17" borderId="13" xfId="0" applyFont="1" applyFill="1" applyBorder="1"/>
    <xf numFmtId="0" fontId="180" fillId="17" borderId="13" xfId="0" applyFont="1" applyFill="1" applyBorder="1" applyAlignment="1">
      <alignment horizontal="center"/>
    </xf>
    <xf numFmtId="2" fontId="180" fillId="0" borderId="13" xfId="0" applyNumberFormat="1" applyFont="1" applyBorder="1"/>
    <xf numFmtId="0" fontId="165" fillId="17" borderId="13" xfId="0" applyFont="1" applyFill="1" applyBorder="1" applyAlignment="1">
      <alignment horizontal="center"/>
    </xf>
    <xf numFmtId="170" fontId="180" fillId="0" borderId="13" xfId="0" applyNumberFormat="1" applyFont="1" applyBorder="1"/>
    <xf numFmtId="2" fontId="180" fillId="3" borderId="13" xfId="0" applyNumberFormat="1" applyFont="1" applyFill="1" applyBorder="1"/>
    <xf numFmtId="2" fontId="180" fillId="18" borderId="21" xfId="0" applyNumberFormat="1" applyFont="1" applyFill="1" applyBorder="1"/>
    <xf numFmtId="1" fontId="7" fillId="3" borderId="22" xfId="16" applyFont="1" applyFill="1" applyBorder="1" applyAlignment="1" applyProtection="1">
      <alignment horizontal="right"/>
      <protection locked="0"/>
    </xf>
    <xf numFmtId="1" fontId="155" fillId="0" borderId="17" xfId="0" applyNumberFormat="1" applyFont="1" applyBorder="1"/>
    <xf numFmtId="0" fontId="155" fillId="0" borderId="20" xfId="0" applyFont="1" applyBorder="1"/>
    <xf numFmtId="2" fontId="176" fillId="0" borderId="0" xfId="16" applyNumberFormat="1" applyFont="1" applyProtection="1">
      <protection locked="0"/>
    </xf>
    <xf numFmtId="1" fontId="176" fillId="0" borderId="0" xfId="16" applyFont="1" applyProtection="1">
      <protection locked="0"/>
    </xf>
    <xf numFmtId="1" fontId="176" fillId="2" borderId="0" xfId="16" applyFont="1" applyFill="1" applyProtection="1">
      <protection locked="0"/>
    </xf>
    <xf numFmtId="17" fontId="176" fillId="2" borderId="0" xfId="16" applyNumberFormat="1" applyFont="1" applyFill="1" applyProtection="1">
      <protection locked="0"/>
    </xf>
    <xf numFmtId="1" fontId="176" fillId="0" borderId="0" xfId="16" applyFont="1" applyAlignment="1" applyProtection="1">
      <alignment horizontal="center"/>
      <protection locked="0"/>
    </xf>
    <xf numFmtId="2" fontId="202" fillId="0" borderId="0" xfId="16" applyNumberFormat="1" applyFont="1"/>
    <xf numFmtId="2" fontId="181" fillId="3" borderId="0" xfId="16" applyNumberFormat="1" applyFont="1" applyFill="1"/>
    <xf numFmtId="2" fontId="181" fillId="3" borderId="0" xfId="10" applyNumberFormat="1" applyFont="1" applyFill="1"/>
    <xf numFmtId="2" fontId="181" fillId="0" borderId="0" xfId="16" applyNumberFormat="1" applyFont="1" applyProtection="1">
      <protection locked="0"/>
    </xf>
    <xf numFmtId="1" fontId="202" fillId="0" borderId="0" xfId="16" applyFont="1" applyProtection="1">
      <protection locked="0"/>
    </xf>
    <xf numFmtId="1" fontId="181" fillId="2" borderId="0" xfId="16" applyFont="1" applyFill="1" applyProtection="1">
      <protection locked="0"/>
    </xf>
    <xf numFmtId="17" fontId="181" fillId="2" borderId="0" xfId="16" applyNumberFormat="1" applyFont="1" applyFill="1" applyProtection="1">
      <protection locked="0"/>
    </xf>
    <xf numFmtId="1" fontId="181" fillId="0" borderId="0" xfId="16" applyFont="1" applyProtection="1">
      <protection locked="0"/>
    </xf>
    <xf numFmtId="1" fontId="181" fillId="0" borderId="0" xfId="16" applyFont="1" applyAlignment="1" applyProtection="1">
      <alignment horizontal="center"/>
      <protection locked="0"/>
    </xf>
    <xf numFmtId="2" fontId="202" fillId="3" borderId="0" xfId="16" applyNumberFormat="1" applyFont="1" applyFill="1"/>
    <xf numFmtId="2" fontId="176" fillId="0" borderId="0" xfId="3" applyNumberFormat="1" applyFont="1" applyProtection="1">
      <protection locked="0"/>
    </xf>
    <xf numFmtId="0" fontId="4" fillId="0" borderId="0" xfId="11" applyAlignment="1">
      <alignment vertical="center"/>
    </xf>
    <xf numFmtId="0" fontId="4" fillId="0" borderId="0" xfId="11" applyAlignment="1">
      <alignment horizontal="left" vertical="center"/>
    </xf>
    <xf numFmtId="0" fontId="1" fillId="0" borderId="0" xfId="11" applyFont="1" applyAlignment="1">
      <alignment horizontal="center" vertical="center"/>
    </xf>
    <xf numFmtId="0" fontId="155" fillId="0" borderId="0" xfId="11" applyFont="1" applyAlignment="1">
      <alignment horizontal="center" vertical="center"/>
    </xf>
    <xf numFmtId="0" fontId="166" fillId="0" borderId="0" xfId="11" applyFont="1" applyAlignment="1">
      <alignment horizontal="center" vertical="center"/>
    </xf>
    <xf numFmtId="0" fontId="4" fillId="28" borderId="0" xfId="11" applyFill="1" applyAlignment="1">
      <alignment horizontal="center" vertical="center"/>
    </xf>
    <xf numFmtId="0" fontId="198" fillId="0" borderId="0" xfId="11" applyFont="1" applyAlignment="1">
      <alignment horizontal="center" vertical="center"/>
    </xf>
    <xf numFmtId="0" fontId="1" fillId="0" borderId="0" xfId="11" applyFont="1" applyAlignment="1">
      <alignment vertical="center"/>
    </xf>
    <xf numFmtId="4" fontId="27" fillId="4" borderId="18" xfId="3" applyNumberFormat="1" applyFont="1" applyFill="1" applyBorder="1" applyAlignment="1">
      <alignment horizontal="right"/>
    </xf>
    <xf numFmtId="4" fontId="27" fillId="4" borderId="16" xfId="3" applyNumberFormat="1" applyFont="1" applyFill="1" applyBorder="1" applyAlignment="1">
      <alignment horizontal="right"/>
    </xf>
    <xf numFmtId="0" fontId="164" fillId="29" borderId="0" xfId="0" applyFont="1" applyFill="1"/>
    <xf numFmtId="1" fontId="15" fillId="29" borderId="51" xfId="10" applyFont="1" applyFill="1" applyBorder="1" applyProtection="1">
      <protection locked="0"/>
    </xf>
    <xf numFmtId="164" fontId="0" fillId="0" borderId="0" xfId="1" applyFont="1"/>
    <xf numFmtId="43" fontId="0" fillId="0" borderId="0" xfId="0" applyNumberFormat="1"/>
    <xf numFmtId="0" fontId="7" fillId="0" borderId="58" xfId="3" applyFont="1" applyBorder="1" applyProtection="1">
      <protection locked="0"/>
    </xf>
    <xf numFmtId="0" fontId="13" fillId="0" borderId="28" xfId="3" applyFont="1" applyBorder="1" applyAlignment="1" applyProtection="1">
      <alignment horizontal="center"/>
      <protection locked="0"/>
    </xf>
    <xf numFmtId="0" fontId="7" fillId="0" borderId="28" xfId="3" applyFont="1" applyBorder="1" applyProtection="1">
      <protection locked="0"/>
    </xf>
    <xf numFmtId="0" fontId="7" fillId="0" borderId="28" xfId="3" applyFont="1" applyBorder="1"/>
    <xf numFmtId="0" fontId="13" fillId="0" borderId="28" xfId="3" applyFont="1" applyBorder="1" applyAlignment="1" applyProtection="1">
      <alignment horizontal="right"/>
      <protection locked="0"/>
    </xf>
    <xf numFmtId="1" fontId="7" fillId="0" borderId="28" xfId="3" applyNumberFormat="1" applyFont="1" applyBorder="1" applyProtection="1">
      <protection locked="0"/>
    </xf>
    <xf numFmtId="0" fontId="13" fillId="0" borderId="59" xfId="3" applyFont="1" applyBorder="1" applyAlignment="1" applyProtection="1">
      <alignment horizontal="center"/>
      <protection locked="0"/>
    </xf>
    <xf numFmtId="1" fontId="15" fillId="0" borderId="60" xfId="10" applyFont="1" applyBorder="1" applyAlignment="1" applyProtection="1">
      <alignment horizontal="center"/>
      <protection locked="0"/>
    </xf>
    <xf numFmtId="2" fontId="7" fillId="3" borderId="61" xfId="3" applyNumberFormat="1" applyFont="1" applyFill="1" applyBorder="1" applyAlignment="1">
      <alignment horizontal="center"/>
    </xf>
    <xf numFmtId="1" fontId="7" fillId="0" borderId="57" xfId="10" applyFont="1" applyBorder="1" applyAlignment="1" applyProtection="1">
      <alignment horizontal="center"/>
      <protection locked="0"/>
    </xf>
    <xf numFmtId="1" fontId="0" fillId="0" borderId="57" xfId="0" applyNumberFormat="1" applyBorder="1"/>
    <xf numFmtId="2" fontId="163" fillId="18" borderId="62" xfId="0" applyNumberFormat="1" applyFont="1" applyFill="1" applyBorder="1"/>
    <xf numFmtId="1" fontId="7" fillId="0" borderId="57" xfId="10" applyFont="1" applyBorder="1" applyProtection="1">
      <protection locked="0"/>
    </xf>
    <xf numFmtId="2" fontId="7" fillId="18" borderId="62" xfId="10" applyNumberFormat="1" applyFont="1" applyFill="1" applyBorder="1"/>
    <xf numFmtId="1" fontId="7" fillId="0" borderId="63" xfId="10" applyFont="1" applyBorder="1" applyAlignment="1" applyProtection="1">
      <alignment horizontal="right"/>
      <protection locked="0"/>
    </xf>
    <xf numFmtId="2" fontId="7" fillId="13" borderId="64" xfId="10" applyNumberFormat="1" applyFont="1" applyFill="1" applyBorder="1"/>
    <xf numFmtId="0" fontId="7" fillId="0" borderId="57" xfId="3" applyFont="1" applyBorder="1" applyProtection="1">
      <protection locked="0"/>
    </xf>
    <xf numFmtId="0" fontId="13" fillId="0" borderId="62" xfId="3" applyFont="1" applyBorder="1" applyAlignment="1" applyProtection="1">
      <alignment horizontal="center"/>
      <protection locked="0"/>
    </xf>
    <xf numFmtId="2" fontId="7" fillId="6" borderId="61" xfId="3" applyNumberFormat="1" applyFont="1" applyFill="1" applyBorder="1" applyAlignment="1">
      <alignment horizontal="center"/>
    </xf>
    <xf numFmtId="1" fontId="166" fillId="0" borderId="57" xfId="0" applyNumberFormat="1" applyFont="1" applyBorder="1"/>
    <xf numFmtId="2" fontId="167" fillId="18" borderId="62" xfId="0" applyNumberFormat="1" applyFont="1" applyFill="1" applyBorder="1"/>
    <xf numFmtId="1" fontId="7" fillId="0" borderId="65" xfId="10" applyFont="1" applyBorder="1" applyAlignment="1" applyProtection="1">
      <alignment horizontal="right"/>
      <protection locked="0"/>
    </xf>
    <xf numFmtId="2" fontId="7" fillId="0" borderId="33" xfId="10" applyNumberFormat="1" applyFont="1" applyBorder="1" applyAlignment="1" applyProtection="1">
      <alignment horizontal="left"/>
      <protection locked="0"/>
    </xf>
    <xf numFmtId="1" fontId="7" fillId="0" borderId="12" xfId="10" applyFont="1" applyBorder="1" applyProtection="1">
      <protection locked="0"/>
    </xf>
    <xf numFmtId="1" fontId="15" fillId="0" borderId="12" xfId="10" applyFont="1" applyBorder="1" applyProtection="1">
      <protection locked="0"/>
    </xf>
    <xf numFmtId="2" fontId="7" fillId="0" borderId="12" xfId="10" applyNumberFormat="1" applyFont="1" applyBorder="1" applyProtection="1">
      <protection locked="0"/>
    </xf>
    <xf numFmtId="1" fontId="7" fillId="0" borderId="12" xfId="10" applyFont="1" applyBorder="1"/>
    <xf numFmtId="166" fontId="7" fillId="0" borderId="12" xfId="10" applyNumberFormat="1" applyFont="1" applyBorder="1" applyProtection="1">
      <protection locked="0"/>
    </xf>
    <xf numFmtId="2" fontId="7" fillId="13" borderId="29" xfId="10" applyNumberFormat="1" applyFont="1" applyFill="1" applyBorder="1"/>
    <xf numFmtId="2" fontId="7" fillId="13" borderId="66" xfId="10" applyNumberFormat="1" applyFont="1" applyFill="1" applyBorder="1"/>
    <xf numFmtId="2" fontId="7" fillId="0" borderId="0" xfId="3" applyNumberFormat="1" applyFont="1"/>
    <xf numFmtId="183" fontId="155" fillId="0" borderId="0" xfId="0" applyNumberFormat="1" applyFont="1"/>
    <xf numFmtId="0" fontId="0" fillId="0" borderId="57" xfId="0" applyBorder="1"/>
    <xf numFmtId="0" fontId="0" fillId="0" borderId="62" xfId="0" applyBorder="1" applyProtection="1">
      <protection locked="0"/>
    </xf>
    <xf numFmtId="0" fontId="0" fillId="0" borderId="67" xfId="0" applyBorder="1"/>
    <xf numFmtId="0" fontId="0" fillId="0" borderId="12" xfId="0" applyBorder="1"/>
    <xf numFmtId="0" fontId="0" fillId="0" borderId="12" xfId="0" applyBorder="1" applyProtection="1">
      <protection locked="0"/>
    </xf>
    <xf numFmtId="0" fontId="0" fillId="0" borderId="39" xfId="0" applyBorder="1" applyProtection="1">
      <protection locked="0"/>
    </xf>
    <xf numFmtId="0" fontId="4" fillId="0" borderId="68" xfId="0" applyFont="1" applyBorder="1" applyProtection="1">
      <protection locked="0"/>
    </xf>
    <xf numFmtId="164" fontId="0" fillId="0" borderId="69" xfId="1" applyFont="1" applyBorder="1" applyProtection="1">
      <protection locked="0"/>
    </xf>
    <xf numFmtId="164" fontId="0" fillId="0" borderId="40" xfId="1" applyFont="1" applyBorder="1" applyProtection="1">
      <protection locked="0"/>
    </xf>
    <xf numFmtId="0" fontId="1" fillId="0" borderId="0" xfId="0" applyFont="1"/>
    <xf numFmtId="43" fontId="4" fillId="0" borderId="0" xfId="0" applyNumberFormat="1" applyFont="1"/>
    <xf numFmtId="184" fontId="94" fillId="12" borderId="25" xfId="0" applyNumberFormat="1" applyFont="1" applyFill="1" applyBorder="1" applyAlignment="1" applyProtection="1">
      <alignment horizontal="center"/>
      <protection locked="0"/>
    </xf>
    <xf numFmtId="0" fontId="4" fillId="0" borderId="0" xfId="0" applyFont="1" applyAlignment="1">
      <alignment wrapText="1"/>
    </xf>
    <xf numFmtId="164" fontId="0" fillId="0" borderId="0" xfId="1" applyFont="1" applyAlignment="1">
      <alignment vertical="top"/>
    </xf>
    <xf numFmtId="0" fontId="4" fillId="0" borderId="0" xfId="0" applyFont="1" applyAlignment="1">
      <alignment vertical="top" wrapText="1"/>
    </xf>
    <xf numFmtId="0" fontId="0" fillId="0" borderId="0" xfId="0" applyAlignment="1">
      <alignment vertical="top"/>
    </xf>
    <xf numFmtId="184" fontId="94" fillId="12" borderId="11" xfId="0" applyNumberFormat="1" applyFont="1" applyFill="1" applyBorder="1" applyAlignment="1" applyProtection="1">
      <alignment horizontal="center"/>
      <protection locked="0"/>
    </xf>
    <xf numFmtId="0" fontId="4" fillId="0" borderId="43" xfId="0" applyFont="1" applyBorder="1" applyAlignment="1">
      <alignment horizontal="center"/>
    </xf>
    <xf numFmtId="0" fontId="4" fillId="0" borderId="70" xfId="0" applyFont="1" applyBorder="1" applyAlignment="1">
      <alignment horizontal="center"/>
    </xf>
    <xf numFmtId="0" fontId="4" fillId="0" borderId="71" xfId="0" applyFont="1" applyBorder="1" applyAlignment="1">
      <alignment horizontal="center"/>
    </xf>
    <xf numFmtId="0" fontId="135"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3" fillId="0" borderId="20" xfId="8" applyFont="1" applyBorder="1" applyAlignment="1" applyProtection="1">
      <alignment horizontal="center" vertical="center"/>
      <protection locked="0"/>
    </xf>
    <xf numFmtId="0" fontId="23" fillId="0" borderId="13" xfId="8" applyFont="1" applyBorder="1" applyAlignment="1" applyProtection="1">
      <alignment horizontal="center" vertical="center"/>
      <protection locked="0"/>
    </xf>
    <xf numFmtId="0" fontId="23" fillId="0" borderId="0" xfId="8" applyFont="1" applyAlignment="1" applyProtection="1">
      <alignment horizontal="center" vertical="center"/>
      <protection locked="0"/>
    </xf>
    <xf numFmtId="0" fontId="23"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3" fillId="0" borderId="14" xfId="0" applyFont="1" applyBorder="1" applyAlignment="1">
      <alignment horizontal="center" vertical="center"/>
    </xf>
    <xf numFmtId="0" fontId="112" fillId="0" borderId="0" xfId="0" applyFont="1" applyAlignment="1">
      <alignment horizontal="left" vertical="center"/>
    </xf>
    <xf numFmtId="0" fontId="4" fillId="0" borderId="43" xfId="0" applyFont="1" applyBorder="1" applyAlignment="1">
      <alignment horizontal="center" vertical="top" wrapText="1"/>
    </xf>
    <xf numFmtId="0" fontId="4" fillId="0" borderId="70" xfId="0" applyFont="1" applyBorder="1" applyAlignment="1">
      <alignment horizontal="center" vertical="top" wrapText="1"/>
    </xf>
    <xf numFmtId="0" fontId="4" fillId="0" borderId="71" xfId="0" applyFont="1" applyBorder="1" applyAlignment="1">
      <alignment horizontal="center" vertical="top" wrapText="1"/>
    </xf>
    <xf numFmtId="0" fontId="13" fillId="0" borderId="0" xfId="3" applyFont="1" applyAlignment="1" applyProtection="1">
      <alignment horizontal="left" vertical="top" wrapText="1"/>
      <protection locked="0"/>
    </xf>
    <xf numFmtId="0" fontId="117" fillId="0" borderId="0" xfId="0" applyFont="1" applyAlignment="1">
      <alignment horizontal="center"/>
    </xf>
    <xf numFmtId="0" fontId="108" fillId="7" borderId="0" xfId="7" applyFont="1" applyFill="1" applyAlignment="1">
      <alignment horizontal="center" vertical="top" wrapText="1"/>
    </xf>
    <xf numFmtId="0" fontId="150" fillId="0" borderId="0" xfId="3" applyFont="1" applyAlignment="1">
      <alignment horizontal="center"/>
    </xf>
    <xf numFmtId="0" fontId="149" fillId="0" borderId="0" xfId="3" applyFont="1" applyAlignment="1">
      <alignment horizontal="center"/>
    </xf>
    <xf numFmtId="1" fontId="14" fillId="0" borderId="0" xfId="10" applyFont="1" applyAlignment="1" applyProtection="1">
      <alignment horizontal="left" vertical="top" wrapText="1"/>
      <protection locked="0"/>
    </xf>
    <xf numFmtId="0" fontId="0" fillId="0" borderId="0" xfId="0" applyAlignment="1">
      <alignment vertical="top" wrapText="1"/>
    </xf>
    <xf numFmtId="0" fontId="0" fillId="0" borderId="62" xfId="0" applyBorder="1" applyAlignment="1">
      <alignment vertical="top" wrapText="1"/>
    </xf>
    <xf numFmtId="0" fontId="14" fillId="0" borderId="0" xfId="3" applyFont="1" applyAlignment="1" applyProtection="1">
      <alignment vertical="top" wrapText="1"/>
      <protection locked="0"/>
    </xf>
    <xf numFmtId="0" fontId="4" fillId="0" borderId="0" xfId="0" applyFont="1" applyAlignment="1">
      <alignment horizontal="center" wrapText="1"/>
    </xf>
    <xf numFmtId="0" fontId="1" fillId="0" borderId="0" xfId="11" applyFont="1" applyAlignment="1">
      <alignment horizontal="center"/>
    </xf>
    <xf numFmtId="0" fontId="4" fillId="0" borderId="0" xfId="11" applyAlignment="1">
      <alignment horizontal="center" vertical="center"/>
    </xf>
    <xf numFmtId="4" fontId="1" fillId="0" borderId="0" xfId="18" applyNumberFormat="1" applyFont="1" applyAlignment="1">
      <alignment horizontal="left" vertical="top" wrapText="1"/>
    </xf>
    <xf numFmtId="4" fontId="1" fillId="0" borderId="19" xfId="18" applyNumberFormat="1" applyFont="1" applyBorder="1" applyAlignment="1">
      <alignment horizontal="left" vertical="top" wrapText="1"/>
    </xf>
    <xf numFmtId="0" fontId="4" fillId="0" borderId="13" xfId="0" applyFont="1" applyBorder="1" applyAlignment="1">
      <alignment horizontal="left" vertical="top"/>
    </xf>
  </cellXfs>
  <cellStyles count="21">
    <cellStyle name="Comma" xfId="1" builtinId="3"/>
    <cellStyle name="Comma 2" xfId="13" xr:uid="{00000000-0005-0000-0000-000001000000}"/>
    <cellStyle name="Comma 3" xfId="15" xr:uid="{00000000-0005-0000-0000-000002000000}"/>
    <cellStyle name="Currency_Estimate" xfId="2" xr:uid="{00000000-0005-0000-0000-000003000000}"/>
    <cellStyle name="Normal" xfId="0" builtinId="0"/>
    <cellStyle name="Normal 2" xfId="9" xr:uid="{00000000-0005-0000-0000-000005000000}"/>
    <cellStyle name="Normal 2 2" xfId="14" xr:uid="{00000000-0005-0000-0000-000006000000}"/>
    <cellStyle name="Normal 3" xfId="11" xr:uid="{00000000-0005-0000-0000-000007000000}"/>
    <cellStyle name="Normal 4" xfId="12" xr:uid="{00000000-0005-0000-0000-000008000000}"/>
    <cellStyle name="Normal 4 2" xfId="18" xr:uid="{3C9E83F3-A29A-4D1B-8EA4-C0EEBAC9321B}"/>
    <cellStyle name="Normal_BLOCKS" xfId="3" xr:uid="{00000000-0005-0000-0000-000009000000}"/>
    <cellStyle name="Normal_CABLE" xfId="4" xr:uid="{00000000-0005-0000-0000-00000A000000}"/>
    <cellStyle name="Normal_E11_0126_Seabank_Hotel_Electrical" xfId="5" xr:uid="{00000000-0005-0000-0000-00000B000000}"/>
    <cellStyle name="Normal_Estimate" xfId="6" xr:uid="{00000000-0005-0000-0000-00000C000000}"/>
    <cellStyle name="Normal_Estimate 2" xfId="10" xr:uid="{00000000-0005-0000-0000-00000D000000}"/>
    <cellStyle name="Normal_Mark_up" xfId="7" xr:uid="{00000000-0005-0000-0000-00000E000000}"/>
    <cellStyle name="Normal_PANELS" xfId="17" xr:uid="{00000000-0005-0000-0000-00000F000000}"/>
    <cellStyle name="Normal_Price Lists" xfId="19" xr:uid="{C3F1B082-0B7C-442E-BB74-19860AC4CCAA}"/>
    <cellStyle name="Normal_Prince_Est" xfId="20" xr:uid="{3EBC4489-9371-4C00-8203-71E6B59B59DF}"/>
    <cellStyle name="Normal_RATES" xfId="16" xr:uid="{00000000-0005-0000-0000-000010000000}"/>
    <cellStyle name="Normal_STANDARD" xfId="8" xr:uid="{00000000-0005-0000-0000-000011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checked="Checked" fmlaLink="$G$1" lockText="1" noThreeD="1"/>
</file>

<file path=xl/ctrlProps/ctrlProp2.xml><?xml version="1.0" encoding="utf-8"?>
<formControlPr xmlns="http://schemas.microsoft.com/office/spreadsheetml/2009/9/main" objectType="CheckBox" checked="Checked" fmlaLink="$G$2" lockText="1" noThreeD="1"/>
</file>

<file path=xl/ctrlProps/ctrlProp3.xml><?xml version="1.0" encoding="utf-8"?>
<formControlPr xmlns="http://schemas.microsoft.com/office/spreadsheetml/2009/9/main" objectType="CheckBox" checked="Checked" fmlaLink="$G$3" lockText="1" noThreeD="1"/>
</file>

<file path=xl/ctrlProps/ctrlProp4.xml><?xml version="1.0" encoding="utf-8"?>
<formControlPr xmlns="http://schemas.microsoft.com/office/spreadsheetml/2009/9/main" objectType="CheckBox" checked="Checked" fmlaLink="$G$4" lockText="1" noThreeD="1"/>
</file>

<file path=xl/ctrlProps/ctrlProp5.xml><?xml version="1.0" encoding="utf-8"?>
<formControlPr xmlns="http://schemas.microsoft.com/office/spreadsheetml/2009/9/main" objectType="CheckBox" checked="Checked" fmlaLink="$G$5" lockText="1" noThreeD="1"/>
</file>

<file path=xl/ctrlProps/ctrlProp6.xml><?xml version="1.0" encoding="utf-8"?>
<formControlPr xmlns="http://schemas.microsoft.com/office/spreadsheetml/2009/9/main" objectType="CheckBox" checked="Checked" fmlaLink="$G$6" lockText="1" noThreeD="1"/>
</file>

<file path=xl/ctrlProps/ctrlProp7.xml><?xml version="1.0" encoding="utf-8"?>
<formControlPr xmlns="http://schemas.microsoft.com/office/spreadsheetml/2009/9/main" objectType="CheckBox" checked="Checked" fmlaLink="$G$7" lockText="1" noThreeD="1"/>
</file>

<file path=xl/ctrlProps/ctrlProp8.xml><?xml version="1.0" encoding="utf-8"?>
<formControlPr xmlns="http://schemas.microsoft.com/office/spreadsheetml/2009/9/main" objectType="CheckBox" checked="Checked" fmlaLink="$G$8" lockText="1" noThreeD="1"/>
</file>

<file path=xl/ctrlProps/ctrlProp9.xml><?xml version="1.0" encoding="utf-8"?>
<formControlPr xmlns="http://schemas.microsoft.com/office/spreadsheetml/2009/9/main" objectType="CheckBox" checked="Checked" fmlaLink="$G$9" lockText="1" noThreeD="1"/>
</file>

<file path=xl/ctrlProps/ctrlProp10.xml><?xml version="1.0" encoding="utf-8"?>
<formControlPr xmlns="http://schemas.microsoft.com/office/spreadsheetml/2009/9/main" objectType="CheckBox" checked="Checked" fmlaLink="$H$1" lockText="1" noThreeD="1"/>
</file>

<file path=xl/ctrlProps/ctrlProp11.xml><?xml version="1.0" encoding="utf-8"?>
<formControlPr xmlns="http://schemas.microsoft.com/office/spreadsheetml/2009/9/main" objectType="CheckBox" checked="Checked"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266700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1</xdr:col>
          <xdr:colOff>137160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342900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335280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274320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251460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1</xdr:col>
          <xdr:colOff>68580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190500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563880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CONDITIONS: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Electrical BOQ Items 4.0b, 5.0b and 19.0a - Our rates in these items allow for the supply and installation of MCC-PR, complete with outgoing power circuits to the following mechanical equipment:</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a. Pumps P206, P207, P208, P209 and P210.</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b. Pressurisation Units P-HTW1, PU-HTW1 and PU-HTHW1</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c. Extractor fans EF/1, EF/2 and EF/3.</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We reserve the right to review our rates if additional mechanical equipment need to be supplied from this Motor Control Center.  </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1" i="0" u="sng" strike="noStrike" baseline="0">
              <a:solidFill>
                <a:srgbClr val="000000"/>
              </a:solidFill>
              <a:latin typeface="Mark Pro Book" panose="020B0604020201010104" pitchFamily="34" charset="0"/>
              <a:cs typeface="Arial"/>
            </a:rPr>
            <a:t>EXCLUSIONS:</a:t>
          </a: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Any builders' work unless mentioned in the BIll of Quantities. </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2) Work outside our normal working hours.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Security of the works after normal working hours.</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4) Dismantling of any existing installation / false ceiling / furnishings unless included in attached BOQ.</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5) Anything not mentioned in our Bill of Quantities.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and technical literature.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23"/>
  <sheetViews>
    <sheetView workbookViewId="0"/>
  </sheetViews>
  <sheetFormatPr defaultRowHeight="13.2"/>
  <cols>
    <col min="1" max="1" width="7.109375" style="502"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507" t="s">
        <v>265</v>
      </c>
      <c r="C1" s="515" t="s">
        <v>277</v>
      </c>
      <c r="D1" s="330"/>
    </row>
    <row r="2" spans="1:4">
      <c r="C2" s="145" t="s">
        <v>215</v>
      </c>
    </row>
    <row r="3" spans="1:4">
      <c r="A3" s="179" t="s">
        <v>266</v>
      </c>
      <c r="C3" s="140" t="s">
        <v>173</v>
      </c>
    </row>
    <row r="4" spans="1:4">
      <c r="C4" s="143" t="s">
        <v>174</v>
      </c>
    </row>
    <row r="5" spans="1:4">
      <c r="A5" s="502" t="s">
        <v>268</v>
      </c>
      <c r="C5" s="141" t="s">
        <v>175</v>
      </c>
    </row>
    <row r="6" spans="1:4">
      <c r="A6" s="502">
        <v>1</v>
      </c>
      <c r="C6" s="142" t="s">
        <v>176</v>
      </c>
    </row>
    <row r="7" spans="1:4">
      <c r="A7" s="502">
        <v>2</v>
      </c>
      <c r="C7" s="144" t="s">
        <v>177</v>
      </c>
    </row>
    <row r="8" spans="1:4">
      <c r="C8" s="144" t="s">
        <v>178</v>
      </c>
    </row>
    <row r="9" spans="1:4">
      <c r="A9" s="502" t="s">
        <v>99</v>
      </c>
      <c r="C9" s="145" t="s">
        <v>179</v>
      </c>
    </row>
    <row r="10" spans="1:4">
      <c r="A10" s="502">
        <v>1</v>
      </c>
      <c r="C10" s="506"/>
    </row>
    <row r="11" spans="1:4">
      <c r="A11" s="502">
        <v>2</v>
      </c>
      <c r="C11" t="s">
        <v>211</v>
      </c>
    </row>
    <row r="12" spans="1:4">
      <c r="C12" s="503" t="s">
        <v>212</v>
      </c>
    </row>
    <row r="13" spans="1:4">
      <c r="A13" s="179" t="s">
        <v>267</v>
      </c>
      <c r="C13" s="504" t="s">
        <v>213</v>
      </c>
    </row>
    <row r="14" spans="1:4">
      <c r="C14" s="505" t="s">
        <v>214</v>
      </c>
    </row>
    <row r="15" spans="1:4">
      <c r="A15" s="502" t="s">
        <v>269</v>
      </c>
    </row>
    <row r="16" spans="1:4">
      <c r="A16" s="502">
        <v>1</v>
      </c>
    </row>
    <row r="17" spans="1:1">
      <c r="A17" s="502">
        <v>2</v>
      </c>
    </row>
    <row r="18" spans="1:1">
      <c r="A18" s="502">
        <v>3</v>
      </c>
    </row>
    <row r="20" spans="1:1">
      <c r="A20" s="502" t="s">
        <v>270</v>
      </c>
    </row>
    <row r="21" spans="1:1">
      <c r="A21" s="502">
        <v>1</v>
      </c>
    </row>
    <row r="22" spans="1:1">
      <c r="A22" s="502">
        <v>2</v>
      </c>
    </row>
    <row r="23" spans="1:1">
      <c r="A23" s="502">
        <v>3</v>
      </c>
    </row>
  </sheetData>
  <phoneticPr fontId="3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76"/>
  <sheetViews>
    <sheetView zoomScale="115" zoomScaleNormal="115" workbookViewId="0">
      <selection activeCell="X12" sqref="X12"/>
    </sheetView>
  </sheetViews>
  <sheetFormatPr defaultColWidth="9.109375" defaultRowHeight="13.2"/>
  <cols>
    <col min="1" max="1" width="8.33203125" style="36" customWidth="1"/>
    <col min="2" max="2" width="12.44140625" style="192" customWidth="1"/>
    <col min="3" max="3" width="11.5546875" style="36" hidden="1" customWidth="1"/>
    <col min="4" max="4" width="11.5546875" style="36" customWidth="1"/>
    <col min="5" max="5" width="13" style="36" customWidth="1"/>
    <col min="6" max="6" width="13.109375" style="36" customWidth="1"/>
    <col min="7" max="7" width="10" style="36" hidden="1" customWidth="1"/>
    <col min="8" max="14" width="8.6640625" style="36" hidden="1" customWidth="1"/>
    <col min="15" max="15" width="5.33203125" style="36" hidden="1" customWidth="1"/>
    <col min="16" max="16" width="7.6640625" style="36" hidden="1" customWidth="1"/>
    <col min="17" max="17" width="8" style="36" customWidth="1"/>
    <col min="18" max="18" width="12.109375" style="36" customWidth="1"/>
    <col min="19" max="19" width="11.109375" style="36" customWidth="1"/>
    <col min="20" max="20" width="10.5546875" style="36" customWidth="1"/>
    <col min="21" max="21" width="8.6640625" style="36" customWidth="1"/>
    <col min="22" max="22" width="9.6640625" style="36" customWidth="1"/>
    <col min="23" max="23" width="10.109375" style="36" customWidth="1"/>
    <col min="24" max="24" width="11.44140625" style="36" customWidth="1"/>
    <col min="25" max="28" width="9.109375" style="36"/>
    <col min="29" max="29" width="16.21875" style="36" bestFit="1" customWidth="1"/>
    <col min="30" max="30" width="13.33203125" style="36" bestFit="1" customWidth="1"/>
    <col min="31" max="16384" width="9.109375" style="36"/>
  </cols>
  <sheetData>
    <row r="1" spans="1:30" ht="19.5" customHeight="1">
      <c r="B1" s="521" t="s">
        <v>0</v>
      </c>
      <c r="C1" s="518">
        <v>1</v>
      </c>
      <c r="D1" s="1363" t="s">
        <v>1070</v>
      </c>
      <c r="E1" s="1363"/>
      <c r="G1" s="519" t="b">
        <v>1</v>
      </c>
      <c r="H1" s="519" t="b">
        <v>1</v>
      </c>
      <c r="I1" s="324">
        <v>1</v>
      </c>
      <c r="J1" s="325">
        <f t="shared" ref="J1:J10" si="0">$Q109</f>
        <v>1</v>
      </c>
      <c r="K1" s="325">
        <f t="shared" ref="K1:K10" si="1">$Q119</f>
        <v>1</v>
      </c>
      <c r="L1" s="325">
        <f t="shared" ref="L1:L10" si="2">$Q129</f>
        <v>1</v>
      </c>
      <c r="M1" s="325">
        <f t="shared" ref="M1:M10" si="3">$Q139</f>
        <v>1</v>
      </c>
      <c r="N1" s="325">
        <f t="shared" ref="N1:N9" si="4">$Q149</f>
        <v>1</v>
      </c>
      <c r="O1" s="325">
        <f t="shared" ref="O1:O6" si="5">$Q159</f>
        <v>1</v>
      </c>
      <c r="P1" s="11"/>
      <c r="Q1" s="485" t="str">
        <f>IF(C1=1,"€","Curr?")</f>
        <v>€</v>
      </c>
      <c r="R1" s="424" t="s">
        <v>235</v>
      </c>
      <c r="S1" s="508" t="str">
        <f>IF($S$39="PRINT","R","Do Not Print")</f>
        <v>R</v>
      </c>
      <c r="T1" s="550">
        <v>1</v>
      </c>
      <c r="V1" s="180">
        <f t="array" ref="V1">IF(OR(X1=AREAS),1,0)</f>
        <v>1</v>
      </c>
      <c r="W1" s="501" t="s">
        <v>199</v>
      </c>
      <c r="X1" s="181" t="s">
        <v>196</v>
      </c>
      <c r="Y1" s="181" t="s">
        <v>196</v>
      </c>
      <c r="Z1" s="181" t="s">
        <v>196</v>
      </c>
      <c r="AA1" s="181" t="s">
        <v>196</v>
      </c>
      <c r="AB1" s="181" t="s">
        <v>196</v>
      </c>
      <c r="AC1" s="181" t="s">
        <v>196</v>
      </c>
      <c r="AD1" s="181" t="s">
        <v>196</v>
      </c>
    </row>
    <row r="2" spans="1:30" ht="21.75" customHeight="1">
      <c r="A2" s="510"/>
      <c r="B2" s="521" t="s">
        <v>2</v>
      </c>
      <c r="C2" s="517">
        <f>IF($D$6="VAT INCLUDED",1.18,1)*(1-$Q2)*$C$1</f>
        <v>0.97379223448350882</v>
      </c>
      <c r="D2" s="1363" t="s">
        <v>1071</v>
      </c>
      <c r="E2" s="1363"/>
      <c r="F2" s="417" t="s">
        <v>216</v>
      </c>
      <c r="G2" s="519" t="b">
        <v>1</v>
      </c>
      <c r="I2" s="324">
        <v>2</v>
      </c>
      <c r="J2" s="325">
        <f t="shared" si="0"/>
        <v>1</v>
      </c>
      <c r="K2" s="325">
        <f t="shared" si="1"/>
        <v>1</v>
      </c>
      <c r="L2" s="325">
        <f t="shared" si="2"/>
        <v>1</v>
      </c>
      <c r="M2" s="325">
        <f t="shared" si="3"/>
        <v>1</v>
      </c>
      <c r="N2" s="325">
        <f t="shared" si="4"/>
        <v>1</v>
      </c>
      <c r="O2" s="325">
        <f t="shared" si="5"/>
        <v>1</v>
      </c>
      <c r="P2" s="11"/>
      <c r="Q2" s="1337">
        <v>2.6207765516491222E-2</v>
      </c>
      <c r="R2" s="382" t="str">
        <f>"A) " &amp; IF($S2=0,"",ROUND($S2,2) &amp; "-" &amp; ROUND($T2/$D$9,2))</f>
        <v>A) 1.35-1.35</v>
      </c>
      <c r="S2" s="355">
        <v>1.35</v>
      </c>
      <c r="T2" s="355">
        <f>$S2*$D$9</f>
        <v>37.071000000000005</v>
      </c>
      <c r="U2" s="618" t="s">
        <v>1399</v>
      </c>
      <c r="V2" s="189"/>
      <c r="W2" s="189"/>
      <c r="X2" s="181" t="s">
        <v>196</v>
      </c>
      <c r="Y2" s="181" t="s">
        <v>196</v>
      </c>
      <c r="Z2" s="181" t="s">
        <v>196</v>
      </c>
      <c r="AA2" s="181" t="s">
        <v>196</v>
      </c>
      <c r="AB2" s="181" t="s">
        <v>196</v>
      </c>
      <c r="AC2" s="181" t="s">
        <v>196</v>
      </c>
      <c r="AD2" s="181" t="s">
        <v>196</v>
      </c>
    </row>
    <row r="3" spans="1:30" ht="21" customHeight="1">
      <c r="A3" s="511"/>
      <c r="B3" s="521" t="s">
        <v>4</v>
      </c>
      <c r="C3" s="517">
        <f t="shared" ref="C3:C12" si="6">IF($D$6="VAT INCLUDED",1.18,1)*(1-$Q3)*$C$1</f>
        <v>0.97379223448350882</v>
      </c>
      <c r="D3" s="1363" t="s">
        <v>1072</v>
      </c>
      <c r="E3" s="1363"/>
      <c r="F3" s="417" t="s">
        <v>1074</v>
      </c>
      <c r="G3" s="519" t="b">
        <v>1</v>
      </c>
      <c r="I3" s="324">
        <v>3</v>
      </c>
      <c r="J3" s="325">
        <f t="shared" si="0"/>
        <v>1</v>
      </c>
      <c r="K3" s="325">
        <f t="shared" si="1"/>
        <v>1</v>
      </c>
      <c r="L3" s="325">
        <f t="shared" si="2"/>
        <v>1</v>
      </c>
      <c r="M3" s="325">
        <f t="shared" si="3"/>
        <v>1</v>
      </c>
      <c r="N3" s="325">
        <f t="shared" si="4"/>
        <v>1</v>
      </c>
      <c r="O3" s="325">
        <f t="shared" si="5"/>
        <v>1</v>
      </c>
      <c r="P3" s="11"/>
      <c r="Q3" s="1337">
        <v>2.6207765516491222E-2</v>
      </c>
      <c r="R3" s="383" t="str">
        <f>"B) " &amp; IF($S3=0,"",ROUND($S3,2) &amp; "-" &amp; ROUND($T3/$D$9,2))</f>
        <v>B) 1.35-1.66</v>
      </c>
      <c r="S3" s="355">
        <v>1.35</v>
      </c>
      <c r="T3" s="355">
        <f>$S3*33.73</f>
        <v>45.535499999999999</v>
      </c>
      <c r="U3" s="618" t="s">
        <v>1400</v>
      </c>
      <c r="V3" s="189"/>
      <c r="W3" s="189"/>
      <c r="X3" s="181" t="s">
        <v>196</v>
      </c>
      <c r="Y3" s="181" t="s">
        <v>196</v>
      </c>
      <c r="Z3" s="181" t="s">
        <v>196</v>
      </c>
      <c r="AA3" s="181" t="s">
        <v>196</v>
      </c>
      <c r="AB3" s="181" t="s">
        <v>196</v>
      </c>
      <c r="AC3" s="181" t="s">
        <v>196</v>
      </c>
      <c r="AD3" s="181" t="s">
        <v>196</v>
      </c>
    </row>
    <row r="4" spans="1:30" ht="15.75" customHeight="1">
      <c r="A4" s="512"/>
      <c r="B4" s="522" t="s">
        <v>276</v>
      </c>
      <c r="C4" s="438">
        <f t="shared" si="6"/>
        <v>0.97379223448350882</v>
      </c>
      <c r="D4" s="13" t="s">
        <v>1068</v>
      </c>
      <c r="E4" s="341"/>
      <c r="F4" s="417" t="s">
        <v>1075</v>
      </c>
      <c r="G4" s="519" t="b">
        <v>1</v>
      </c>
      <c r="I4" s="324">
        <v>4</v>
      </c>
      <c r="J4" s="325">
        <f t="shared" si="0"/>
        <v>1</v>
      </c>
      <c r="K4" s="325">
        <f t="shared" si="1"/>
        <v>1</v>
      </c>
      <c r="L4" s="325">
        <f t="shared" si="2"/>
        <v>1</v>
      </c>
      <c r="M4" s="325">
        <f t="shared" si="3"/>
        <v>1</v>
      </c>
      <c r="N4" s="325">
        <f t="shared" si="4"/>
        <v>1</v>
      </c>
      <c r="O4" s="325">
        <f t="shared" si="5"/>
        <v>1</v>
      </c>
      <c r="P4" s="11"/>
      <c r="Q4" s="1337">
        <v>2.6207765516491222E-2</v>
      </c>
      <c r="R4" s="384" t="str">
        <f>"C) " &amp; IF($S4=0,"",ROUND($S4,2) &amp; "-" &amp; ROUND($T4/$D$9,2))</f>
        <v>C) 1.35-1.47</v>
      </c>
      <c r="S4" s="355">
        <v>1.35</v>
      </c>
      <c r="T4" s="355">
        <f>$S4*30</f>
        <v>40.5</v>
      </c>
      <c r="U4" s="618" t="s">
        <v>1401</v>
      </c>
      <c r="V4" s="189"/>
      <c r="W4" s="189"/>
      <c r="X4" s="181" t="s">
        <v>196</v>
      </c>
      <c r="Y4" s="181" t="s">
        <v>196</v>
      </c>
      <c r="Z4" s="181" t="s">
        <v>196</v>
      </c>
      <c r="AA4" s="181" t="s">
        <v>196</v>
      </c>
      <c r="AB4" s="181" t="s">
        <v>196</v>
      </c>
      <c r="AC4" s="181" t="s">
        <v>196</v>
      </c>
      <c r="AD4" s="181" t="s">
        <v>196</v>
      </c>
    </row>
    <row r="5" spans="1:30" ht="13.8">
      <c r="A5" s="510"/>
      <c r="B5" s="523" t="s">
        <v>209</v>
      </c>
      <c r="C5" s="438">
        <f t="shared" si="6"/>
        <v>1</v>
      </c>
      <c r="D5" s="13" t="s">
        <v>1069</v>
      </c>
      <c r="E5" s="365"/>
      <c r="F5" s="417" t="s">
        <v>1177</v>
      </c>
      <c r="G5" s="519" t="b">
        <v>1</v>
      </c>
      <c r="I5" s="324">
        <v>5</v>
      </c>
      <c r="J5" s="325">
        <f t="shared" si="0"/>
        <v>1</v>
      </c>
      <c r="K5" s="325">
        <f t="shared" si="1"/>
        <v>1</v>
      </c>
      <c r="L5" s="325">
        <f t="shared" si="2"/>
        <v>1</v>
      </c>
      <c r="M5" s="325">
        <f t="shared" si="3"/>
        <v>1</v>
      </c>
      <c r="N5" s="325">
        <f t="shared" si="4"/>
        <v>1</v>
      </c>
      <c r="O5" s="325">
        <f t="shared" si="5"/>
        <v>1</v>
      </c>
      <c r="P5" s="12"/>
      <c r="Q5" s="364"/>
      <c r="R5" s="385" t="str">
        <f>"D) " &amp; IF($S5=0,"",ROUND($S5,2) &amp; "-" &amp; ROUND($T5/$D$9,2))</f>
        <v>D) 1-1.35</v>
      </c>
      <c r="S5" s="355">
        <v>1</v>
      </c>
      <c r="T5" s="355">
        <f>$S2*$D$9</f>
        <v>37.071000000000005</v>
      </c>
      <c r="V5" s="189"/>
      <c r="W5" s="189"/>
      <c r="X5" s="181" t="s">
        <v>196</v>
      </c>
      <c r="Y5" s="181" t="s">
        <v>196</v>
      </c>
      <c r="Z5" s="181" t="s">
        <v>196</v>
      </c>
      <c r="AA5" s="181" t="s">
        <v>196</v>
      </c>
      <c r="AB5" s="181" t="s">
        <v>196</v>
      </c>
      <c r="AC5" s="181" t="s">
        <v>196</v>
      </c>
      <c r="AD5" s="181" t="s">
        <v>196</v>
      </c>
    </row>
    <row r="6" spans="1:30" ht="13.8">
      <c r="A6" s="512"/>
      <c r="B6" s="523" t="s">
        <v>272</v>
      </c>
      <c r="C6" s="438">
        <f t="shared" si="6"/>
        <v>1</v>
      </c>
      <c r="D6" s="439" t="s">
        <v>230</v>
      </c>
      <c r="E6"/>
      <c r="F6" s="417"/>
      <c r="G6" s="519" t="b">
        <v>1</v>
      </c>
      <c r="I6" s="324">
        <v>6</v>
      </c>
      <c r="J6" s="325">
        <f t="shared" si="0"/>
        <v>1</v>
      </c>
      <c r="K6" s="325">
        <f t="shared" si="1"/>
        <v>1</v>
      </c>
      <c r="L6" s="325">
        <f t="shared" si="2"/>
        <v>1</v>
      </c>
      <c r="M6" s="325">
        <f t="shared" si="3"/>
        <v>1</v>
      </c>
      <c r="N6" s="325">
        <f t="shared" si="4"/>
        <v>1</v>
      </c>
      <c r="O6" s="325">
        <f t="shared" si="5"/>
        <v>1</v>
      </c>
      <c r="P6" s="12"/>
      <c r="Q6" s="364"/>
      <c r="R6" s="386" t="str">
        <f>"E) " &amp; IF($S6=0,"",ROUND($S6,2) &amp; "-" &amp; ROUND($T6/$D$9,2))</f>
        <v xml:space="preserve">E) </v>
      </c>
      <c r="S6" s="355"/>
      <c r="T6" s="355"/>
      <c r="V6" s="189"/>
      <c r="W6" s="189"/>
      <c r="X6" s="181" t="s">
        <v>196</v>
      </c>
      <c r="Y6" s="181" t="s">
        <v>196</v>
      </c>
      <c r="Z6" s="181" t="s">
        <v>196</v>
      </c>
      <c r="AA6" s="181" t="s">
        <v>196</v>
      </c>
      <c r="AB6" s="181" t="s">
        <v>196</v>
      </c>
      <c r="AC6" s="181" t="s">
        <v>196</v>
      </c>
      <c r="AD6" s="181" t="s">
        <v>196</v>
      </c>
    </row>
    <row r="7" spans="1:30" ht="13.8">
      <c r="A7" s="512"/>
      <c r="B7" s="523" t="s">
        <v>12</v>
      </c>
      <c r="C7" s="438">
        <f t="shared" si="6"/>
        <v>1</v>
      </c>
      <c r="D7" s="14">
        <v>45866</v>
      </c>
      <c r="E7"/>
      <c r="F7" s="417"/>
      <c r="G7" s="519" t="b">
        <v>1</v>
      </c>
      <c r="I7" s="324">
        <v>7</v>
      </c>
      <c r="J7" s="325">
        <f t="shared" si="0"/>
        <v>1</v>
      </c>
      <c r="K7" s="325">
        <f t="shared" si="1"/>
        <v>1</v>
      </c>
      <c r="L7" s="325">
        <f t="shared" si="2"/>
        <v>1</v>
      </c>
      <c r="M7" s="325">
        <f t="shared" si="3"/>
        <v>1</v>
      </c>
      <c r="N7" s="325">
        <f t="shared" si="4"/>
        <v>1</v>
      </c>
      <c r="O7" s="325"/>
      <c r="P7" s="191"/>
      <c r="Q7" s="364"/>
      <c r="R7" s="387" t="str">
        <f>"F) " &amp; IF($S7=0,"",ROUND($S7,2) &amp; "-" &amp; ROUND($T7/$D$9,2))</f>
        <v xml:space="preserve">F) </v>
      </c>
      <c r="S7" s="355"/>
      <c r="T7" s="355"/>
      <c r="V7" s="189"/>
      <c r="W7" s="189"/>
      <c r="X7" s="181" t="s">
        <v>196</v>
      </c>
      <c r="Y7" s="181" t="s">
        <v>196</v>
      </c>
      <c r="Z7" s="181" t="s">
        <v>196</v>
      </c>
      <c r="AA7" s="181" t="s">
        <v>196</v>
      </c>
      <c r="AB7" s="181" t="s">
        <v>196</v>
      </c>
      <c r="AC7" s="181" t="s">
        <v>196</v>
      </c>
      <c r="AD7" s="181" t="s">
        <v>196</v>
      </c>
    </row>
    <row r="8" spans="1:30" ht="13.8">
      <c r="A8" s="510"/>
      <c r="B8" s="523" t="s">
        <v>14</v>
      </c>
      <c r="C8" s="438">
        <f t="shared" si="6"/>
        <v>1</v>
      </c>
      <c r="D8" s="15" t="s">
        <v>303</v>
      </c>
      <c r="E8"/>
      <c r="F8" s="417"/>
      <c r="G8" s="519" t="b">
        <v>1</v>
      </c>
      <c r="I8" s="324">
        <v>8</v>
      </c>
      <c r="J8" s="325">
        <f t="shared" si="0"/>
        <v>1</v>
      </c>
      <c r="K8" s="325">
        <f t="shared" si="1"/>
        <v>1</v>
      </c>
      <c r="L8" s="325">
        <f t="shared" si="2"/>
        <v>1</v>
      </c>
      <c r="M8" s="325">
        <f t="shared" si="3"/>
        <v>1</v>
      </c>
      <c r="N8" s="325">
        <f t="shared" si="4"/>
        <v>1</v>
      </c>
      <c r="O8" s="325"/>
      <c r="P8" s="16"/>
      <c r="Q8" s="364"/>
      <c r="R8" s="388" t="str">
        <f>"G) " &amp; IF($S8=0,"",ROUND($S8,2) &amp; "-" &amp; ROUND($T8/$D$9,2))</f>
        <v xml:space="preserve">G) </v>
      </c>
      <c r="S8" s="355"/>
      <c r="T8" s="355"/>
      <c r="V8" s="189"/>
      <c r="W8" s="189"/>
      <c r="X8" s="181" t="s">
        <v>196</v>
      </c>
      <c r="Y8" s="181" t="s">
        <v>196</v>
      </c>
      <c r="Z8" s="181" t="s">
        <v>196</v>
      </c>
      <c r="AA8" s="181" t="s">
        <v>196</v>
      </c>
      <c r="AB8" s="181" t="s">
        <v>196</v>
      </c>
      <c r="AC8" s="181" t="s">
        <v>196</v>
      </c>
      <c r="AD8" s="181" t="s">
        <v>196</v>
      </c>
    </row>
    <row r="9" spans="1:30" ht="13.8">
      <c r="A9" s="512"/>
      <c r="B9" s="523" t="s">
        <v>273</v>
      </c>
      <c r="C9" s="438">
        <f t="shared" si="6"/>
        <v>1</v>
      </c>
      <c r="D9" s="619">
        <v>27.46</v>
      </c>
      <c r="E9" s="188" t="s">
        <v>302</v>
      </c>
      <c r="F9" s="417"/>
      <c r="G9" s="519" t="b">
        <v>1</v>
      </c>
      <c r="I9" s="324">
        <v>9</v>
      </c>
      <c r="J9" s="325">
        <f t="shared" si="0"/>
        <v>1</v>
      </c>
      <c r="K9" s="325">
        <f t="shared" si="1"/>
        <v>1</v>
      </c>
      <c r="L9" s="325">
        <f t="shared" si="2"/>
        <v>1</v>
      </c>
      <c r="M9" s="325">
        <f t="shared" si="3"/>
        <v>1</v>
      </c>
      <c r="N9" s="325">
        <f t="shared" si="4"/>
        <v>1</v>
      </c>
      <c r="O9" s="325"/>
      <c r="P9" s="16"/>
      <c r="Q9" s="364"/>
      <c r="R9" s="389" t="str">
        <f>"H) " &amp; IF($S9=0,"",ROUND($S9,2) &amp; "-" &amp; ROUND($T9/$D$9,2))</f>
        <v xml:space="preserve">H) </v>
      </c>
      <c r="S9" s="355"/>
      <c r="T9" s="355"/>
      <c r="V9" s="189"/>
      <c r="W9" s="189"/>
      <c r="X9" s="181" t="s">
        <v>196</v>
      </c>
      <c r="Y9" s="181" t="s">
        <v>196</v>
      </c>
      <c r="Z9" s="181" t="s">
        <v>196</v>
      </c>
      <c r="AA9" s="181" t="s">
        <v>196</v>
      </c>
      <c r="AB9" s="181" t="s">
        <v>196</v>
      </c>
      <c r="AC9" s="181" t="s">
        <v>196</v>
      </c>
      <c r="AD9" s="181" t="s">
        <v>196</v>
      </c>
    </row>
    <row r="10" spans="1:30" ht="13.8">
      <c r="A10" s="512"/>
      <c r="B10" s="524"/>
      <c r="C10" s="438">
        <f t="shared" si="6"/>
        <v>1</v>
      </c>
      <c r="E10" s="188"/>
      <c r="F10" s="417"/>
      <c r="G10" s="519" t="b">
        <v>1</v>
      </c>
      <c r="I10" s="324">
        <v>10</v>
      </c>
      <c r="J10" s="325">
        <f t="shared" si="0"/>
        <v>1</v>
      </c>
      <c r="K10" s="325">
        <f t="shared" si="1"/>
        <v>1</v>
      </c>
      <c r="L10" s="325">
        <f t="shared" si="2"/>
        <v>1</v>
      </c>
      <c r="M10" s="325">
        <f t="shared" si="3"/>
        <v>1</v>
      </c>
      <c r="N10" s="325">
        <f>$Q158</f>
        <v>1</v>
      </c>
      <c r="O10" s="325">
        <f>Q108</f>
        <v>1</v>
      </c>
      <c r="P10" s="16"/>
      <c r="Q10" s="364"/>
      <c r="R10" s="390" t="str">
        <f>" I) " &amp; IF($S10=0,"",ROUND($S10,2) &amp; "-" &amp; ROUND($T10/$D$9,2))</f>
        <v xml:space="preserve"> I) </v>
      </c>
      <c r="S10" s="355"/>
      <c r="T10" s="355"/>
      <c r="V10" s="189"/>
      <c r="W10" s="189"/>
      <c r="X10" s="181" t="s">
        <v>196</v>
      </c>
      <c r="Y10" s="181" t="s">
        <v>196</v>
      </c>
      <c r="Z10" s="181" t="s">
        <v>196</v>
      </c>
      <c r="AA10" s="181" t="s">
        <v>196</v>
      </c>
      <c r="AB10" s="181" t="s">
        <v>196</v>
      </c>
      <c r="AC10" s="181" t="s">
        <v>196</v>
      </c>
      <c r="AD10" s="181" t="s">
        <v>196</v>
      </c>
    </row>
    <row r="11" spans="1:30" ht="13.8">
      <c r="A11" s="513"/>
      <c r="B11" s="525"/>
      <c r="C11" s="438">
        <f t="shared" si="6"/>
        <v>1</v>
      </c>
      <c r="D11"/>
      <c r="E11"/>
      <c r="F11" s="514"/>
      <c r="H11"/>
      <c r="I11" s="326"/>
      <c r="J11" s="326"/>
      <c r="K11" s="326"/>
      <c r="L11" s="326"/>
      <c r="M11" s="326"/>
      <c r="N11" s="326"/>
      <c r="O11" s="326"/>
      <c r="P11" s="187"/>
      <c r="Q11" s="364"/>
      <c r="R11" s="391" t="str">
        <f>"J) " &amp; IF($S11=0,"",ROUND($S11,2) &amp; "-" &amp; ROUND($T11/$D$9,2))</f>
        <v xml:space="preserve">J) </v>
      </c>
      <c r="S11" s="355"/>
      <c r="T11" s="355"/>
      <c r="X11" s="181" t="s">
        <v>196</v>
      </c>
      <c r="Y11" s="181" t="s">
        <v>196</v>
      </c>
      <c r="Z11" s="181" t="s">
        <v>196</v>
      </c>
      <c r="AA11" s="181" t="s">
        <v>196</v>
      </c>
      <c r="AB11" s="181" t="s">
        <v>196</v>
      </c>
      <c r="AC11" s="181" t="s">
        <v>196</v>
      </c>
      <c r="AD11" s="181" t="s">
        <v>196</v>
      </c>
    </row>
    <row r="12" spans="1:30" ht="12.75" customHeight="1" thickBot="1">
      <c r="A12" s="510"/>
      <c r="B12"/>
      <c r="C12" s="438">
        <f t="shared" si="6"/>
        <v>0.97379223448350882</v>
      </c>
      <c r="D12" s="374"/>
      <c r="E12" s="375"/>
      <c r="F12" s="418"/>
      <c r="G12" s="340" t="s">
        <v>29</v>
      </c>
      <c r="H12" s="340" t="s">
        <v>29</v>
      </c>
      <c r="I12" s="340" t="s">
        <v>29</v>
      </c>
      <c r="J12" s="340" t="s">
        <v>29</v>
      </c>
      <c r="K12" s="340" t="s">
        <v>29</v>
      </c>
      <c r="L12" s="340" t="s">
        <v>29</v>
      </c>
      <c r="M12" s="340" t="s">
        <v>29</v>
      </c>
      <c r="N12" s="340" t="s">
        <v>29</v>
      </c>
      <c r="O12" s="340" t="s">
        <v>29</v>
      </c>
      <c r="P12" s="340" t="s">
        <v>29</v>
      </c>
      <c r="Q12" s="1342">
        <v>2.6207765516491222E-2</v>
      </c>
      <c r="R12" s="422" t="s">
        <v>236</v>
      </c>
      <c r="S12" s="487" t="s">
        <v>31</v>
      </c>
      <c r="T12" s="488" t="s">
        <v>32</v>
      </c>
      <c r="X12" s="181" t="s">
        <v>196</v>
      </c>
      <c r="Y12" s="181" t="s">
        <v>196</v>
      </c>
      <c r="Z12" s="181" t="s">
        <v>196</v>
      </c>
      <c r="AA12" s="181" t="s">
        <v>196</v>
      </c>
      <c r="AB12" s="181" t="s">
        <v>196</v>
      </c>
      <c r="AC12" s="181" t="s">
        <v>196</v>
      </c>
      <c r="AD12" s="181" t="s">
        <v>196</v>
      </c>
    </row>
    <row r="13" spans="1:30" ht="17.25" customHeight="1" thickBot="1">
      <c r="A13" s="449"/>
      <c r="B13" s="450" t="s">
        <v>244</v>
      </c>
      <c r="C13" s="451"/>
      <c r="D13" s="452"/>
      <c r="E13" s="453"/>
      <c r="F13" s="454"/>
      <c r="G13" s="376" t="s">
        <v>224</v>
      </c>
      <c r="H13" s="377" t="s">
        <v>225</v>
      </c>
      <c r="I13" s="378" t="s">
        <v>21</v>
      </c>
      <c r="J13" s="378" t="s">
        <v>22</v>
      </c>
      <c r="K13" s="379" t="s">
        <v>23</v>
      </c>
      <c r="L13" s="376" t="s">
        <v>24</v>
      </c>
      <c r="M13" s="376" t="s">
        <v>25</v>
      </c>
      <c r="N13" s="377" t="s">
        <v>226</v>
      </c>
      <c r="O13" s="376" t="s">
        <v>27</v>
      </c>
      <c r="P13" s="380" t="s">
        <v>28</v>
      </c>
      <c r="Q13" s="447" t="s">
        <v>222</v>
      </c>
      <c r="R13" s="423" t="s">
        <v>237</v>
      </c>
      <c r="S13" s="489" t="s">
        <v>263</v>
      </c>
      <c r="T13" s="526">
        <f>SUM(Q108:Q164)/57</f>
        <v>1</v>
      </c>
      <c r="X13" s="181"/>
      <c r="Y13" s="181"/>
      <c r="Z13" s="181"/>
      <c r="AA13" s="181"/>
      <c r="AB13" s="181"/>
      <c r="AC13" s="181"/>
      <c r="AD13" s="181"/>
    </row>
    <row r="14" spans="1:30" ht="27.75" customHeight="1">
      <c r="A14" s="190"/>
      <c r="B14" s="1365" t="str">
        <f>IF($D$6&lt;&gt;"VAT EXCL.", "QUOTE ISSUED WITH                    VAT INCLUDED", "")</f>
        <v/>
      </c>
      <c r="C14" s="1365"/>
      <c r="D14" s="1365"/>
      <c r="E14" s="1365"/>
      <c r="F14" s="7"/>
      <c r="G14" s="7"/>
      <c r="H14" s="7"/>
      <c r="I14" s="7"/>
      <c r="J14" s="7"/>
      <c r="K14" s="7"/>
      <c r="L14" s="7"/>
      <c r="M14" s="7"/>
      <c r="N14" s="7"/>
      <c r="O14" s="7"/>
      <c r="P14" s="7"/>
      <c r="Q14" s="7"/>
      <c r="R14" s="193"/>
      <c r="S14"/>
      <c r="T14" s="194"/>
      <c r="X14" s="181" t="s">
        <v>196</v>
      </c>
      <c r="Y14" s="181" t="s">
        <v>196</v>
      </c>
      <c r="Z14" s="181" t="s">
        <v>196</v>
      </c>
      <c r="AA14" s="181" t="s">
        <v>196</v>
      </c>
      <c r="AB14" s="181" t="s">
        <v>196</v>
      </c>
      <c r="AC14" s="181" t="s">
        <v>196</v>
      </c>
      <c r="AD14" s="181" t="s">
        <v>196</v>
      </c>
    </row>
    <row r="15" spans="1:30" ht="14.25" customHeight="1">
      <c r="A15" s="363"/>
      <c r="B15" s="1365"/>
      <c r="C15" s="1365"/>
      <c r="D15" s="1365"/>
      <c r="E15" s="1365"/>
      <c r="F15" s="363"/>
      <c r="G15" s="363"/>
      <c r="H15" s="363"/>
      <c r="I15" s="363"/>
      <c r="J15" s="363"/>
      <c r="K15" s="363"/>
      <c r="L15" s="363"/>
      <c r="M15" s="363"/>
      <c r="N15" s="363"/>
      <c r="O15" s="363"/>
      <c r="P15" s="363"/>
      <c r="Q15" s="465">
        <f ca="1">(C72-F35)/C72</f>
        <v>1.379172788427504E-2</v>
      </c>
      <c r="R15" s="350" t="s">
        <v>242</v>
      </c>
      <c r="S15" s="348"/>
      <c r="T15" s="349"/>
      <c r="X15" s="181" t="s">
        <v>196</v>
      </c>
      <c r="Y15" s="181" t="s">
        <v>196</v>
      </c>
      <c r="Z15" s="181" t="s">
        <v>196</v>
      </c>
      <c r="AA15" s="181" t="s">
        <v>196</v>
      </c>
      <c r="AB15" s="181" t="s">
        <v>196</v>
      </c>
      <c r="AC15" s="181" t="s">
        <v>196</v>
      </c>
      <c r="AD15" s="181" t="s">
        <v>196</v>
      </c>
    </row>
    <row r="16" spans="1:30" ht="13.5" customHeight="1">
      <c r="A16" s="190"/>
      <c r="B16" s="1364" t="str">
        <f>IF($W$1&lt;&gt;"BOQ", "DIFF SET TO " &amp; W1,"")</f>
        <v/>
      </c>
      <c r="C16" s="1364"/>
      <c r="D16" s="1364"/>
      <c r="E16" s="1364"/>
      <c r="F16" s="188"/>
      <c r="G16" s="188"/>
      <c r="H16" s="188"/>
      <c r="I16" s="188"/>
      <c r="J16" s="188"/>
      <c r="K16" s="188"/>
      <c r="L16" s="188"/>
      <c r="M16" s="188"/>
      <c r="N16" s="188"/>
      <c r="O16" s="188"/>
      <c r="P16" s="188"/>
      <c r="Q16" s="466">
        <f ca="1">(F35-E35)/F35</f>
        <v>0</v>
      </c>
      <c r="R16" s="356" t="s">
        <v>243</v>
      </c>
      <c r="S16" s="357"/>
      <c r="T16" s="358"/>
      <c r="X16" s="181" t="s">
        <v>196</v>
      </c>
      <c r="Y16" s="181" t="s">
        <v>196</v>
      </c>
      <c r="Z16" s="181" t="s">
        <v>196</v>
      </c>
      <c r="AA16" s="181" t="s">
        <v>196</v>
      </c>
      <c r="AB16" s="181" t="s">
        <v>196</v>
      </c>
      <c r="AC16" s="181" t="s">
        <v>196</v>
      </c>
      <c r="AD16" s="181" t="s">
        <v>196</v>
      </c>
    </row>
    <row r="17" spans="1:29" ht="13.5" customHeight="1">
      <c r="B17" s="1364"/>
      <c r="C17" s="1364"/>
      <c r="D17" s="1364"/>
      <c r="E17" s="1364"/>
      <c r="G17" s="8"/>
      <c r="H17" s="8"/>
      <c r="I17" s="8"/>
      <c r="J17" s="8"/>
      <c r="K17" s="8"/>
      <c r="L17" s="8"/>
      <c r="M17" s="8"/>
      <c r="N17" s="8"/>
      <c r="O17" s="8"/>
      <c r="P17" s="8"/>
      <c r="Q17" s="467">
        <f ca="1">F74</f>
        <v>1.379172788427504E-2</v>
      </c>
      <c r="R17" s="359" t="s">
        <v>240</v>
      </c>
      <c r="S17" s="360"/>
      <c r="T17" s="406"/>
    </row>
    <row r="18" spans="1:29" ht="18.75" customHeight="1">
      <c r="A18" s="426"/>
      <c r="B18" s="1346" t="str">
        <f>IF(AND(G1,G2,G3,G4,G5,G6,G7,G8,G9,G10,H1)=TRUE, "", "CHECKLIST INCOMPLETE !" )</f>
        <v/>
      </c>
      <c r="C18" s="1346"/>
      <c r="D18" s="1346"/>
      <c r="E18" s="1346"/>
      <c r="F18" s="426"/>
      <c r="G18"/>
      <c r="H18"/>
      <c r="I18"/>
      <c r="J18"/>
      <c r="K18"/>
      <c r="L18"/>
      <c r="M18"/>
      <c r="N18"/>
      <c r="O18"/>
      <c r="P18"/>
      <c r="Q18" s="1358"/>
      <c r="R18" s="1358"/>
      <c r="S18" s="1358"/>
      <c r="T18" s="1358"/>
    </row>
    <row r="19" spans="1:29" ht="18" customHeight="1">
      <c r="B19" s="1359" t="str">
        <f ca="1">IF(ABS(SUM(A23:A32))&gt;100,"[Discy A-J] are high, Check it out."," ")</f>
        <v xml:space="preserve"> </v>
      </c>
      <c r="C19" s="1359"/>
      <c r="D19" s="1359"/>
      <c r="E19" s="1359"/>
      <c r="G19"/>
      <c r="H19"/>
      <c r="I19"/>
      <c r="J19"/>
      <c r="K19"/>
      <c r="L19"/>
      <c r="M19"/>
      <c r="N19"/>
      <c r="O19"/>
      <c r="P19"/>
      <c r="Q19" s="468">
        <f ca="1">R83</f>
        <v>1.148243113516882</v>
      </c>
      <c r="R19" s="359" t="s">
        <v>241</v>
      </c>
      <c r="S19" s="433"/>
      <c r="T19" s="434"/>
    </row>
    <row r="20" spans="1:29" ht="12.75" customHeight="1">
      <c r="A20" s="516"/>
      <c r="B20" s="516"/>
      <c r="C20" s="516"/>
      <c r="D20" s="516"/>
      <c r="E20" s="516"/>
      <c r="F20"/>
      <c r="G20"/>
      <c r="H20"/>
      <c r="I20"/>
      <c r="J20"/>
      <c r="K20"/>
      <c r="L20"/>
      <c r="M20"/>
      <c r="N20"/>
      <c r="O20"/>
      <c r="P20"/>
      <c r="Q20"/>
      <c r="R20"/>
      <c r="S20"/>
      <c r="T20"/>
    </row>
    <row r="21" spans="1:29" ht="14.4" thickBot="1">
      <c r="A21"/>
      <c r="B21" s="196"/>
      <c r="C21" s="197"/>
      <c r="D21" s="351"/>
      <c r="E21" s="361" t="s">
        <v>218</v>
      </c>
      <c r="F21" s="342" t="s">
        <v>33</v>
      </c>
      <c r="G21" s="128"/>
      <c r="H21" s="128"/>
      <c r="I21" s="128"/>
      <c r="J21" s="128"/>
      <c r="K21" s="128"/>
      <c r="L21" s="128"/>
      <c r="M21" s="128"/>
      <c r="N21" s="128"/>
      <c r="O21" s="128"/>
      <c r="P21" s="128"/>
      <c r="Q21" s="352" t="s">
        <v>220</v>
      </c>
      <c r="R21" s="342" t="s">
        <v>34</v>
      </c>
      <c r="S21" s="128"/>
      <c r="T21" s="342" t="s">
        <v>35</v>
      </c>
      <c r="V21"/>
      <c r="W21"/>
      <c r="X21"/>
    </row>
    <row r="22" spans="1:29" ht="13.8" thickBot="1">
      <c r="A22" s="420" t="s">
        <v>231</v>
      </c>
      <c r="B22" s="381" t="s">
        <v>221</v>
      </c>
      <c r="C22"/>
      <c r="D22" s="351"/>
      <c r="E22" s="362" t="str">
        <f>"SELLING  " &amp; $Q$1</f>
        <v>SELLING  €</v>
      </c>
      <c r="F22" s="473" t="str">
        <f>$Q$1</f>
        <v>€</v>
      </c>
      <c r="G22" s="344" t="s">
        <v>286</v>
      </c>
      <c r="H22" s="592" t="s">
        <v>283</v>
      </c>
      <c r="I22" s="592" t="s">
        <v>284</v>
      </c>
      <c r="J22" s="593" t="s">
        <v>285</v>
      </c>
      <c r="K22" s="344"/>
      <c r="L22" s="344"/>
      <c r="M22" s="344"/>
      <c r="N22" s="344"/>
      <c r="O22" s="344"/>
      <c r="P22" s="344"/>
      <c r="Q22" s="353" t="s">
        <v>219</v>
      </c>
      <c r="R22" s="345" t="s">
        <v>257</v>
      </c>
      <c r="S22" s="344"/>
      <c r="T22" s="343" t="s">
        <v>258</v>
      </c>
      <c r="V22"/>
      <c r="W22" s="1343" t="s">
        <v>1430</v>
      </c>
      <c r="X22" s="1344"/>
      <c r="Y22" s="1344"/>
      <c r="Z22" s="1344"/>
      <c r="AA22" s="1345"/>
      <c r="AC22" s="1332" t="s">
        <v>1431</v>
      </c>
    </row>
    <row r="23" spans="1:29">
      <c r="A23" s="435">
        <f ca="1">IF($F23=0,"",($F23/$C2)-($R23*$S2+$T23*$T2))</f>
        <v>-2.5902801426127553E-3</v>
      </c>
      <c r="B23" s="382" t="str">
        <f ca="1">IF(F23=0,"",IF(R23=0,"A) "&amp;"---,    "&amp;ROUND(($F23/$C2-($R23*$S2))/$T23,2),IF(T23=0,"A) "&amp;ROUND(($F23/$C2)/$R23,2),"A) "&amp;ROUND(($F23/$C2-($T23*$T2))/$R23,2)&amp;", "
&amp;ROUND(($F23/$C2-($R23*$S2))/$T23,2))))</f>
        <v>A) 1.35, 37.07</v>
      </c>
      <c r="C23"/>
      <c r="D23" s="419" t="str">
        <f>IF($F2="","",$F2)</f>
        <v>Electrical</v>
      </c>
      <c r="E23" s="529">
        <f ca="1">F23*(1-Q23)</f>
        <v>147372.96927088292</v>
      </c>
      <c r="F23" s="528">
        <f ca="1">Elec_Est!F953</f>
        <v>147372.96927088292</v>
      </c>
      <c r="G23" s="331">
        <f>C2</f>
        <v>0.97379223448350882</v>
      </c>
      <c r="H23" s="421">
        <f>$S2</f>
        <v>1.35</v>
      </c>
      <c r="I23" s="421">
        <f>$T2</f>
        <v>37.071000000000005</v>
      </c>
      <c r="J23" s="331">
        <f>$D$9</f>
        <v>27.46</v>
      </c>
      <c r="K23" s="331"/>
      <c r="L23" s="331"/>
      <c r="M23" s="331"/>
      <c r="N23" s="331"/>
      <c r="O23" s="331"/>
      <c r="P23" s="331"/>
      <c r="Q23" s="354"/>
      <c r="R23" s="528">
        <f ca="1">Elec_Est!R953</f>
        <v>40888.729999999996</v>
      </c>
      <c r="S23" s="331"/>
      <c r="T23" s="532">
        <f ca="1">Elec_Est!T953</f>
        <v>2593.3869999999997</v>
      </c>
      <c r="V23"/>
      <c r="W23" s="1326">
        <v>151339.24</v>
      </c>
      <c r="X23">
        <v>151339.24</v>
      </c>
      <c r="Y23" s="36">
        <v>40888.729999999996</v>
      </c>
      <c r="AA23" s="1327">
        <v>2593.3869999999997</v>
      </c>
      <c r="AC23" s="1333">
        <f>W23*C2</f>
        <v>147372.976684636</v>
      </c>
    </row>
    <row r="24" spans="1:29">
      <c r="A24" s="436">
        <f t="shared" ref="A24:A32" ca="1" si="7">IF($F24=0,"",($F24/$C3)-($R24*$S3+$T24*$T3))</f>
        <v>-7.5784360087709501E-3</v>
      </c>
      <c r="B24" s="383" t="str">
        <f t="shared" ref="B24:B32" ca="1" si="8">IF(F24=0,"",IF(R24=0,"A) "&amp;"---,    "&amp;ROUND(($F24/$C3-($R24*$S3))/$T24,2),IF(T24=0,"A) "&amp;ROUND(($F24/$C3)/$R24,2),"A) "&amp;ROUND(($F24/$C3-($T24*$T3))/$R24,2)&amp;", "
&amp;ROUND(($F24/$C3-($R24*$S3))/$T24,2))))</f>
        <v>A) 1.35, 45.54</v>
      </c>
      <c r="C24"/>
      <c r="D24" s="419" t="str">
        <f t="shared" ref="D24:D32" si="9">IF($F3="","",$F3)</f>
        <v>ECA (Technician)</v>
      </c>
      <c r="E24" s="529">
        <f t="shared" ref="E24:E32" ca="1" si="10">F24*(1-Q24)</f>
        <v>42268.426904933833</v>
      </c>
      <c r="F24" s="528">
        <f ca="1">Elec_Est!F954</f>
        <v>42268.426904933833</v>
      </c>
      <c r="G24" s="331">
        <f t="shared" ref="G24:G32" si="11">C3</f>
        <v>0.97379223448350882</v>
      </c>
      <c r="H24" s="421">
        <f t="shared" ref="H24:H32" si="12">$S3</f>
        <v>1.35</v>
      </c>
      <c r="I24" s="421">
        <f t="shared" ref="I24:I32" si="13">$T3</f>
        <v>45.535499999999999</v>
      </c>
      <c r="J24" s="331">
        <f t="shared" ref="J24:J32" si="14">$D$9</f>
        <v>27.46</v>
      </c>
      <c r="K24" s="331"/>
      <c r="L24" s="331"/>
      <c r="M24" s="331"/>
      <c r="N24" s="331"/>
      <c r="O24" s="331"/>
      <c r="P24" s="331"/>
      <c r="Q24" s="354"/>
      <c r="R24" s="528">
        <f>Elec_Est!R954</f>
        <v>24878.050000000003</v>
      </c>
      <c r="S24" s="331"/>
      <c r="T24" s="531">
        <f>Elec_Est!T954</f>
        <v>215.67000000000002</v>
      </c>
      <c r="V24"/>
      <c r="W24" s="1326">
        <v>43406.009999999995</v>
      </c>
      <c r="X24">
        <v>43406.009999999995</v>
      </c>
      <c r="Y24" s="36">
        <v>24878.050000000003</v>
      </c>
      <c r="AA24" s="1327">
        <v>215.67000000000002</v>
      </c>
      <c r="AC24" s="1333">
        <f t="shared" ref="AC24:AC26" si="15">W24*C3</f>
        <v>42268.435467913521</v>
      </c>
    </row>
    <row r="25" spans="1:29">
      <c r="A25" s="436">
        <f t="shared" ca="1" si="7"/>
        <v>4.5017819502390921E-3</v>
      </c>
      <c r="B25" s="384" t="str">
        <f t="shared" ca="1" si="8"/>
        <v>A) 1.35, 40.5</v>
      </c>
      <c r="C25"/>
      <c r="D25" s="419" t="str">
        <f t="shared" si="9"/>
        <v>ECA (Engineer)</v>
      </c>
      <c r="E25" s="529">
        <f t="shared" ca="1" si="10"/>
        <v>11447.053824183262</v>
      </c>
      <c r="F25" s="528">
        <f ca="1">Elec_Est!F955</f>
        <v>11447.053824183262</v>
      </c>
      <c r="G25" s="331">
        <f t="shared" si="11"/>
        <v>0.97379223448350882</v>
      </c>
      <c r="H25" s="421">
        <f t="shared" si="12"/>
        <v>1.35</v>
      </c>
      <c r="I25" s="421">
        <f t="shared" si="13"/>
        <v>40.5</v>
      </c>
      <c r="J25" s="331">
        <f t="shared" si="14"/>
        <v>27.46</v>
      </c>
      <c r="K25" s="331"/>
      <c r="L25" s="331"/>
      <c r="M25" s="331"/>
      <c r="N25" s="331"/>
      <c r="O25" s="331"/>
      <c r="P25" s="331"/>
      <c r="Q25" s="354"/>
      <c r="R25" s="528">
        <f>Elec_Est!R955</f>
        <v>3000</v>
      </c>
      <c r="S25" s="331"/>
      <c r="T25" s="531">
        <f>Elec_Est!T955</f>
        <v>190.25</v>
      </c>
      <c r="V25"/>
      <c r="W25" s="1326">
        <v>11755.130000000005</v>
      </c>
      <c r="X25">
        <v>11755.130000000005</v>
      </c>
      <c r="Y25" s="36">
        <v>3000</v>
      </c>
      <c r="AA25" s="1327">
        <v>190.25</v>
      </c>
      <c r="AC25" s="1333">
        <f t="shared" si="15"/>
        <v>11447.054309344134</v>
      </c>
    </row>
    <row r="26" spans="1:29" ht="13.8" thickBot="1">
      <c r="A26" s="436">
        <f t="shared" si="7"/>
        <v>0</v>
      </c>
      <c r="B26" s="385" t="str">
        <f t="shared" si="8"/>
        <v>A) 1</v>
      </c>
      <c r="C26"/>
      <c r="D26" s="419" t="str">
        <f t="shared" si="9"/>
        <v>Megaline</v>
      </c>
      <c r="E26" s="529">
        <f t="shared" si="10"/>
        <v>185902.46999999991</v>
      </c>
      <c r="F26" s="528">
        <f>Elec_Est!F956</f>
        <v>185902.46999999991</v>
      </c>
      <c r="G26" s="331">
        <f t="shared" si="11"/>
        <v>1</v>
      </c>
      <c r="H26" s="421">
        <f t="shared" si="12"/>
        <v>1</v>
      </c>
      <c r="I26" s="421">
        <f t="shared" si="13"/>
        <v>37.071000000000005</v>
      </c>
      <c r="J26" s="331">
        <f t="shared" si="14"/>
        <v>27.46</v>
      </c>
      <c r="K26" s="331"/>
      <c r="L26" s="331"/>
      <c r="M26" s="331"/>
      <c r="N26" s="331"/>
      <c r="O26" s="331"/>
      <c r="P26" s="331"/>
      <c r="Q26" s="354"/>
      <c r="R26" s="528">
        <f>Elec_Est!R956</f>
        <v>185902.46999999991</v>
      </c>
      <c r="S26" s="331"/>
      <c r="T26" s="531">
        <f>Elec_Est!T956</f>
        <v>0</v>
      </c>
      <c r="V26"/>
      <c r="W26" s="1328">
        <v>185902.46999999991</v>
      </c>
      <c r="X26" s="1329">
        <v>185902.46999999991</v>
      </c>
      <c r="Y26" s="1330">
        <v>185902.46999999991</v>
      </c>
      <c r="Z26" s="1330"/>
      <c r="AA26" s="1331">
        <v>0</v>
      </c>
      <c r="AC26" s="1334">
        <f t="shared" si="15"/>
        <v>185902.46999999991</v>
      </c>
    </row>
    <row r="27" spans="1:29" ht="35.4" customHeight="1" thickBot="1">
      <c r="A27" s="436" t="str">
        <f t="shared" si="7"/>
        <v/>
      </c>
      <c r="B27" s="386" t="str">
        <f t="shared" si="8"/>
        <v/>
      </c>
      <c r="C27"/>
      <c r="D27" s="419" t="str">
        <f t="shared" si="9"/>
        <v/>
      </c>
      <c r="E27" s="529">
        <f t="shared" si="10"/>
        <v>0</v>
      </c>
      <c r="F27" s="528">
        <f>Elec_Est!F957</f>
        <v>0</v>
      </c>
      <c r="G27" s="331">
        <f t="shared" si="11"/>
        <v>1</v>
      </c>
      <c r="H27" s="421">
        <f t="shared" si="12"/>
        <v>0</v>
      </c>
      <c r="I27" s="421">
        <f t="shared" si="13"/>
        <v>0</v>
      </c>
      <c r="J27" s="331">
        <f t="shared" si="14"/>
        <v>27.46</v>
      </c>
      <c r="K27" s="331"/>
      <c r="L27" s="331"/>
      <c r="M27" s="331"/>
      <c r="N27" s="331"/>
      <c r="O27" s="331"/>
      <c r="P27" s="331"/>
      <c r="Q27" s="354"/>
      <c r="R27" s="528">
        <f>Elec_Est!R957</f>
        <v>0</v>
      </c>
      <c r="S27" s="331"/>
      <c r="T27" s="531">
        <f>Elec_Est!T957</f>
        <v>0</v>
      </c>
      <c r="V27"/>
      <c r="W27" s="1360" t="s">
        <v>1436</v>
      </c>
      <c r="X27" s="1361"/>
      <c r="Y27" s="1361"/>
      <c r="Z27" s="1361"/>
      <c r="AA27" s="1362"/>
    </row>
    <row r="28" spans="1:29">
      <c r="A28" s="436" t="str">
        <f t="shared" si="7"/>
        <v/>
      </c>
      <c r="B28" s="387" t="str">
        <f t="shared" si="8"/>
        <v/>
      </c>
      <c r="C28"/>
      <c r="D28" s="419" t="str">
        <f t="shared" si="9"/>
        <v/>
      </c>
      <c r="E28" s="529">
        <f t="shared" si="10"/>
        <v>0</v>
      </c>
      <c r="F28" s="528">
        <f>Elec_Est!F958</f>
        <v>0</v>
      </c>
      <c r="G28" s="331">
        <f t="shared" si="11"/>
        <v>1</v>
      </c>
      <c r="H28" s="421">
        <f t="shared" si="12"/>
        <v>0</v>
      </c>
      <c r="I28" s="421">
        <f t="shared" si="13"/>
        <v>0</v>
      </c>
      <c r="J28" s="331">
        <f t="shared" si="14"/>
        <v>27.46</v>
      </c>
      <c r="K28" s="331"/>
      <c r="L28" s="331"/>
      <c r="M28" s="331"/>
      <c r="N28" s="331"/>
      <c r="O28" s="331"/>
      <c r="P28" s="331"/>
      <c r="Q28" s="354"/>
      <c r="R28" s="528">
        <f>Elec_Est!R958</f>
        <v>0</v>
      </c>
      <c r="S28" s="331"/>
      <c r="T28" s="531">
        <f>Elec_Est!T958</f>
        <v>0</v>
      </c>
      <c r="V28"/>
      <c r="W28"/>
      <c r="X28"/>
    </row>
    <row r="29" spans="1:29">
      <c r="A29" s="436" t="str">
        <f t="shared" si="7"/>
        <v/>
      </c>
      <c r="B29" s="388" t="str">
        <f t="shared" si="8"/>
        <v/>
      </c>
      <c r="C29"/>
      <c r="D29" s="419" t="str">
        <f t="shared" si="9"/>
        <v/>
      </c>
      <c r="E29" s="529">
        <f t="shared" si="10"/>
        <v>0</v>
      </c>
      <c r="F29" s="528">
        <f>Elec_Est!F959</f>
        <v>0</v>
      </c>
      <c r="G29" s="331">
        <f t="shared" si="11"/>
        <v>1</v>
      </c>
      <c r="H29" s="421">
        <f t="shared" si="12"/>
        <v>0</v>
      </c>
      <c r="I29" s="421">
        <f t="shared" si="13"/>
        <v>0</v>
      </c>
      <c r="J29" s="331">
        <f t="shared" si="14"/>
        <v>27.46</v>
      </c>
      <c r="K29" s="331"/>
      <c r="L29" s="331"/>
      <c r="M29" s="331"/>
      <c r="N29" s="331"/>
      <c r="O29" s="331"/>
      <c r="P29" s="331"/>
      <c r="Q29" s="354"/>
      <c r="R29" s="528">
        <f>Elec_Est!R959</f>
        <v>0</v>
      </c>
      <c r="S29" s="331"/>
      <c r="T29" s="530">
        <f>Elec_Est!T959</f>
        <v>0</v>
      </c>
      <c r="V29"/>
      <c r="W29"/>
      <c r="X29"/>
    </row>
    <row r="30" spans="1:29">
      <c r="A30" s="436" t="str">
        <f t="shared" si="7"/>
        <v/>
      </c>
      <c r="B30" s="389" t="str">
        <f t="shared" si="8"/>
        <v/>
      </c>
      <c r="C30"/>
      <c r="D30" s="419" t="str">
        <f t="shared" si="9"/>
        <v/>
      </c>
      <c r="E30" s="529">
        <f t="shared" si="10"/>
        <v>0</v>
      </c>
      <c r="F30" s="528">
        <f>Elec_Est!F960</f>
        <v>0</v>
      </c>
      <c r="G30" s="331">
        <f t="shared" si="11"/>
        <v>1</v>
      </c>
      <c r="H30" s="421">
        <f t="shared" si="12"/>
        <v>0</v>
      </c>
      <c r="I30" s="421">
        <f t="shared" si="13"/>
        <v>0</v>
      </c>
      <c r="J30" s="331">
        <f t="shared" si="14"/>
        <v>27.46</v>
      </c>
      <c r="K30" s="331"/>
      <c r="L30" s="331"/>
      <c r="M30" s="331"/>
      <c r="N30" s="331"/>
      <c r="O30" s="331"/>
      <c r="P30" s="331"/>
      <c r="Q30" s="354"/>
      <c r="R30" s="528">
        <f>Elec_Est!R960</f>
        <v>0</v>
      </c>
      <c r="S30" s="331"/>
      <c r="T30" s="530">
        <f>Elec_Est!T960</f>
        <v>0</v>
      </c>
      <c r="V30"/>
      <c r="W30"/>
      <c r="X30"/>
    </row>
    <row r="31" spans="1:29">
      <c r="A31" s="436" t="str">
        <f t="shared" si="7"/>
        <v/>
      </c>
      <c r="B31" s="390" t="str">
        <f t="shared" si="8"/>
        <v/>
      </c>
      <c r="C31"/>
      <c r="D31" s="419" t="str">
        <f t="shared" si="9"/>
        <v/>
      </c>
      <c r="E31" s="529">
        <f t="shared" si="10"/>
        <v>0</v>
      </c>
      <c r="F31" s="528">
        <f>Elec_Est!F961</f>
        <v>0</v>
      </c>
      <c r="G31" s="331">
        <f t="shared" si="11"/>
        <v>1</v>
      </c>
      <c r="H31" s="421">
        <f t="shared" si="12"/>
        <v>0</v>
      </c>
      <c r="I31" s="421">
        <f t="shared" si="13"/>
        <v>0</v>
      </c>
      <c r="J31" s="331">
        <f t="shared" si="14"/>
        <v>27.46</v>
      </c>
      <c r="K31" s="331"/>
      <c r="L31" s="331"/>
      <c r="M31" s="331"/>
      <c r="N31" s="331"/>
      <c r="O31" s="331"/>
      <c r="P31" s="331"/>
      <c r="Q31" s="354"/>
      <c r="R31" s="528">
        <f>Elec_Est!R961</f>
        <v>0</v>
      </c>
      <c r="S31" s="331"/>
      <c r="T31" s="530">
        <f>Elec_Est!T961</f>
        <v>0</v>
      </c>
      <c r="V31"/>
      <c r="W31"/>
      <c r="X31"/>
    </row>
    <row r="32" spans="1:29">
      <c r="A32" s="437" t="str">
        <f t="shared" si="7"/>
        <v/>
      </c>
      <c r="B32" s="490" t="str">
        <f t="shared" si="8"/>
        <v/>
      </c>
      <c r="C32"/>
      <c r="D32" s="419" t="str">
        <f t="shared" si="9"/>
        <v/>
      </c>
      <c r="E32" s="529">
        <f t="shared" si="10"/>
        <v>0</v>
      </c>
      <c r="F32" s="528">
        <f>Elec_Est!F962</f>
        <v>0</v>
      </c>
      <c r="G32" s="331">
        <f t="shared" si="11"/>
        <v>1</v>
      </c>
      <c r="H32" s="421">
        <f t="shared" si="12"/>
        <v>0</v>
      </c>
      <c r="I32" s="421">
        <f t="shared" si="13"/>
        <v>0</v>
      </c>
      <c r="J32" s="331">
        <f t="shared" si="14"/>
        <v>27.46</v>
      </c>
      <c r="K32" s="331"/>
      <c r="L32" s="331"/>
      <c r="M32" s="331"/>
      <c r="N32" s="331"/>
      <c r="O32" s="331"/>
      <c r="P32" s="331"/>
      <c r="Q32" s="354"/>
      <c r="R32" s="528">
        <f ca="1">Elec_Est!R962</f>
        <v>0</v>
      </c>
      <c r="S32" s="331"/>
      <c r="T32" s="530">
        <f>Elec_Est!T962</f>
        <v>0</v>
      </c>
      <c r="V32"/>
      <c r="W32"/>
      <c r="X32"/>
    </row>
    <row r="33" spans="1:24">
      <c r="B33"/>
      <c r="C33" s="397" t="s">
        <v>227</v>
      </c>
      <c r="D33"/>
      <c r="E33"/>
      <c r="F33" s="396"/>
      <c r="G33" s="331"/>
      <c r="H33" s="331"/>
      <c r="I33" s="331"/>
      <c r="J33" s="331"/>
      <c r="K33" s="331"/>
      <c r="L33" s="331"/>
      <c r="M33" s="331"/>
      <c r="N33" s="331"/>
      <c r="O33" s="331"/>
      <c r="P33" s="331"/>
      <c r="R33" s="397"/>
      <c r="S33" s="331"/>
      <c r="T33" s="396"/>
      <c r="V33"/>
      <c r="W33"/>
      <c r="X33"/>
    </row>
    <row r="34" spans="1:24" ht="13.8" thickBot="1">
      <c r="B34" s="36"/>
      <c r="C34"/>
      <c r="R34" s="339"/>
      <c r="S34" s="339"/>
      <c r="T34" s="339"/>
      <c r="V34"/>
      <c r="W34"/>
      <c r="X34"/>
    </row>
    <row r="35" spans="1:24">
      <c r="A35" s="491" t="s">
        <v>232</v>
      </c>
      <c r="B35" s="495">
        <f ca="1">'SUMM PG '!H200</f>
        <v>386990.92000000004</v>
      </c>
      <c r="E35" s="529">
        <f ca="1">SUM(E23:E32)</f>
        <v>386990.91999999993</v>
      </c>
      <c r="F35" s="528">
        <f ca="1">SUM(F23:F32)</f>
        <v>386990.91999999993</v>
      </c>
      <c r="G35" s="332"/>
      <c r="H35" s="332"/>
      <c r="I35" s="332"/>
      <c r="J35" s="332"/>
      <c r="K35" s="332"/>
      <c r="L35" s="332"/>
      <c r="M35" s="332"/>
      <c r="N35" s="332"/>
      <c r="O35" s="332"/>
      <c r="P35" s="332"/>
      <c r="Q35" s="333"/>
      <c r="R35" s="337">
        <f ca="1">SUM(R23:R32)</f>
        <v>254669.24999999991</v>
      </c>
      <c r="S35" s="334"/>
      <c r="T35" s="337">
        <f ca="1">SUM(T23:T32)</f>
        <v>2999.3069999999998</v>
      </c>
      <c r="V35"/>
      <c r="W35"/>
      <c r="X35"/>
    </row>
    <row r="36" spans="1:24" ht="14.4" thickBot="1">
      <c r="A36" s="492" t="str">
        <f xml:space="preserve"> IF(A39=0,"0.00",A39-(A38*A37))</f>
        <v>0.00</v>
      </c>
      <c r="B36" s="494" t="s">
        <v>264</v>
      </c>
      <c r="E36" s="591" t="str">
        <f>"ESTIM TOTAL (" &amp; $Q$1 &amp; ")"</f>
        <v>ESTIM TOTAL (€)</v>
      </c>
      <c r="G36" s="332"/>
      <c r="H36" s="332"/>
      <c r="I36" s="332"/>
      <c r="J36" s="332"/>
      <c r="K36" s="332"/>
      <c r="L36" s="332"/>
      <c r="M36" s="332"/>
      <c r="N36" s="332"/>
      <c r="O36" s="332"/>
      <c r="P36" s="332"/>
      <c r="Q36" s="333"/>
      <c r="V36"/>
      <c r="W36"/>
      <c r="X36"/>
    </row>
    <row r="37" spans="1:24" ht="13.8">
      <c r="A37" s="428">
        <v>1.125</v>
      </c>
      <c r="B37" s="493" t="s">
        <v>254</v>
      </c>
      <c r="C37" s="314"/>
      <c r="D37"/>
      <c r="E37" s="432"/>
      <c r="G37"/>
      <c r="H37"/>
      <c r="I37"/>
      <c r="J37"/>
      <c r="K37"/>
      <c r="L37"/>
      <c r="M37"/>
      <c r="N37"/>
      <c r="O37"/>
      <c r="P37"/>
      <c r="Q37"/>
      <c r="R37" s="475">
        <f ca="1">R165</f>
        <v>254667.67889807938</v>
      </c>
      <c r="S37" s="476" t="s">
        <v>223</v>
      </c>
      <c r="T37" s="474">
        <f ca="1">T165</f>
        <v>2999.3099999999995</v>
      </c>
      <c r="V37"/>
      <c r="W37"/>
      <c r="X37"/>
    </row>
    <row r="38" spans="1:24">
      <c r="A38" s="430"/>
      <c r="B38" s="429" t="s">
        <v>252</v>
      </c>
      <c r="C38"/>
      <c r="D38"/>
      <c r="G38"/>
      <c r="H38"/>
      <c r="I38"/>
      <c r="J38"/>
      <c r="K38"/>
      <c r="L38"/>
      <c r="M38"/>
      <c r="N38"/>
      <c r="O38"/>
      <c r="P38"/>
      <c r="Q38"/>
      <c r="R38"/>
      <c r="S38"/>
      <c r="T38"/>
    </row>
    <row r="39" spans="1:24">
      <c r="A39" s="431"/>
      <c r="B39" s="429" t="s">
        <v>253</v>
      </c>
      <c r="C39"/>
      <c r="D39"/>
      <c r="E39"/>
      <c r="F39"/>
      <c r="G39" s="313"/>
      <c r="H39" s="313"/>
      <c r="I39" s="313"/>
      <c r="J39" s="313"/>
      <c r="K39" s="313"/>
      <c r="L39" s="313"/>
      <c r="M39" s="313"/>
      <c r="N39" s="313"/>
      <c r="O39" s="313"/>
      <c r="P39" s="313"/>
      <c r="Q39" s="427" t="s">
        <v>233</v>
      </c>
      <c r="R39" s="477">
        <f ca="1">R37-R35</f>
        <v>-1.5711019205336925</v>
      </c>
      <c r="S39" s="509" t="s">
        <v>271</v>
      </c>
      <c r="T39" s="478">
        <f ca="1">T37-T35</f>
        <v>2.9999999997016857E-3</v>
      </c>
    </row>
    <row r="40" spans="1:24" ht="14.25" customHeight="1">
      <c r="S40" s="520"/>
    </row>
    <row r="41" spans="1:24">
      <c r="B41" s="479" t="s">
        <v>255</v>
      </c>
      <c r="C41" s="480"/>
      <c r="D41" s="470">
        <v>45911</v>
      </c>
      <c r="E41" s="481">
        <v>429609.00999999995</v>
      </c>
      <c r="F41" s="481">
        <v>429609.00999999995</v>
      </c>
      <c r="G41" s="482"/>
      <c r="H41" s="482"/>
      <c r="I41" s="482"/>
      <c r="J41" s="482"/>
      <c r="K41" s="482"/>
      <c r="L41" s="482"/>
      <c r="M41" s="482"/>
      <c r="N41" s="482"/>
      <c r="O41" s="482"/>
      <c r="P41" s="482"/>
      <c r="Q41" s="483"/>
      <c r="R41" s="481">
        <v>283529.32999999996</v>
      </c>
      <c r="S41" s="483"/>
      <c r="T41" s="481">
        <v>3027.3069999999998</v>
      </c>
      <c r="U41" s="618"/>
    </row>
    <row r="42" spans="1:24">
      <c r="B42" s="479" t="s">
        <v>255</v>
      </c>
      <c r="C42"/>
      <c r="D42" s="470">
        <v>45918</v>
      </c>
      <c r="E42" s="481">
        <v>431430.42999999993</v>
      </c>
      <c r="F42" s="481">
        <v>431430.42999999993</v>
      </c>
      <c r="G42" s="482"/>
      <c r="H42" s="482"/>
      <c r="I42" s="482"/>
      <c r="J42" s="482"/>
      <c r="K42" s="482"/>
      <c r="L42" s="482"/>
      <c r="M42" s="482"/>
      <c r="N42" s="482"/>
      <c r="O42" s="482"/>
      <c r="P42" s="482"/>
      <c r="Q42" s="483"/>
      <c r="R42" s="481">
        <v>283529.32999999996</v>
      </c>
      <c r="S42" s="483"/>
      <c r="T42" s="481">
        <v>3067.3069999999998</v>
      </c>
      <c r="U42" s="618" t="s">
        <v>1435</v>
      </c>
    </row>
    <row r="43" spans="1:24">
      <c r="B43" s="479" t="s">
        <v>255</v>
      </c>
      <c r="C43"/>
      <c r="D43" s="470">
        <v>45930</v>
      </c>
      <c r="E43" s="481">
        <v>386990.91999999993</v>
      </c>
      <c r="F43" s="481">
        <v>386990.91999999993</v>
      </c>
      <c r="G43" s="482"/>
      <c r="H43" s="482"/>
      <c r="I43" s="482"/>
      <c r="J43" s="482"/>
      <c r="K43" s="482"/>
      <c r="L43" s="482"/>
      <c r="M43" s="482"/>
      <c r="N43" s="482"/>
      <c r="O43" s="482"/>
      <c r="P43" s="482"/>
      <c r="Q43" s="483"/>
      <c r="R43" s="481">
        <v>254669.24999999991</v>
      </c>
      <c r="S43" s="483"/>
      <c r="T43" s="481">
        <v>2999.3069999999998</v>
      </c>
      <c r="U43" s="618" t="s">
        <v>1440</v>
      </c>
    </row>
    <row r="44" spans="1:24">
      <c r="B44" s="315"/>
      <c r="C44" s="316"/>
      <c r="D44" s="316"/>
    </row>
    <row r="45" spans="1:24" s="205" customFormat="1" ht="14.25" customHeight="1">
      <c r="A45" s="201"/>
      <c r="B45" s="202"/>
      <c r="C45" s="199"/>
      <c r="D45" s="199"/>
    </row>
    <row r="46" spans="1:24" s="205" customFormat="1" ht="13.8">
      <c r="A46" s="425" t="s">
        <v>36</v>
      </c>
      <c r="C46" s="36"/>
      <c r="D46" s="36"/>
    </row>
    <row r="47" spans="1:24" s="205" customFormat="1" ht="14.25" customHeight="1">
      <c r="A47" s="1357" t="s">
        <v>238</v>
      </c>
      <c r="B47" s="1357"/>
      <c r="C47" s="1357"/>
      <c r="D47" s="1357"/>
      <c r="E47" s="1357"/>
      <c r="F47" s="1357"/>
      <c r="G47" s="1357"/>
      <c r="H47" s="1357"/>
      <c r="I47" s="1357"/>
      <c r="J47" s="1357"/>
      <c r="K47" s="1357"/>
      <c r="L47" s="1357"/>
      <c r="M47" s="1357"/>
      <c r="N47" s="1357"/>
      <c r="O47" s="1357"/>
      <c r="P47" s="1357"/>
      <c r="Q47" s="1357"/>
      <c r="R47" s="1357"/>
      <c r="S47" s="1357"/>
    </row>
    <row r="48" spans="1:24" s="205" customFormat="1" ht="14.25" customHeight="1">
      <c r="A48" s="1357" t="s">
        <v>239</v>
      </c>
      <c r="B48" s="1357"/>
      <c r="C48" s="1357"/>
      <c r="D48" s="1357"/>
      <c r="E48" s="1357"/>
      <c r="F48" s="1357"/>
      <c r="G48" s="1357"/>
      <c r="H48" s="1357"/>
      <c r="I48" s="1357"/>
      <c r="J48" s="1357"/>
      <c r="K48" s="1357"/>
      <c r="L48" s="1357"/>
      <c r="M48" s="1357"/>
      <c r="N48" s="1357"/>
      <c r="O48" s="1357"/>
      <c r="P48" s="1357"/>
      <c r="Q48" s="1357"/>
      <c r="R48" s="1357"/>
      <c r="S48" s="1357"/>
      <c r="T48" s="36"/>
    </row>
    <row r="49" spans="1:20" s="205" customFormat="1" ht="13.8">
      <c r="A49" s="36"/>
      <c r="B49" s="192"/>
      <c r="C49" s="36"/>
      <c r="D49" s="36"/>
      <c r="E49" s="36"/>
      <c r="F49" s="36"/>
      <c r="G49" s="36"/>
      <c r="H49" s="36"/>
      <c r="I49" s="36"/>
      <c r="J49" s="36"/>
      <c r="K49" s="36"/>
      <c r="L49" s="36"/>
      <c r="M49" s="36"/>
      <c r="N49" s="36"/>
      <c r="O49" s="36"/>
      <c r="P49" s="36"/>
      <c r="Q49" s="36"/>
      <c r="R49" s="36"/>
      <c r="S49" s="36"/>
      <c r="T49" s="36"/>
    </row>
    <row r="50" spans="1:20" s="205" customFormat="1" ht="13.5" customHeight="1">
      <c r="A50" s="188"/>
      <c r="B50" s="199"/>
      <c r="C50" s="188"/>
      <c r="D50" s="188"/>
      <c r="E50" s="188"/>
      <c r="F50" s="188"/>
      <c r="G50" s="188"/>
      <c r="H50" s="188"/>
      <c r="I50" s="188"/>
      <c r="J50" s="188"/>
      <c r="K50" s="188"/>
      <c r="L50" s="188"/>
      <c r="M50" s="188"/>
      <c r="N50" s="188"/>
      <c r="O50" s="188"/>
      <c r="P50" s="188"/>
      <c r="Q50" s="188"/>
      <c r="R50" s="188"/>
      <c r="S50" s="188"/>
      <c r="T50" s="188"/>
    </row>
    <row r="51" spans="1:20" s="205" customFormat="1" ht="13.5" customHeight="1" thickBot="1">
      <c r="A51" s="206" t="s">
        <v>37</v>
      </c>
      <c r="B51" s="207"/>
      <c r="C51" s="208"/>
      <c r="D51" s="208" t="str">
        <f>D8</f>
        <v>M.Scicluna</v>
      </c>
      <c r="E51" s="188"/>
      <c r="F51" s="209"/>
      <c r="G51" s="210"/>
      <c r="H51" s="210"/>
      <c r="I51" s="210"/>
      <c r="J51" s="210"/>
      <c r="K51" s="210"/>
      <c r="L51" s="210"/>
      <c r="M51" s="188"/>
      <c r="N51" s="188"/>
      <c r="O51" s="188"/>
      <c r="P51" s="188"/>
      <c r="Q51" s="206" t="s">
        <v>38</v>
      </c>
      <c r="R51" s="208"/>
      <c r="S51" s="208"/>
      <c r="T51" s="208"/>
    </row>
    <row r="52" spans="1:20" s="205" customFormat="1" ht="13.5" customHeight="1" thickTop="1">
      <c r="A52" s="211"/>
      <c r="B52" s="199"/>
      <c r="C52" s="188"/>
      <c r="D52" s="188"/>
      <c r="E52" s="188"/>
      <c r="F52" s="188"/>
      <c r="G52" s="188"/>
      <c r="H52" s="188"/>
      <c r="I52" s="188"/>
      <c r="J52" s="188"/>
      <c r="K52" s="188"/>
      <c r="L52" s="188"/>
      <c r="M52" s="188"/>
      <c r="N52" s="188"/>
      <c r="O52" s="188"/>
      <c r="P52" s="188"/>
      <c r="Q52" s="211"/>
      <c r="R52" s="188"/>
      <c r="S52" s="188"/>
      <c r="T52" s="188"/>
    </row>
    <row r="53" spans="1:20" s="205" customFormat="1" ht="13.5" customHeight="1" thickBot="1">
      <c r="A53" s="212" t="s">
        <v>39</v>
      </c>
      <c r="B53" s="208"/>
      <c r="C53" s="208"/>
      <c r="D53" s="208"/>
      <c r="E53" s="188"/>
      <c r="F53" s="209"/>
      <c r="G53" s="210"/>
      <c r="H53" s="210"/>
      <c r="I53" s="210"/>
      <c r="J53" s="210"/>
      <c r="K53" s="210"/>
      <c r="L53" s="210"/>
      <c r="M53" s="188"/>
      <c r="N53" s="188"/>
      <c r="O53" s="188"/>
      <c r="P53" s="188"/>
      <c r="Q53" s="211" t="s">
        <v>40</v>
      </c>
      <c r="R53" s="188"/>
      <c r="S53" s="208"/>
      <c r="T53" s="208"/>
    </row>
    <row r="54" spans="1:20" s="205" customFormat="1" ht="13.5" customHeight="1" thickTop="1">
      <c r="A54" s="212"/>
      <c r="B54" s="199"/>
      <c r="C54" s="188"/>
      <c r="D54" s="188"/>
      <c r="E54" s="188"/>
      <c r="F54" s="209"/>
      <c r="G54" s="188"/>
      <c r="H54" s="188"/>
      <c r="I54" s="188"/>
      <c r="J54" s="188"/>
      <c r="K54" s="188"/>
      <c r="L54" s="188"/>
      <c r="M54" s="188"/>
      <c r="N54" s="188"/>
      <c r="O54" s="188"/>
      <c r="P54" s="188"/>
      <c r="Q54" s="211"/>
      <c r="R54" s="188"/>
      <c r="S54" s="188"/>
      <c r="T54" s="188"/>
    </row>
    <row r="55" spans="1:20" s="205" customFormat="1" ht="13.5" customHeight="1">
      <c r="A55" s="1356" t="s">
        <v>208</v>
      </c>
      <c r="B55" s="1356"/>
      <c r="C55" s="12"/>
      <c r="D55" s="414" t="str">
        <f ca="1" xml:space="preserve"> CELL("filename")</f>
        <v>K:\est\Intercontinental Hotel\Estimates\Estimates Sept 2025\As Awarded Contract\[E25_0477_IH_Retro_Elec_Est_Rev_A_AW.xlsx]Elec_Est</v>
      </c>
      <c r="E55" s="316"/>
      <c r="F55" s="415"/>
      <c r="G55" s="316"/>
      <c r="H55" s="316"/>
      <c r="I55" s="316"/>
      <c r="J55" s="316"/>
      <c r="K55" s="316"/>
      <c r="L55" s="316"/>
      <c r="M55" s="316"/>
      <c r="N55" s="316"/>
      <c r="O55" s="316"/>
      <c r="P55" s="316"/>
      <c r="Q55" s="416"/>
      <c r="R55" s="188"/>
      <c r="S55" s="188"/>
      <c r="T55" s="188"/>
    </row>
    <row r="56" spans="1:20" s="205" customFormat="1" ht="12.75" customHeight="1">
      <c r="A56" s="327"/>
      <c r="B56" s="327"/>
      <c r="C56" s="12"/>
      <c r="D56" s="13"/>
      <c r="E56" s="188"/>
      <c r="F56" s="209"/>
      <c r="G56" s="188"/>
      <c r="H56" s="188"/>
      <c r="I56" s="188"/>
      <c r="J56" s="188"/>
      <c r="K56" s="188"/>
      <c r="L56" s="188"/>
      <c r="M56" s="188"/>
      <c r="N56" s="188"/>
      <c r="O56" s="188"/>
      <c r="P56" s="188"/>
      <c r="Q56" s="211"/>
      <c r="R56" s="188"/>
      <c r="S56" s="188"/>
      <c r="T56" s="188"/>
    </row>
    <row r="57" spans="1:20" ht="21" customHeight="1">
      <c r="B57" s="1349" t="s">
        <v>41</v>
      </c>
      <c r="C57" s="1350"/>
      <c r="D57" s="1350"/>
      <c r="E57" s="1350"/>
      <c r="F57" s="1350"/>
      <c r="G57" s="1350"/>
      <c r="H57" s="1350"/>
      <c r="I57" s="1350"/>
      <c r="J57" s="1350"/>
      <c r="K57" s="1350"/>
      <c r="L57" s="1350"/>
      <c r="M57" s="1350"/>
      <c r="N57" s="1350"/>
      <c r="O57" s="1350"/>
      <c r="P57" s="1350"/>
      <c r="Q57" s="1350"/>
      <c r="R57" s="1350"/>
      <c r="S57" s="1350"/>
      <c r="T57" s="1351"/>
    </row>
    <row r="58" spans="1:20" ht="18" customHeight="1">
      <c r="B58" s="1352" t="s">
        <v>42</v>
      </c>
      <c r="C58" s="1353"/>
      <c r="D58" s="1353"/>
      <c r="E58" s="1353"/>
      <c r="F58" s="1353"/>
      <c r="G58" s="1353"/>
      <c r="H58" s="1353"/>
      <c r="I58" s="1353"/>
      <c r="J58" s="1353"/>
      <c r="K58" s="1353"/>
      <c r="L58" s="1353"/>
      <c r="M58" s="1353"/>
      <c r="N58" s="1353"/>
      <c r="O58" s="1353"/>
      <c r="P58" s="1353"/>
      <c r="Q58" s="1353"/>
      <c r="R58" s="1353"/>
      <c r="S58" s="1354"/>
      <c r="T58" s="1355"/>
    </row>
    <row r="59" spans="1:20">
      <c r="B59" s="213"/>
      <c r="S59" s="214" t="s">
        <v>43</v>
      </c>
      <c r="T59" s="200"/>
    </row>
    <row r="60" spans="1:20">
      <c r="B60" s="213"/>
      <c r="D60" s="215" t="s">
        <v>44</v>
      </c>
      <c r="E60" s="317" t="str">
        <f>D1</f>
        <v>Eden Lesuire Group</v>
      </c>
      <c r="F60" s="318"/>
      <c r="G60" s="145"/>
      <c r="H60" s="145"/>
      <c r="I60" s="145"/>
      <c r="J60" s="145"/>
      <c r="K60" s="145"/>
      <c r="L60" s="145"/>
      <c r="M60" s="145"/>
      <c r="N60" s="145"/>
      <c r="O60" s="145"/>
      <c r="P60" s="145"/>
      <c r="Q60" s="319"/>
      <c r="R60" s="145"/>
      <c r="S60" s="214" t="s">
        <v>300</v>
      </c>
      <c r="T60" s="200"/>
    </row>
    <row r="61" spans="1:20">
      <c r="B61" s="213"/>
      <c r="D61" s="216" t="s">
        <v>45</v>
      </c>
      <c r="E61" s="317" t="str">
        <f>D2</f>
        <v>Intercontinental - Plant Retrofit</v>
      </c>
      <c r="F61" s="318"/>
      <c r="G61" s="145"/>
      <c r="H61" s="145"/>
      <c r="I61" s="145"/>
      <c r="J61" s="145"/>
      <c r="K61" s="145"/>
      <c r="L61" s="145"/>
      <c r="M61" s="145"/>
      <c r="N61" s="145"/>
      <c r="O61" s="145"/>
      <c r="P61" s="145"/>
      <c r="Q61" s="319"/>
      <c r="R61" s="145"/>
      <c r="S61" s="214" t="s">
        <v>295</v>
      </c>
      <c r="T61" s="200"/>
    </row>
    <row r="62" spans="1:20">
      <c r="B62" s="213"/>
      <c r="D62" s="215" t="s">
        <v>46</v>
      </c>
      <c r="E62" s="317" t="str">
        <f>D3</f>
        <v>Retrofitting works for the Electrical Installations</v>
      </c>
      <c r="F62" s="318"/>
      <c r="G62" s="145"/>
      <c r="H62" s="145"/>
      <c r="I62" s="145"/>
      <c r="J62" s="145"/>
      <c r="K62" s="145"/>
      <c r="L62" s="145"/>
      <c r="M62" s="145"/>
      <c r="N62" s="145"/>
      <c r="O62" s="145"/>
      <c r="P62" s="145"/>
      <c r="Q62" s="319"/>
      <c r="R62" s="145"/>
      <c r="S62" s="214" t="s">
        <v>299</v>
      </c>
      <c r="T62" s="200"/>
    </row>
    <row r="63" spans="1:20">
      <c r="B63" s="213"/>
      <c r="D63" s="217" t="s">
        <v>49</v>
      </c>
      <c r="E63" s="317" t="str">
        <f>D4</f>
        <v>EL25-0477</v>
      </c>
      <c r="F63" s="318"/>
      <c r="G63" s="145"/>
      <c r="H63" s="145"/>
      <c r="I63" s="145"/>
      <c r="J63" s="145"/>
      <c r="K63" s="145"/>
      <c r="L63" s="145"/>
      <c r="M63" s="145"/>
      <c r="N63" s="145"/>
      <c r="O63" s="145"/>
      <c r="P63" s="145"/>
      <c r="Q63" s="319"/>
      <c r="R63" s="145"/>
      <c r="S63" s="214"/>
      <c r="T63" s="200"/>
    </row>
    <row r="64" spans="1:20">
      <c r="B64" s="213"/>
      <c r="D64" s="217" t="s">
        <v>50</v>
      </c>
      <c r="E64" s="317" t="str">
        <f>D5</f>
        <v>Tender</v>
      </c>
      <c r="F64" s="318"/>
      <c r="G64" s="145"/>
      <c r="H64" s="145"/>
      <c r="I64" s="145"/>
      <c r="J64" s="145"/>
      <c r="K64" s="145"/>
      <c r="L64" s="145"/>
      <c r="M64" s="145"/>
      <c r="N64" s="145"/>
      <c r="O64" s="145"/>
      <c r="P64" s="145"/>
      <c r="Q64" s="319"/>
      <c r="R64" s="145"/>
      <c r="S64" s="214"/>
      <c r="T64" s="200"/>
    </row>
    <row r="65" spans="2:20">
      <c r="B65" s="213"/>
      <c r="S65" s="214" t="s">
        <v>48</v>
      </c>
      <c r="T65" s="200"/>
    </row>
    <row r="66" spans="2:20">
      <c r="B66" s="213"/>
      <c r="D66" s="217" t="s">
        <v>47</v>
      </c>
      <c r="E66" s="218"/>
      <c r="F66" s="218"/>
      <c r="G66" s="219"/>
      <c r="H66" s="219"/>
      <c r="I66" s="219"/>
      <c r="J66" s="219"/>
      <c r="K66" s="219"/>
      <c r="L66" s="219"/>
      <c r="M66" s="219"/>
      <c r="N66" s="219"/>
      <c r="O66" s="219"/>
      <c r="P66" s="219"/>
      <c r="S66" s="220"/>
      <c r="T66" s="221"/>
    </row>
    <row r="67" spans="2:20">
      <c r="B67" s="213"/>
      <c r="D67" s="217" t="s">
        <v>275</v>
      </c>
      <c r="E67" s="218"/>
      <c r="F67" s="218"/>
      <c r="G67" s="219"/>
      <c r="H67" s="219"/>
      <c r="I67" s="219"/>
      <c r="J67" s="219"/>
      <c r="K67" s="219"/>
      <c r="L67" s="219"/>
      <c r="M67" s="219"/>
      <c r="N67" s="219"/>
      <c r="O67" s="219"/>
      <c r="P67" s="219"/>
      <c r="S67" s="220"/>
      <c r="T67" s="221"/>
    </row>
    <row r="68" spans="2:20">
      <c r="B68" s="222"/>
      <c r="C68" s="108"/>
      <c r="D68" s="108"/>
      <c r="E68" s="108"/>
      <c r="F68" s="108"/>
      <c r="G68" s="108"/>
      <c r="H68" s="108"/>
      <c r="I68" s="108"/>
      <c r="J68" s="108"/>
      <c r="K68" s="108"/>
      <c r="L68" s="108"/>
      <c r="M68" s="108"/>
      <c r="N68" s="108"/>
      <c r="O68" s="108"/>
      <c r="P68" s="108"/>
      <c r="Q68" s="108"/>
      <c r="R68" s="108"/>
      <c r="S68" s="108"/>
      <c r="T68" s="223"/>
    </row>
    <row r="69" spans="2:20" ht="14.25" customHeight="1">
      <c r="B69" s="213"/>
      <c r="T69" s="221"/>
    </row>
    <row r="70" spans="2:20" ht="15.6">
      <c r="B70" s="213"/>
      <c r="E70" s="224" t="s">
        <v>217</v>
      </c>
      <c r="F70" s="198"/>
      <c r="G70" s="198"/>
      <c r="H70" s="198"/>
      <c r="I70" s="198"/>
      <c r="J70" s="198"/>
      <c r="K70" s="198"/>
      <c r="L70" s="198"/>
      <c r="M70" s="198"/>
      <c r="N70" s="198"/>
      <c r="O70" s="198"/>
      <c r="P70" s="198"/>
      <c r="Q70" s="198"/>
      <c r="R70" s="198"/>
      <c r="S70" s="118"/>
      <c r="T70" s="221"/>
    </row>
    <row r="71" spans="2:20">
      <c r="B71" s="213"/>
      <c r="E71" s="226"/>
      <c r="F71" s="198"/>
      <c r="G71" s="198"/>
      <c r="H71" s="198"/>
      <c r="I71" s="198"/>
      <c r="J71" s="198"/>
      <c r="K71" s="198"/>
      <c r="L71" s="198"/>
      <c r="M71" s="198"/>
      <c r="N71" s="198"/>
      <c r="O71" s="198"/>
      <c r="P71" s="198"/>
      <c r="Q71" s="198"/>
      <c r="R71" s="198"/>
      <c r="S71" s="118"/>
      <c r="T71" s="221"/>
    </row>
    <row r="72" spans="2:20">
      <c r="B72" s="346"/>
      <c r="C72" s="395">
        <f ca="1">IF($A$33="MIXED",F23/(1-Q2)+F24/(1-Q3)+F25/(1-Q4)+F26/(1-Q5)+F27/(1-Q6)+F28/(1-Q7)+F29/(1-Q8)+F30/(1-Q9)+F31/(1-Q10)+F32/(1-Q11)-SUM(A23:A32),   F23/(1-Q2)+F24/(1-Q3)+F25/(1-Q4)+F26/(1-Q5)+F27/(1-Q6)+F28/(1-Q7)+F29/(1-Q8)+F30/(1-Q9)+F31/(1-Q10)+F32/(1-Q11))</f>
        <v>392402.83309506567</v>
      </c>
      <c r="E72" s="195" t="s">
        <v>261</v>
      </c>
      <c r="F72" s="455">
        <f ca="1">IF(D6="VAT INCLUDED",C72/($C$1*1.18),C72/$C$1)</f>
        <v>392402.83309506567</v>
      </c>
      <c r="G72" s="198"/>
      <c r="H72" s="198"/>
      <c r="I72" s="198"/>
      <c r="J72" s="198"/>
      <c r="K72" s="198"/>
      <c r="L72" s="198"/>
      <c r="M72" s="198"/>
      <c r="N72" s="198"/>
      <c r="O72" s="198"/>
      <c r="P72" s="198"/>
      <c r="Q72" s="198"/>
      <c r="R72" s="198"/>
      <c r="S72" s="118"/>
      <c r="T72" s="221"/>
    </row>
    <row r="73" spans="2:20">
      <c r="B73" s="213"/>
      <c r="F73" s="461"/>
      <c r="G73" s="198"/>
      <c r="H73" s="198"/>
      <c r="I73" s="198"/>
      <c r="J73" s="198"/>
      <c r="K73" s="198"/>
      <c r="L73" s="198"/>
      <c r="M73" s="198"/>
      <c r="N73" s="198"/>
      <c r="O73" s="198"/>
      <c r="P73" s="198"/>
      <c r="Q73" s="198"/>
      <c r="R73" s="198"/>
      <c r="S73" s="118"/>
      <c r="T73" s="221"/>
    </row>
    <row r="74" spans="2:20" ht="15" customHeight="1">
      <c r="B74" s="346"/>
      <c r="E74" s="464" t="s">
        <v>262</v>
      </c>
      <c r="F74" s="462">
        <f ca="1">(F72-F75)/F72</f>
        <v>1.379172788427504E-2</v>
      </c>
      <c r="G74" s="227"/>
      <c r="H74" s="227"/>
      <c r="I74" s="227"/>
      <c r="J74" s="227"/>
      <c r="K74" s="227"/>
      <c r="L74" s="227"/>
      <c r="M74" s="227"/>
      <c r="N74" s="227"/>
      <c r="O74" s="227"/>
      <c r="P74" s="227"/>
      <c r="Q74" s="228"/>
      <c r="T74" s="221"/>
    </row>
    <row r="75" spans="2:20">
      <c r="B75" s="347"/>
      <c r="E75" s="216" t="s">
        <v>260</v>
      </c>
      <c r="F75" s="463">
        <f ca="1">IF(D6="VAT INCLUDED",E35/($C$1*1.18),E35/$C$1)</f>
        <v>386990.91999999993</v>
      </c>
      <c r="T75" s="221"/>
    </row>
    <row r="76" spans="2:20" ht="14.25" customHeight="1">
      <c r="B76" s="213"/>
      <c r="E76" s="195"/>
      <c r="F76" s="320"/>
      <c r="R76" s="195"/>
      <c r="T76" s="221"/>
    </row>
    <row r="77" spans="2:20" ht="15.6">
      <c r="B77" s="229"/>
      <c r="C77" s="230"/>
      <c r="E77" s="231" t="s">
        <v>210</v>
      </c>
      <c r="F77" s="484">
        <f>$D$9</f>
        <v>27.46</v>
      </c>
      <c r="G77" s="232"/>
      <c r="H77" s="233"/>
      <c r="I77" s="234"/>
      <c r="J77" s="235"/>
      <c r="K77" s="235"/>
      <c r="L77" s="235"/>
      <c r="M77" s="235"/>
      <c r="N77" s="235"/>
      <c r="O77" s="235"/>
      <c r="P77" s="235"/>
      <c r="Q77" s="236"/>
      <c r="R77" s="195" t="s">
        <v>191</v>
      </c>
      <c r="S77" s="225"/>
      <c r="T77" s="221"/>
    </row>
    <row r="78" spans="2:20" ht="15.6">
      <c r="B78" s="229"/>
      <c r="C78" s="230"/>
      <c r="E78" s="237"/>
      <c r="F78" s="238"/>
      <c r="G78" s="239"/>
      <c r="H78" s="240"/>
      <c r="I78" s="241"/>
      <c r="J78" s="236"/>
      <c r="K78" s="236"/>
      <c r="L78" s="236"/>
      <c r="M78" s="236"/>
      <c r="N78" s="236"/>
      <c r="O78" s="236"/>
      <c r="P78" s="236"/>
      <c r="Q78" s="236"/>
      <c r="T78" s="221"/>
    </row>
    <row r="79" spans="2:20" ht="15.6">
      <c r="B79" s="229"/>
      <c r="C79" s="230"/>
      <c r="E79" s="237"/>
      <c r="F79" s="238"/>
      <c r="G79" s="239"/>
      <c r="H79" s="240"/>
      <c r="I79" s="241"/>
      <c r="J79" s="236"/>
      <c r="K79" s="236"/>
      <c r="L79" s="236"/>
      <c r="M79" s="236"/>
      <c r="N79" s="236"/>
      <c r="O79" s="236"/>
      <c r="P79" s="236"/>
      <c r="Q79" s="236"/>
      <c r="T79" s="221"/>
    </row>
    <row r="80" spans="2:20" ht="15">
      <c r="B80" s="229"/>
      <c r="C80" s="230"/>
      <c r="D80" s="242" t="s">
        <v>51</v>
      </c>
      <c r="E80" s="243" t="s">
        <v>68</v>
      </c>
      <c r="F80" s="244" t="s">
        <v>52</v>
      </c>
      <c r="G80" s="245"/>
      <c r="H80" s="245"/>
      <c r="I80" s="245"/>
      <c r="J80" s="245"/>
      <c r="K80" s="245"/>
      <c r="L80" s="245"/>
      <c r="M80" s="245"/>
      <c r="N80" s="245"/>
      <c r="O80" s="245"/>
      <c r="P80" s="245"/>
      <c r="Q80" s="245"/>
      <c r="R80" s="243" t="s">
        <v>251</v>
      </c>
      <c r="S80" s="246"/>
      <c r="T80" s="221"/>
    </row>
    <row r="81" spans="2:20" ht="13.8">
      <c r="B81" s="213"/>
      <c r="D81" s="247" t="s">
        <v>257</v>
      </c>
      <c r="E81" s="128" t="s">
        <v>259</v>
      </c>
      <c r="F81" s="248" t="s">
        <v>257</v>
      </c>
      <c r="R81" s="329"/>
      <c r="S81" s="221"/>
      <c r="T81" s="249"/>
    </row>
    <row r="82" spans="2:20">
      <c r="B82" s="213"/>
      <c r="D82" s="250"/>
      <c r="S82" s="251"/>
      <c r="T82" s="221"/>
    </row>
    <row r="83" spans="2:20">
      <c r="B83" s="213"/>
      <c r="D83" s="456">
        <f ca="1">R165</f>
        <v>254667.67889807938</v>
      </c>
      <c r="E83" s="457">
        <f ca="1">T165</f>
        <v>2999.3099999999995</v>
      </c>
      <c r="F83" s="458">
        <f ca="1">R165+S165</f>
        <v>337028.73149807937</v>
      </c>
      <c r="G83" s="459"/>
      <c r="H83" s="459"/>
      <c r="I83" s="459"/>
      <c r="J83" s="459"/>
      <c r="K83" s="459"/>
      <c r="L83" s="459"/>
      <c r="M83" s="459"/>
      <c r="N83" s="459"/>
      <c r="O83" s="459"/>
      <c r="P83" s="459"/>
      <c r="Q83" s="459"/>
      <c r="R83" s="460">
        <f ca="1">IF(F83=0,0,F75/F83)</f>
        <v>1.148243113516882</v>
      </c>
      <c r="S83" s="251"/>
      <c r="T83" s="221"/>
    </row>
    <row r="84" spans="2:20">
      <c r="B84" s="213"/>
      <c r="D84" s="1347" t="s">
        <v>192</v>
      </c>
      <c r="E84" s="1348"/>
      <c r="S84" s="221"/>
      <c r="T84" s="251"/>
    </row>
    <row r="85" spans="2:20" ht="15">
      <c r="B85" s="213"/>
      <c r="D85" s="252"/>
      <c r="E85" s="108"/>
      <c r="F85" s="108"/>
      <c r="G85" s="108"/>
      <c r="H85" s="253"/>
      <c r="I85" s="254"/>
      <c r="J85" s="108"/>
      <c r="K85" s="108"/>
      <c r="L85" s="108"/>
      <c r="M85" s="108"/>
      <c r="N85" s="108"/>
      <c r="O85" s="108"/>
      <c r="P85" s="108"/>
      <c r="Q85" s="108"/>
      <c r="R85" s="108"/>
      <c r="S85" s="223"/>
      <c r="T85" s="221"/>
    </row>
    <row r="86" spans="2:20" ht="15">
      <c r="B86" s="213"/>
      <c r="H86" s="255"/>
      <c r="I86" s="230"/>
      <c r="T86" s="221"/>
    </row>
    <row r="87" spans="2:20" ht="15">
      <c r="B87" s="213"/>
      <c r="H87" s="255"/>
      <c r="I87" s="230"/>
      <c r="R87" s="195" t="s">
        <v>53</v>
      </c>
      <c r="S87" s="256"/>
      <c r="T87" s="221"/>
    </row>
    <row r="88" spans="2:20" ht="15">
      <c r="B88" s="213"/>
      <c r="H88" s="255"/>
      <c r="I88" s="230"/>
      <c r="R88" s="195" t="s">
        <v>54</v>
      </c>
      <c r="S88" s="256"/>
      <c r="T88" s="221"/>
    </row>
    <row r="89" spans="2:20" ht="15">
      <c r="B89" s="213"/>
      <c r="H89" s="255"/>
      <c r="I89" s="230"/>
      <c r="R89" s="195"/>
      <c r="S89" s="257"/>
      <c r="T89" s="221"/>
    </row>
    <row r="90" spans="2:20" ht="15">
      <c r="B90" s="213"/>
      <c r="H90" s="255"/>
      <c r="I90" s="230"/>
      <c r="R90" s="195" t="s">
        <v>55</v>
      </c>
      <c r="S90" s="258"/>
      <c r="T90" s="221"/>
    </row>
    <row r="91" spans="2:20" ht="15">
      <c r="B91" s="213"/>
      <c r="I91" s="230"/>
      <c r="R91" s="195" t="s">
        <v>56</v>
      </c>
      <c r="S91" s="259"/>
      <c r="T91" s="221"/>
    </row>
    <row r="92" spans="2:20" ht="15">
      <c r="B92" s="213"/>
      <c r="I92" s="230"/>
      <c r="J92" s="260"/>
      <c r="K92" s="261"/>
      <c r="L92" s="261"/>
      <c r="M92" s="261"/>
      <c r="N92" s="261"/>
      <c r="O92" s="261"/>
      <c r="P92" s="261"/>
      <c r="Q92" s="261"/>
      <c r="R92" s="195" t="s">
        <v>57</v>
      </c>
      <c r="S92" s="259"/>
      <c r="T92" s="221"/>
    </row>
    <row r="93" spans="2:20" ht="15">
      <c r="B93" s="213"/>
      <c r="D93" s="262" t="s">
        <v>58</v>
      </c>
      <c r="G93" s="263"/>
      <c r="I93" s="230"/>
      <c r="J93" s="260"/>
      <c r="K93" s="261"/>
      <c r="L93" s="261"/>
      <c r="M93" s="261"/>
      <c r="N93" s="261"/>
      <c r="O93" s="261"/>
      <c r="P93" s="261"/>
      <c r="Q93" s="261"/>
      <c r="R93" s="195"/>
      <c r="T93" s="221"/>
    </row>
    <row r="94" spans="2:20" ht="15.6">
      <c r="B94" s="213"/>
      <c r="D94" s="264" t="s">
        <v>301</v>
      </c>
      <c r="G94" s="263"/>
      <c r="I94" s="230"/>
      <c r="J94" s="260"/>
      <c r="K94" s="261"/>
      <c r="L94" s="261"/>
      <c r="M94" s="261"/>
      <c r="N94" s="261"/>
      <c r="O94" s="261"/>
      <c r="P94" s="261"/>
      <c r="Q94" s="261"/>
      <c r="R94" s="195" t="s">
        <v>59</v>
      </c>
      <c r="S94" s="259"/>
      <c r="T94" s="221"/>
    </row>
    <row r="95" spans="2:20" ht="15">
      <c r="B95" s="213"/>
      <c r="D95" s="265">
        <f ca="1">NOW()</f>
        <v>46030.599587152778</v>
      </c>
      <c r="G95" s="263"/>
      <c r="I95" s="230"/>
      <c r="J95" s="260"/>
      <c r="K95" s="261"/>
      <c r="L95" s="261"/>
      <c r="M95" s="261"/>
      <c r="N95" s="261"/>
      <c r="O95" s="261"/>
      <c r="P95" s="261"/>
      <c r="Q95" s="261"/>
      <c r="R95" s="261"/>
      <c r="T95" s="221"/>
    </row>
    <row r="96" spans="2:20" s="270" customFormat="1" ht="15">
      <c r="B96" s="222"/>
      <c r="C96" s="108"/>
      <c r="D96" s="108"/>
      <c r="E96" s="108"/>
      <c r="F96" s="108"/>
      <c r="G96" s="108"/>
      <c r="H96" s="108"/>
      <c r="I96" s="254"/>
      <c r="J96" s="266"/>
      <c r="K96" s="267"/>
      <c r="L96" s="267"/>
      <c r="M96" s="267"/>
      <c r="N96" s="267"/>
      <c r="O96" s="267"/>
      <c r="P96" s="267"/>
      <c r="Q96" s="267"/>
      <c r="R96" s="267"/>
      <c r="S96" s="268"/>
      <c r="T96" s="269"/>
    </row>
    <row r="97" spans="1:20" s="270" customFormat="1" ht="12" customHeight="1">
      <c r="B97" s="192"/>
      <c r="C97" s="36"/>
      <c r="D97" s="36"/>
      <c r="E97" s="36"/>
      <c r="F97" s="36"/>
      <c r="G97" s="36"/>
      <c r="H97" s="230"/>
      <c r="I97" s="230"/>
      <c r="J97" s="260"/>
      <c r="K97" s="261"/>
      <c r="L97" s="261"/>
      <c r="M97" s="261"/>
      <c r="N97" s="261"/>
      <c r="O97" s="261"/>
      <c r="P97" s="261"/>
      <c r="Q97" s="261"/>
      <c r="R97" s="261"/>
      <c r="S97" s="205"/>
      <c r="T97" s="205"/>
    </row>
    <row r="98" spans="1:20" ht="21" customHeight="1">
      <c r="B98" s="271"/>
      <c r="C98" s="272"/>
      <c r="D98" s="272" t="s">
        <v>41</v>
      </c>
      <c r="E98" s="273"/>
      <c r="F98" s="273"/>
      <c r="G98" s="273"/>
      <c r="H98" s="274"/>
      <c r="I98" s="275"/>
      <c r="J98" s="276"/>
      <c r="K98" s="276"/>
      <c r="L98" s="276"/>
      <c r="M98" s="276"/>
      <c r="N98" s="276"/>
      <c r="O98" s="276"/>
      <c r="P98" s="276"/>
      <c r="Q98" s="276"/>
      <c r="R98" s="276"/>
      <c r="S98" s="277"/>
      <c r="T98" s="278"/>
    </row>
    <row r="99" spans="1:20" ht="15">
      <c r="B99" s="279"/>
      <c r="C99" s="280"/>
      <c r="D99" s="280" t="s">
        <v>60</v>
      </c>
      <c r="E99" s="281"/>
      <c r="F99" s="281"/>
      <c r="G99" s="281"/>
      <c r="H99" s="282"/>
      <c r="I99" s="253"/>
      <c r="J99" s="283"/>
      <c r="K99" s="283"/>
      <c r="L99" s="283"/>
      <c r="M99" s="283"/>
      <c r="N99" s="283"/>
      <c r="O99" s="283"/>
      <c r="P99" s="283"/>
      <c r="Q99" s="283"/>
      <c r="R99" s="283"/>
      <c r="S99" s="283"/>
      <c r="T99" s="284"/>
    </row>
    <row r="100" spans="1:20" ht="15">
      <c r="B100" s="285"/>
      <c r="C100" s="286"/>
      <c r="D100" s="287"/>
      <c r="E100" s="198"/>
      <c r="F100" s="198"/>
      <c r="G100" s="198"/>
      <c r="H100" s="263"/>
      <c r="I100" s="255"/>
      <c r="J100" s="288"/>
      <c r="K100" s="288"/>
      <c r="L100" s="288"/>
      <c r="M100" s="288"/>
      <c r="N100" s="288"/>
      <c r="O100" s="288"/>
      <c r="P100" s="288"/>
      <c r="Q100" s="288"/>
      <c r="R100" s="288"/>
      <c r="S100" s="288"/>
      <c r="T100" s="289"/>
    </row>
    <row r="101" spans="1:20" ht="15">
      <c r="B101" s="213"/>
      <c r="D101" s="290" t="s">
        <v>61</v>
      </c>
      <c r="E101" s="321" t="str">
        <f>E61</f>
        <v>Intercontinental - Plant Retrofit</v>
      </c>
      <c r="F101" s="319"/>
      <c r="G101" s="322"/>
      <c r="H101" s="323"/>
      <c r="I101" s="323"/>
      <c r="J101" s="319"/>
      <c r="K101" s="319"/>
      <c r="L101" s="319"/>
      <c r="M101" s="319"/>
      <c r="N101" s="319"/>
      <c r="O101" s="319"/>
      <c r="P101" s="319"/>
      <c r="Q101" s="319"/>
      <c r="R101" s="319"/>
      <c r="S101" s="145"/>
      <c r="T101" s="221"/>
    </row>
    <row r="102" spans="1:20" ht="15">
      <c r="B102" s="213"/>
      <c r="D102" s="290" t="s">
        <v>62</v>
      </c>
      <c r="E102" s="321" t="str">
        <f>E62</f>
        <v>Retrofitting works for the Electrical Installations</v>
      </c>
      <c r="F102" s="319"/>
      <c r="G102" s="322"/>
      <c r="H102" s="323"/>
      <c r="I102" s="323"/>
      <c r="J102" s="319"/>
      <c r="K102" s="319"/>
      <c r="L102" s="319"/>
      <c r="M102" s="319"/>
      <c r="N102" s="319"/>
      <c r="O102" s="319"/>
      <c r="P102" s="319"/>
      <c r="Q102" s="319"/>
      <c r="R102" s="319"/>
      <c r="S102" s="145"/>
      <c r="T102" s="221"/>
    </row>
    <row r="103" spans="1:20" ht="15">
      <c r="B103" s="291"/>
      <c r="C103" s="292"/>
      <c r="D103" s="217" t="s">
        <v>50</v>
      </c>
      <c r="E103" s="321" t="str">
        <f>E64</f>
        <v>Tender</v>
      </c>
      <c r="F103" s="145"/>
      <c r="G103" s="145"/>
      <c r="H103" s="323"/>
      <c r="I103" s="323"/>
      <c r="J103" s="145"/>
      <c r="K103" s="145"/>
      <c r="L103" s="145"/>
      <c r="M103" s="145"/>
      <c r="N103" s="145"/>
      <c r="O103" s="145"/>
      <c r="P103" s="145"/>
      <c r="Q103" s="145"/>
      <c r="R103" s="145"/>
      <c r="S103" s="145"/>
      <c r="T103" s="221"/>
    </row>
    <row r="104" spans="1:20" ht="15">
      <c r="B104" s="291"/>
      <c r="C104" s="292"/>
      <c r="D104" s="293"/>
      <c r="F104" s="294"/>
      <c r="G104" s="190"/>
      <c r="H104" s="230"/>
      <c r="I104" s="230"/>
      <c r="T104" s="295"/>
    </row>
    <row r="105" spans="1:20">
      <c r="B105" s="296"/>
      <c r="C105" s="245"/>
      <c r="D105" s="245"/>
      <c r="E105" s="245"/>
      <c r="F105" s="297"/>
      <c r="G105" s="245"/>
      <c r="H105" s="245"/>
      <c r="I105" s="245"/>
      <c r="J105" s="245"/>
      <c r="K105" s="245"/>
      <c r="L105" s="245"/>
      <c r="M105" s="245"/>
      <c r="N105" s="245"/>
      <c r="O105" s="245"/>
      <c r="P105" s="245"/>
      <c r="Q105" s="297"/>
      <c r="R105" s="246"/>
      <c r="S105" s="246"/>
      <c r="T105" s="246"/>
    </row>
    <row r="106" spans="1:20">
      <c r="B106" s="213"/>
      <c r="D106" s="129" t="s">
        <v>63</v>
      </c>
      <c r="F106" s="442" t="s">
        <v>64</v>
      </c>
      <c r="G106" s="443"/>
      <c r="H106" s="444"/>
      <c r="I106" s="444"/>
      <c r="J106" s="444"/>
      <c r="K106" s="444"/>
      <c r="L106" s="444"/>
      <c r="M106" s="444"/>
      <c r="N106" s="444"/>
      <c r="O106" s="444"/>
      <c r="P106" s="445"/>
      <c r="Q106" s="442" t="s">
        <v>65</v>
      </c>
      <c r="R106" s="441" t="s">
        <v>66</v>
      </c>
      <c r="S106" s="441" t="s">
        <v>67</v>
      </c>
      <c r="T106" s="441" t="s">
        <v>68</v>
      </c>
    </row>
    <row r="107" spans="1:20" ht="13.8">
      <c r="B107" s="298"/>
      <c r="C107" s="299"/>
      <c r="D107" s="6"/>
      <c r="F107" s="442" t="s">
        <v>69</v>
      </c>
      <c r="G107" s="443"/>
      <c r="H107" s="444"/>
      <c r="I107" s="444"/>
      <c r="J107" s="444"/>
      <c r="K107" s="444"/>
      <c r="L107" s="444"/>
      <c r="M107" s="444"/>
      <c r="N107" s="444"/>
      <c r="O107" s="444"/>
      <c r="P107" s="446"/>
      <c r="Q107" s="442" t="s">
        <v>70</v>
      </c>
      <c r="R107" s="300" t="s">
        <v>257</v>
      </c>
      <c r="S107" s="472">
        <f>$D$9</f>
        <v>27.46</v>
      </c>
      <c r="T107" s="300" t="s">
        <v>259</v>
      </c>
    </row>
    <row r="108" spans="1:20">
      <c r="B108" s="527" t="s">
        <v>71</v>
      </c>
      <c r="C108" s="108"/>
      <c r="D108" s="394" t="s">
        <v>234</v>
      </c>
      <c r="E108" s="108"/>
      <c r="F108" s="301"/>
      <c r="P108" s="405" t="s">
        <v>27</v>
      </c>
      <c r="Q108" s="338">
        <v>1</v>
      </c>
      <c r="R108" s="223"/>
      <c r="S108" s="223"/>
      <c r="T108" s="223"/>
    </row>
    <row r="109" spans="1:20">
      <c r="A109" s="221"/>
      <c r="B109" s="547" t="s">
        <v>72</v>
      </c>
      <c r="C109" s="6" t="s">
        <v>73</v>
      </c>
      <c r="D109" s="36" t="s">
        <v>74</v>
      </c>
      <c r="E109" s="221"/>
      <c r="F109" s="413">
        <v>501</v>
      </c>
      <c r="G109" s="114"/>
      <c r="P109" s="403">
        <v>1</v>
      </c>
      <c r="Q109" s="302">
        <v>1</v>
      </c>
      <c r="R109" s="336">
        <f ca="1">Elec_Est!R974</f>
        <v>802.32379562043798</v>
      </c>
      <c r="S109" s="440">
        <f ca="1">T109*$D$9</f>
        <v>837.53</v>
      </c>
      <c r="T109" s="336">
        <f ca="1">Elec_Est!T974</f>
        <v>30.5</v>
      </c>
    </row>
    <row r="110" spans="1:20">
      <c r="A110" s="221"/>
      <c r="B110" s="547">
        <v>2</v>
      </c>
      <c r="C110" s="6" t="s">
        <v>73</v>
      </c>
      <c r="D110" s="36" t="s">
        <v>75</v>
      </c>
      <c r="E110" s="221"/>
      <c r="F110" s="413">
        <v>505</v>
      </c>
      <c r="G110" s="114"/>
      <c r="P110" s="403">
        <v>1</v>
      </c>
      <c r="Q110" s="302">
        <v>1</v>
      </c>
      <c r="R110" s="336">
        <f>Elec_Est!R975</f>
        <v>0</v>
      </c>
      <c r="S110" s="440">
        <f t="shared" ref="S110:S164" si="16">T110*$D$9</f>
        <v>0</v>
      </c>
      <c r="T110" s="336">
        <f>Elec_Est!T975</f>
        <v>0</v>
      </c>
    </row>
    <row r="111" spans="1:20">
      <c r="A111" s="221"/>
      <c r="B111" s="547">
        <v>3</v>
      </c>
      <c r="C111" s="6" t="s">
        <v>73</v>
      </c>
      <c r="D111" s="36" t="s">
        <v>76</v>
      </c>
      <c r="E111" s="221"/>
      <c r="F111" s="413">
        <v>510</v>
      </c>
      <c r="G111" s="114"/>
      <c r="P111" s="403">
        <v>2</v>
      </c>
      <c r="Q111" s="302">
        <v>1</v>
      </c>
      <c r="R111" s="336">
        <f>Elec_Est!R976</f>
        <v>1012.0200000000001</v>
      </c>
      <c r="S111" s="440">
        <f t="shared" si="16"/>
        <v>494.28000000000003</v>
      </c>
      <c r="T111" s="336">
        <f>Elec_Est!T976</f>
        <v>18</v>
      </c>
    </row>
    <row r="112" spans="1:20">
      <c r="A112" s="221"/>
      <c r="B112" s="547">
        <v>4</v>
      </c>
      <c r="C112" s="6" t="s">
        <v>73</v>
      </c>
      <c r="D112" s="36" t="s">
        <v>77</v>
      </c>
      <c r="E112" s="221"/>
      <c r="F112" s="413">
        <v>511</v>
      </c>
      <c r="G112" s="114"/>
      <c r="P112" s="403">
        <v>2</v>
      </c>
      <c r="Q112" s="302">
        <v>1</v>
      </c>
      <c r="R112" s="336">
        <f>Elec_Est!R977</f>
        <v>0</v>
      </c>
      <c r="S112" s="440">
        <f t="shared" si="16"/>
        <v>0</v>
      </c>
      <c r="T112" s="336">
        <f>Elec_Est!T977</f>
        <v>0</v>
      </c>
    </row>
    <row r="113" spans="1:20">
      <c r="A113" s="221"/>
      <c r="B113" s="547">
        <v>5</v>
      </c>
      <c r="C113" s="6" t="s">
        <v>73</v>
      </c>
      <c r="D113" s="36" t="s">
        <v>78</v>
      </c>
      <c r="E113" s="221"/>
      <c r="F113" s="413">
        <v>512</v>
      </c>
      <c r="G113" s="114"/>
      <c r="P113" s="403">
        <v>2</v>
      </c>
      <c r="Q113" s="302">
        <v>1</v>
      </c>
      <c r="R113" s="336">
        <f>Elec_Est!R978</f>
        <v>23991.29</v>
      </c>
      <c r="S113" s="440">
        <f t="shared" si="16"/>
        <v>10168.9872</v>
      </c>
      <c r="T113" s="336">
        <f>Elec_Est!T978</f>
        <v>370.32</v>
      </c>
    </row>
    <row r="114" spans="1:20">
      <c r="A114" s="221"/>
      <c r="B114" s="547">
        <v>6</v>
      </c>
      <c r="C114" s="6" t="s">
        <v>73</v>
      </c>
      <c r="D114" s="36" t="s">
        <v>79</v>
      </c>
      <c r="E114" s="221"/>
      <c r="F114" s="413">
        <v>520</v>
      </c>
      <c r="G114" s="114"/>
      <c r="P114" s="403">
        <v>1</v>
      </c>
      <c r="Q114" s="302">
        <v>1</v>
      </c>
      <c r="R114" s="336">
        <f>Elec_Est!R979</f>
        <v>0</v>
      </c>
      <c r="S114" s="440">
        <f t="shared" si="16"/>
        <v>0</v>
      </c>
      <c r="T114" s="336">
        <f>Elec_Est!T979</f>
        <v>0</v>
      </c>
    </row>
    <row r="115" spans="1:20">
      <c r="A115" s="221"/>
      <c r="B115" s="547">
        <v>7</v>
      </c>
      <c r="C115" s="6" t="s">
        <v>73</v>
      </c>
      <c r="D115" s="36" t="s">
        <v>80</v>
      </c>
      <c r="E115" s="221"/>
      <c r="F115" s="413">
        <v>530</v>
      </c>
      <c r="G115" s="114"/>
      <c r="P115" s="403">
        <v>2</v>
      </c>
      <c r="Q115" s="302">
        <v>1</v>
      </c>
      <c r="R115" s="336">
        <f>Elec_Est!R980</f>
        <v>0</v>
      </c>
      <c r="S115" s="440">
        <f t="shared" si="16"/>
        <v>0</v>
      </c>
      <c r="T115" s="336">
        <f>Elec_Est!T980</f>
        <v>0</v>
      </c>
    </row>
    <row r="116" spans="1:20">
      <c r="A116" s="221"/>
      <c r="B116" s="547">
        <v>8</v>
      </c>
      <c r="C116" s="6" t="s">
        <v>73</v>
      </c>
      <c r="D116" s="36" t="s">
        <v>81</v>
      </c>
      <c r="E116" s="221"/>
      <c r="F116" s="413">
        <v>550</v>
      </c>
      <c r="G116" s="114"/>
      <c r="P116" s="403">
        <v>2</v>
      </c>
      <c r="Q116" s="302">
        <v>1</v>
      </c>
      <c r="R116" s="336">
        <f>Elec_Est!R981</f>
        <v>0</v>
      </c>
      <c r="S116" s="440">
        <f t="shared" si="16"/>
        <v>0</v>
      </c>
      <c r="T116" s="336">
        <f>Elec_Est!T981</f>
        <v>0</v>
      </c>
    </row>
    <row r="117" spans="1:20">
      <c r="A117" s="221"/>
      <c r="B117" s="547">
        <v>9</v>
      </c>
      <c r="C117" s="6" t="s">
        <v>73</v>
      </c>
      <c r="D117" s="36" t="s">
        <v>82</v>
      </c>
      <c r="E117" s="221"/>
      <c r="F117" s="413">
        <v>570</v>
      </c>
      <c r="G117" s="114"/>
      <c r="P117" s="403">
        <v>2</v>
      </c>
      <c r="Q117" s="302">
        <v>1</v>
      </c>
      <c r="R117" s="336">
        <f>Elec_Est!R982</f>
        <v>4136.76</v>
      </c>
      <c r="S117" s="440">
        <f t="shared" si="16"/>
        <v>1537.76</v>
      </c>
      <c r="T117" s="336">
        <f>Elec_Est!T982</f>
        <v>56</v>
      </c>
    </row>
    <row r="118" spans="1:20">
      <c r="A118" s="221"/>
      <c r="B118" s="547">
        <v>10</v>
      </c>
      <c r="C118" s="6" t="s">
        <v>73</v>
      </c>
      <c r="D118" s="36" t="s">
        <v>83</v>
      </c>
      <c r="E118" s="221"/>
      <c r="F118" s="413">
        <v>615</v>
      </c>
      <c r="G118" s="114"/>
      <c r="P118" s="403">
        <v>2</v>
      </c>
      <c r="Q118" s="302">
        <v>1</v>
      </c>
      <c r="R118" s="336">
        <f ca="1">Elec_Est!R983</f>
        <v>14.520000000000001</v>
      </c>
      <c r="S118" s="440">
        <f t="shared" ca="1" si="16"/>
        <v>18.1236</v>
      </c>
      <c r="T118" s="336">
        <f ca="1">Elec_Est!T983</f>
        <v>0.66</v>
      </c>
    </row>
    <row r="119" spans="1:20">
      <c r="A119" s="221"/>
      <c r="B119" s="547" t="s">
        <v>84</v>
      </c>
      <c r="C119" s="6" t="s">
        <v>73</v>
      </c>
      <c r="D119" s="36" t="s">
        <v>85</v>
      </c>
      <c r="E119" s="221"/>
      <c r="F119" s="413">
        <v>616</v>
      </c>
      <c r="G119" s="114"/>
      <c r="P119" s="403">
        <v>2</v>
      </c>
      <c r="Q119" s="302">
        <v>1</v>
      </c>
      <c r="R119" s="336">
        <f ca="1">Elec_Est!R984</f>
        <v>5678.7</v>
      </c>
      <c r="S119" s="440">
        <f t="shared" ca="1" si="16"/>
        <v>1667.6458000000002</v>
      </c>
      <c r="T119" s="336">
        <f ca="1">Elec_Est!T984</f>
        <v>60.730000000000004</v>
      </c>
    </row>
    <row r="120" spans="1:20">
      <c r="A120" s="221"/>
      <c r="B120" s="547">
        <v>12</v>
      </c>
      <c r="C120" s="6" t="s">
        <v>73</v>
      </c>
      <c r="D120" s="36" t="s">
        <v>86</v>
      </c>
      <c r="E120" s="221"/>
      <c r="F120" s="413">
        <v>617</v>
      </c>
      <c r="G120" s="114"/>
      <c r="P120" s="403">
        <v>2</v>
      </c>
      <c r="Q120" s="302">
        <v>1</v>
      </c>
      <c r="R120" s="336">
        <f ca="1">Elec_Est!R985</f>
        <v>9996.6188524590161</v>
      </c>
      <c r="S120" s="440">
        <f t="shared" ca="1" si="16"/>
        <v>18606.896000000001</v>
      </c>
      <c r="T120" s="336">
        <f ca="1">Elec_Est!T985</f>
        <v>677.6</v>
      </c>
    </row>
    <row r="121" spans="1:20">
      <c r="A121" s="221"/>
      <c r="B121" s="547">
        <v>13</v>
      </c>
      <c r="C121" s="6" t="s">
        <v>73</v>
      </c>
      <c r="D121" s="36" t="s">
        <v>87</v>
      </c>
      <c r="E121" s="221"/>
      <c r="F121" s="413">
        <v>620</v>
      </c>
      <c r="G121" s="114"/>
      <c r="P121" s="403">
        <v>2</v>
      </c>
      <c r="Q121" s="302">
        <v>1</v>
      </c>
      <c r="R121" s="336">
        <f ca="1">Elec_Est!R986</f>
        <v>2038.8400000000001</v>
      </c>
      <c r="S121" s="440">
        <f t="shared" ca="1" si="16"/>
        <v>5321.4184800000003</v>
      </c>
      <c r="T121" s="336">
        <f ca="1">Elec_Est!T986</f>
        <v>193.78800000000001</v>
      </c>
    </row>
    <row r="122" spans="1:20">
      <c r="A122" s="221"/>
      <c r="B122" s="547">
        <v>14</v>
      </c>
      <c r="C122" s="6" t="s">
        <v>73</v>
      </c>
      <c r="D122" s="36" t="s">
        <v>88</v>
      </c>
      <c r="E122" s="221"/>
      <c r="F122" s="413">
        <v>650</v>
      </c>
      <c r="G122" s="114"/>
      <c r="P122" s="403">
        <v>1</v>
      </c>
      <c r="Q122" s="302">
        <v>1</v>
      </c>
      <c r="R122" s="336">
        <f ca="1">Elec_Est!R987</f>
        <v>597.77625</v>
      </c>
      <c r="S122" s="440">
        <f t="shared" ca="1" si="16"/>
        <v>823.80000000000007</v>
      </c>
      <c r="T122" s="336">
        <f ca="1">Elec_Est!T987</f>
        <v>30</v>
      </c>
    </row>
    <row r="123" spans="1:20">
      <c r="A123" s="221"/>
      <c r="B123" s="547">
        <v>15</v>
      </c>
      <c r="C123" s="6" t="s">
        <v>73</v>
      </c>
      <c r="D123" s="36" t="s">
        <v>89</v>
      </c>
      <c r="E123" s="221"/>
      <c r="F123" s="413">
        <v>651</v>
      </c>
      <c r="G123" s="114"/>
      <c r="P123" s="403">
        <v>1</v>
      </c>
      <c r="Q123" s="302">
        <v>1</v>
      </c>
      <c r="R123" s="336">
        <f>Elec_Est!R988</f>
        <v>0</v>
      </c>
      <c r="S123" s="440">
        <f t="shared" si="16"/>
        <v>0</v>
      </c>
      <c r="T123" s="336">
        <f>Elec_Est!T988</f>
        <v>0</v>
      </c>
    </row>
    <row r="124" spans="1:20">
      <c r="A124" s="221"/>
      <c r="B124" s="547">
        <v>16</v>
      </c>
      <c r="C124" s="6" t="s">
        <v>73</v>
      </c>
      <c r="D124" s="36" t="s">
        <v>90</v>
      </c>
      <c r="E124" s="221"/>
      <c r="F124" s="413">
        <v>652</v>
      </c>
      <c r="G124" s="114"/>
      <c r="P124" s="403">
        <v>1</v>
      </c>
      <c r="Q124" s="302">
        <v>1</v>
      </c>
      <c r="R124" s="336">
        <f>Elec_Est!R989</f>
        <v>0</v>
      </c>
      <c r="S124" s="440">
        <f t="shared" si="16"/>
        <v>0</v>
      </c>
      <c r="T124" s="336">
        <f>Elec_Est!T989</f>
        <v>0</v>
      </c>
    </row>
    <row r="125" spans="1:20">
      <c r="A125" s="221"/>
      <c r="B125" s="547">
        <v>17</v>
      </c>
      <c r="C125" s="6" t="s">
        <v>73</v>
      </c>
      <c r="D125" s="36" t="s">
        <v>91</v>
      </c>
      <c r="E125" s="221"/>
      <c r="F125" s="413">
        <v>654</v>
      </c>
      <c r="G125" s="114"/>
      <c r="P125" s="403">
        <v>1</v>
      </c>
      <c r="Q125" s="302">
        <v>1</v>
      </c>
      <c r="R125" s="336">
        <f>Elec_Est!R990</f>
        <v>0</v>
      </c>
      <c r="S125" s="440">
        <f t="shared" si="16"/>
        <v>0</v>
      </c>
      <c r="T125" s="336">
        <f>Elec_Est!T990</f>
        <v>0</v>
      </c>
    </row>
    <row r="126" spans="1:20">
      <c r="A126" s="221"/>
      <c r="B126" s="547">
        <v>18</v>
      </c>
      <c r="C126" s="6" t="s">
        <v>73</v>
      </c>
      <c r="D126" s="36" t="s">
        <v>92</v>
      </c>
      <c r="E126" s="221"/>
      <c r="F126" s="413">
        <v>675</v>
      </c>
      <c r="G126" s="114"/>
      <c r="P126" s="403">
        <v>1</v>
      </c>
      <c r="Q126" s="302">
        <v>1</v>
      </c>
      <c r="R126" s="336">
        <f>Elec_Est!R991</f>
        <v>0</v>
      </c>
      <c r="S126" s="440">
        <f t="shared" si="16"/>
        <v>0</v>
      </c>
      <c r="T126" s="336">
        <f>Elec_Est!T991</f>
        <v>0</v>
      </c>
    </row>
    <row r="127" spans="1:20">
      <c r="A127" s="221"/>
      <c r="B127" s="547">
        <v>19</v>
      </c>
      <c r="C127" s="6" t="s">
        <v>73</v>
      </c>
      <c r="D127" s="36" t="s">
        <v>93</v>
      </c>
      <c r="E127" s="221"/>
      <c r="F127" s="413">
        <v>676</v>
      </c>
      <c r="G127" s="114"/>
      <c r="P127" s="403">
        <v>1</v>
      </c>
      <c r="Q127" s="302">
        <v>1</v>
      </c>
      <c r="R127" s="336">
        <f>Elec_Est!R992</f>
        <v>0</v>
      </c>
      <c r="S127" s="440">
        <f t="shared" si="16"/>
        <v>0</v>
      </c>
      <c r="T127" s="336">
        <f>Elec_Est!T992</f>
        <v>0</v>
      </c>
    </row>
    <row r="128" spans="1:20">
      <c r="A128" s="221"/>
      <c r="B128" s="547">
        <v>20</v>
      </c>
      <c r="C128" s="6" t="s">
        <v>73</v>
      </c>
      <c r="D128" s="36" t="s">
        <v>94</v>
      </c>
      <c r="E128" s="221"/>
      <c r="F128" s="413">
        <v>680</v>
      </c>
      <c r="G128" s="114"/>
      <c r="P128" s="403">
        <v>1</v>
      </c>
      <c r="Q128" s="302">
        <v>1</v>
      </c>
      <c r="R128" s="336">
        <f>Elec_Est!R993</f>
        <v>0</v>
      </c>
      <c r="S128" s="440">
        <f t="shared" si="16"/>
        <v>0</v>
      </c>
      <c r="T128" s="336">
        <f>Elec_Est!T993</f>
        <v>0</v>
      </c>
    </row>
    <row r="129" spans="1:20">
      <c r="A129" s="221"/>
      <c r="B129" s="547" t="s">
        <v>95</v>
      </c>
      <c r="C129" s="6" t="s">
        <v>73</v>
      </c>
      <c r="D129" s="36" t="s">
        <v>96</v>
      </c>
      <c r="E129" s="221"/>
      <c r="F129" s="413">
        <v>681</v>
      </c>
      <c r="G129" s="114"/>
      <c r="P129" s="403">
        <v>1</v>
      </c>
      <c r="Q129" s="302">
        <v>1</v>
      </c>
      <c r="R129" s="336">
        <f>Elec_Est!R994</f>
        <v>0</v>
      </c>
      <c r="S129" s="440">
        <f t="shared" si="16"/>
        <v>0</v>
      </c>
      <c r="T129" s="336">
        <f>Elec_Est!T994</f>
        <v>0</v>
      </c>
    </row>
    <row r="130" spans="1:20">
      <c r="A130" s="221"/>
      <c r="B130" s="547">
        <v>22</v>
      </c>
      <c r="C130" s="6" t="s">
        <v>73</v>
      </c>
      <c r="D130" s="36" t="s">
        <v>97</v>
      </c>
      <c r="E130" s="221"/>
      <c r="F130" s="413">
        <v>690</v>
      </c>
      <c r="G130" s="114"/>
      <c r="P130" s="403">
        <v>1</v>
      </c>
      <c r="Q130" s="302">
        <v>1</v>
      </c>
      <c r="R130" s="336">
        <f ca="1">Elec_Est!R995</f>
        <v>19129.86</v>
      </c>
      <c r="S130" s="440">
        <f t="shared" ca="1" si="16"/>
        <v>31888.474200000001</v>
      </c>
      <c r="T130" s="336">
        <f ca="1">Elec_Est!T995</f>
        <v>1161.27</v>
      </c>
    </row>
    <row r="131" spans="1:20">
      <c r="A131" s="221"/>
      <c r="B131" s="547">
        <v>23</v>
      </c>
      <c r="C131" s="6" t="s">
        <v>73</v>
      </c>
      <c r="D131" s="36" t="s">
        <v>98</v>
      </c>
      <c r="E131" s="221"/>
      <c r="F131" s="413">
        <v>700</v>
      </c>
      <c r="G131" s="114"/>
      <c r="P131" s="403">
        <v>1</v>
      </c>
      <c r="Q131" s="302">
        <v>1</v>
      </c>
      <c r="R131" s="336">
        <f>Elec_Est!R996</f>
        <v>0</v>
      </c>
      <c r="S131" s="440">
        <f t="shared" si="16"/>
        <v>0</v>
      </c>
      <c r="T131" s="336">
        <f>Elec_Est!T996</f>
        <v>0</v>
      </c>
    </row>
    <row r="132" spans="1:20">
      <c r="A132" s="221"/>
      <c r="B132" s="547">
        <v>24</v>
      </c>
      <c r="C132" s="6" t="s">
        <v>73</v>
      </c>
      <c r="D132" s="36" t="s">
        <v>99</v>
      </c>
      <c r="E132" s="221"/>
      <c r="F132" s="413">
        <v>705</v>
      </c>
      <c r="G132" s="114"/>
      <c r="P132" s="403">
        <v>3</v>
      </c>
      <c r="Q132" s="302">
        <v>1</v>
      </c>
      <c r="R132" s="336">
        <f ca="1">Elec_Est!R997</f>
        <v>56.59</v>
      </c>
      <c r="S132" s="440">
        <f t="shared" ca="1" si="16"/>
        <v>42.892520000000005</v>
      </c>
      <c r="T132" s="336">
        <f ca="1">Elec_Est!T997</f>
        <v>1.5620000000000001</v>
      </c>
    </row>
    <row r="133" spans="1:20">
      <c r="A133" s="221"/>
      <c r="B133" s="547">
        <v>25</v>
      </c>
      <c r="C133" s="6" t="s">
        <v>73</v>
      </c>
      <c r="D133" s="36" t="s">
        <v>100</v>
      </c>
      <c r="E133" s="221"/>
      <c r="F133" s="413">
        <v>706</v>
      </c>
      <c r="G133" s="114"/>
      <c r="P133" s="403">
        <v>3</v>
      </c>
      <c r="Q133" s="302">
        <v>1</v>
      </c>
      <c r="R133" s="336">
        <f>Elec_Est!R998</f>
        <v>0</v>
      </c>
      <c r="S133" s="440">
        <f t="shared" si="16"/>
        <v>0</v>
      </c>
      <c r="T133" s="336">
        <f>Elec_Est!T998</f>
        <v>0</v>
      </c>
    </row>
    <row r="134" spans="1:20">
      <c r="A134" s="221"/>
      <c r="B134" s="547">
        <v>26</v>
      </c>
      <c r="C134" s="6" t="s">
        <v>73</v>
      </c>
      <c r="D134" s="36" t="s">
        <v>101</v>
      </c>
      <c r="E134" s="221"/>
      <c r="F134" s="413">
        <v>725</v>
      </c>
      <c r="G134" s="114"/>
      <c r="P134" s="403">
        <v>3</v>
      </c>
      <c r="Q134" s="302">
        <v>1</v>
      </c>
      <c r="R134" s="336">
        <f>Elec_Est!R999</f>
        <v>0</v>
      </c>
      <c r="S134" s="440">
        <f t="shared" si="16"/>
        <v>0</v>
      </c>
      <c r="T134" s="336">
        <f>Elec_Est!T999</f>
        <v>0</v>
      </c>
    </row>
    <row r="135" spans="1:20">
      <c r="A135" s="221"/>
      <c r="B135" s="547">
        <v>27</v>
      </c>
      <c r="C135" s="6" t="s">
        <v>73</v>
      </c>
      <c r="D135" s="36" t="s">
        <v>102</v>
      </c>
      <c r="E135" s="221"/>
      <c r="F135" s="413">
        <v>726</v>
      </c>
      <c r="G135" s="114"/>
      <c r="P135" s="403">
        <v>3</v>
      </c>
      <c r="Q135" s="302">
        <v>1</v>
      </c>
      <c r="R135" s="336">
        <f>Elec_Est!R1000</f>
        <v>0</v>
      </c>
      <c r="S135" s="440">
        <f t="shared" si="16"/>
        <v>0</v>
      </c>
      <c r="T135" s="336">
        <f>Elec_Est!T1000</f>
        <v>0</v>
      </c>
    </row>
    <row r="136" spans="1:20">
      <c r="A136" s="221"/>
      <c r="B136" s="547">
        <v>28</v>
      </c>
      <c r="C136" s="6" t="s">
        <v>73</v>
      </c>
      <c r="D136" s="36" t="s">
        <v>103</v>
      </c>
      <c r="E136" s="221"/>
      <c r="F136" s="413">
        <v>750</v>
      </c>
      <c r="G136" s="114"/>
      <c r="P136" s="403">
        <v>3</v>
      </c>
      <c r="Q136" s="302">
        <v>1</v>
      </c>
      <c r="R136" s="336">
        <f>Elec_Est!R1001</f>
        <v>0</v>
      </c>
      <c r="S136" s="440">
        <f t="shared" si="16"/>
        <v>0</v>
      </c>
      <c r="T136" s="336">
        <f>Elec_Est!T1001</f>
        <v>0</v>
      </c>
    </row>
    <row r="137" spans="1:20">
      <c r="A137" s="221"/>
      <c r="B137" s="547">
        <v>29</v>
      </c>
      <c r="C137" s="6" t="s">
        <v>73</v>
      </c>
      <c r="D137" s="36" t="s">
        <v>104</v>
      </c>
      <c r="E137" s="221"/>
      <c r="F137" s="413">
        <v>751</v>
      </c>
      <c r="G137" s="114"/>
      <c r="P137" s="403">
        <v>3</v>
      </c>
      <c r="Q137" s="302">
        <v>1</v>
      </c>
      <c r="R137" s="336">
        <f>Elec_Est!R1002</f>
        <v>0</v>
      </c>
      <c r="S137" s="440">
        <f t="shared" si="16"/>
        <v>0</v>
      </c>
      <c r="T137" s="336">
        <f>Elec_Est!T1002</f>
        <v>0</v>
      </c>
    </row>
    <row r="138" spans="1:20">
      <c r="A138" s="221"/>
      <c r="B138" s="547">
        <v>30</v>
      </c>
      <c r="C138" s="6" t="s">
        <v>73</v>
      </c>
      <c r="D138" s="36" t="s">
        <v>105</v>
      </c>
      <c r="E138" s="221"/>
      <c r="F138" s="413">
        <v>752</v>
      </c>
      <c r="G138" s="114"/>
      <c r="P138" s="403">
        <v>3</v>
      </c>
      <c r="Q138" s="302">
        <v>1</v>
      </c>
      <c r="R138" s="336">
        <f>Elec_Est!R1003</f>
        <v>0</v>
      </c>
      <c r="S138" s="440">
        <f t="shared" si="16"/>
        <v>0</v>
      </c>
      <c r="T138" s="336">
        <f>Elec_Est!T1003</f>
        <v>0</v>
      </c>
    </row>
    <row r="139" spans="1:20">
      <c r="A139" s="221"/>
      <c r="B139" s="547" t="s">
        <v>106</v>
      </c>
      <c r="C139" s="6" t="s">
        <v>73</v>
      </c>
      <c r="D139" s="618" t="s">
        <v>294</v>
      </c>
      <c r="E139" s="221"/>
      <c r="F139" s="413">
        <v>753</v>
      </c>
      <c r="G139" s="114"/>
      <c r="P139" s="403">
        <v>3</v>
      </c>
      <c r="Q139" s="302">
        <v>1</v>
      </c>
      <c r="R139" s="336">
        <f>Elec_Est!R1004</f>
        <v>0</v>
      </c>
      <c r="S139" s="440">
        <f t="shared" si="16"/>
        <v>0</v>
      </c>
      <c r="T139" s="336">
        <f>Elec_Est!T1004</f>
        <v>0</v>
      </c>
    </row>
    <row r="140" spans="1:20">
      <c r="A140" s="221"/>
      <c r="B140" s="547">
        <v>32</v>
      </c>
      <c r="C140" s="6" t="s">
        <v>73</v>
      </c>
      <c r="D140" s="36" t="s">
        <v>107</v>
      </c>
      <c r="E140" s="221"/>
      <c r="F140" s="413">
        <v>770</v>
      </c>
      <c r="G140" s="114"/>
      <c r="P140" s="403">
        <v>3</v>
      </c>
      <c r="Q140" s="302">
        <v>1</v>
      </c>
      <c r="R140" s="336">
        <f>Elec_Est!R1005</f>
        <v>0</v>
      </c>
      <c r="S140" s="440">
        <f t="shared" si="16"/>
        <v>0</v>
      </c>
      <c r="T140" s="336">
        <f>Elec_Est!T1005</f>
        <v>0</v>
      </c>
    </row>
    <row r="141" spans="1:20">
      <c r="A141" s="221"/>
      <c r="B141" s="547">
        <v>33</v>
      </c>
      <c r="C141" s="6" t="s">
        <v>73</v>
      </c>
      <c r="D141" s="36" t="s">
        <v>108</v>
      </c>
      <c r="E141" s="221"/>
      <c r="F141" s="413">
        <v>790</v>
      </c>
      <c r="G141" s="114"/>
      <c r="P141" s="403">
        <v>3</v>
      </c>
      <c r="Q141" s="302">
        <v>1</v>
      </c>
      <c r="R141" s="336">
        <f>Elec_Est!R1006</f>
        <v>0</v>
      </c>
      <c r="S141" s="440">
        <f t="shared" si="16"/>
        <v>0</v>
      </c>
      <c r="T141" s="336">
        <f>Elec_Est!T1006</f>
        <v>0</v>
      </c>
    </row>
    <row r="142" spans="1:20">
      <c r="A142" s="221"/>
      <c r="B142" s="547">
        <v>34</v>
      </c>
      <c r="C142" s="6" t="s">
        <v>73</v>
      </c>
      <c r="D142" s="36" t="s">
        <v>109</v>
      </c>
      <c r="E142" s="221"/>
      <c r="F142" s="413">
        <v>791</v>
      </c>
      <c r="G142" s="114"/>
      <c r="P142" s="403">
        <v>3</v>
      </c>
      <c r="Q142" s="302">
        <v>1</v>
      </c>
      <c r="R142" s="336">
        <f>Elec_Est!R1007</f>
        <v>0</v>
      </c>
      <c r="S142" s="440">
        <f t="shared" si="16"/>
        <v>0</v>
      </c>
      <c r="T142" s="336">
        <f>Elec_Est!T1007</f>
        <v>0</v>
      </c>
    </row>
    <row r="143" spans="1:20">
      <c r="A143" s="221"/>
      <c r="B143" s="547">
        <v>35</v>
      </c>
      <c r="C143" s="6" t="s">
        <v>73</v>
      </c>
      <c r="D143" s="36" t="s">
        <v>110</v>
      </c>
      <c r="E143" s="221"/>
      <c r="F143" s="413">
        <v>810</v>
      </c>
      <c r="G143" s="114"/>
      <c r="P143" s="403">
        <v>3</v>
      </c>
      <c r="Q143" s="302">
        <v>1</v>
      </c>
      <c r="R143" s="336">
        <f>Elec_Est!R1008</f>
        <v>0</v>
      </c>
      <c r="S143" s="440">
        <f t="shared" si="16"/>
        <v>0</v>
      </c>
      <c r="T143" s="336">
        <f>Elec_Est!T1008</f>
        <v>0</v>
      </c>
    </row>
    <row r="144" spans="1:20">
      <c r="A144" s="221"/>
      <c r="B144" s="547">
        <v>36</v>
      </c>
      <c r="C144" s="6" t="s">
        <v>73</v>
      </c>
      <c r="D144" s="36" t="s">
        <v>111</v>
      </c>
      <c r="E144" s="221"/>
      <c r="F144" s="413">
        <v>815</v>
      </c>
      <c r="G144" s="114"/>
      <c r="P144" s="403">
        <v>3</v>
      </c>
      <c r="Q144" s="302">
        <v>1</v>
      </c>
      <c r="R144" s="336">
        <f>Elec_Est!R1009</f>
        <v>0</v>
      </c>
      <c r="S144" s="440">
        <f t="shared" si="16"/>
        <v>0</v>
      </c>
      <c r="T144" s="336">
        <f>Elec_Est!T1009</f>
        <v>0</v>
      </c>
    </row>
    <row r="145" spans="1:20">
      <c r="A145" s="221"/>
      <c r="B145" s="547">
        <v>37</v>
      </c>
      <c r="C145" s="6" t="s">
        <v>73</v>
      </c>
      <c r="D145" s="36" t="s">
        <v>112</v>
      </c>
      <c r="E145" s="221"/>
      <c r="F145" s="413">
        <v>820</v>
      </c>
      <c r="G145" s="114"/>
      <c r="P145" s="403">
        <v>2</v>
      </c>
      <c r="Q145" s="302">
        <v>1</v>
      </c>
      <c r="R145" s="336">
        <f>Elec_Est!R1010</f>
        <v>0</v>
      </c>
      <c r="S145" s="440">
        <f t="shared" si="16"/>
        <v>0</v>
      </c>
      <c r="T145" s="336">
        <f>Elec_Est!T1010</f>
        <v>0</v>
      </c>
    </row>
    <row r="146" spans="1:20">
      <c r="A146" s="221"/>
      <c r="B146" s="547">
        <v>38</v>
      </c>
      <c r="C146" s="6" t="s">
        <v>73</v>
      </c>
      <c r="D146" s="36" t="s">
        <v>113</v>
      </c>
      <c r="E146" s="221"/>
      <c r="F146" s="413">
        <v>821</v>
      </c>
      <c r="G146" s="114"/>
      <c r="P146" s="403">
        <v>3</v>
      </c>
      <c r="Q146" s="302">
        <v>1</v>
      </c>
      <c r="R146" s="336">
        <f ca="1">Elec_Est!R1011</f>
        <v>25</v>
      </c>
      <c r="S146" s="440">
        <f t="shared" ca="1" si="16"/>
        <v>114.78280000000002</v>
      </c>
      <c r="T146" s="336">
        <f ca="1">Elec_Est!T1011</f>
        <v>4.1800000000000006</v>
      </c>
    </row>
    <row r="147" spans="1:20">
      <c r="A147" s="221"/>
      <c r="B147" s="547">
        <v>39</v>
      </c>
      <c r="C147" s="6" t="s">
        <v>73</v>
      </c>
      <c r="D147" s="36" t="s">
        <v>114</v>
      </c>
      <c r="E147" s="221"/>
      <c r="F147" s="413">
        <v>835</v>
      </c>
      <c r="G147" s="114"/>
      <c r="P147" s="403">
        <v>3</v>
      </c>
      <c r="Q147" s="302">
        <v>1</v>
      </c>
      <c r="R147" s="336">
        <f ca="1">Elec_Est!R1012</f>
        <v>0</v>
      </c>
      <c r="S147" s="440">
        <f t="shared" ca="1" si="16"/>
        <v>0</v>
      </c>
      <c r="T147" s="336">
        <f ca="1">Elec_Est!T1012</f>
        <v>0</v>
      </c>
    </row>
    <row r="148" spans="1:20">
      <c r="A148" s="221"/>
      <c r="B148" s="547">
        <v>40</v>
      </c>
      <c r="C148" s="6" t="s">
        <v>73</v>
      </c>
      <c r="D148" s="36" t="s">
        <v>115</v>
      </c>
      <c r="E148" s="221"/>
      <c r="F148" s="413">
        <v>845</v>
      </c>
      <c r="G148" s="114"/>
      <c r="P148" s="403">
        <v>2</v>
      </c>
      <c r="Q148" s="302">
        <v>1</v>
      </c>
      <c r="R148" s="336">
        <f>Elec_Est!R1013</f>
        <v>0</v>
      </c>
      <c r="S148" s="440">
        <f t="shared" si="16"/>
        <v>0</v>
      </c>
      <c r="T148" s="336">
        <f>Elec_Est!T1013</f>
        <v>0</v>
      </c>
    </row>
    <row r="149" spans="1:20">
      <c r="A149" s="221"/>
      <c r="B149" s="547" t="s">
        <v>116</v>
      </c>
      <c r="C149" s="6" t="s">
        <v>73</v>
      </c>
      <c r="D149" s="36" t="s">
        <v>117</v>
      </c>
      <c r="E149" s="221"/>
      <c r="F149" s="413">
        <v>855</v>
      </c>
      <c r="G149" s="114"/>
      <c r="P149" s="403">
        <v>3</v>
      </c>
      <c r="Q149" s="302">
        <v>1</v>
      </c>
      <c r="R149" s="336">
        <f>Elec_Est!R1014</f>
        <v>0</v>
      </c>
      <c r="S149" s="440">
        <f t="shared" si="16"/>
        <v>0</v>
      </c>
      <c r="T149" s="336">
        <f>Elec_Est!T1014</f>
        <v>0</v>
      </c>
    </row>
    <row r="150" spans="1:20">
      <c r="A150" s="221"/>
      <c r="B150" s="547">
        <v>42</v>
      </c>
      <c r="C150" s="6" t="s">
        <v>73</v>
      </c>
      <c r="D150" s="36" t="s">
        <v>118</v>
      </c>
      <c r="E150" s="221"/>
      <c r="F150" s="413">
        <v>856</v>
      </c>
      <c r="G150" s="114"/>
      <c r="P150" s="403">
        <v>3</v>
      </c>
      <c r="Q150" s="302">
        <v>1</v>
      </c>
      <c r="R150" s="336">
        <f>Elec_Est!R1015</f>
        <v>0</v>
      </c>
      <c r="S150" s="440">
        <f t="shared" si="16"/>
        <v>0</v>
      </c>
      <c r="T150" s="336">
        <f>Elec_Est!T1015</f>
        <v>0</v>
      </c>
    </row>
    <row r="151" spans="1:20">
      <c r="A151" s="221"/>
      <c r="B151" s="547">
        <v>43</v>
      </c>
      <c r="C151" s="6" t="s">
        <v>73</v>
      </c>
      <c r="D151" s="36" t="s">
        <v>274</v>
      </c>
      <c r="E151" s="221"/>
      <c r="F151" s="413">
        <v>857</v>
      </c>
      <c r="G151" s="114"/>
      <c r="P151" s="403">
        <v>4</v>
      </c>
      <c r="Q151" s="302">
        <v>1</v>
      </c>
      <c r="R151" s="336">
        <f>Elec_Est!R1016</f>
        <v>0</v>
      </c>
      <c r="S151" s="440">
        <f t="shared" si="16"/>
        <v>0</v>
      </c>
      <c r="T151" s="336">
        <f>Elec_Est!T1016</f>
        <v>0</v>
      </c>
    </row>
    <row r="152" spans="1:20">
      <c r="A152" s="221"/>
      <c r="B152" s="547">
        <v>44</v>
      </c>
      <c r="C152" s="6" t="s">
        <v>73</v>
      </c>
      <c r="D152" s="36" t="s">
        <v>119</v>
      </c>
      <c r="E152" s="221"/>
      <c r="F152" s="413">
        <v>858</v>
      </c>
      <c r="G152" s="114"/>
      <c r="P152" s="403">
        <v>3</v>
      </c>
      <c r="Q152" s="302">
        <v>1</v>
      </c>
      <c r="R152" s="336">
        <f>Elec_Est!R1017</f>
        <v>0</v>
      </c>
      <c r="S152" s="440">
        <f t="shared" si="16"/>
        <v>0</v>
      </c>
      <c r="T152" s="336">
        <f>Elec_Est!T1017</f>
        <v>0</v>
      </c>
    </row>
    <row r="153" spans="1:20">
      <c r="A153" s="221"/>
      <c r="B153" s="547">
        <v>45</v>
      </c>
      <c r="C153" s="6" t="s">
        <v>73</v>
      </c>
      <c r="D153" s="36" t="s">
        <v>120</v>
      </c>
      <c r="E153" s="221"/>
      <c r="F153" s="413">
        <v>865</v>
      </c>
      <c r="G153" s="114"/>
      <c r="P153" s="403">
        <v>3</v>
      </c>
      <c r="Q153" s="302">
        <v>1</v>
      </c>
      <c r="R153" s="336">
        <f>Elec_Est!R1018</f>
        <v>0</v>
      </c>
      <c r="S153" s="440">
        <f t="shared" si="16"/>
        <v>0</v>
      </c>
      <c r="T153" s="336">
        <f>Elec_Est!T1018</f>
        <v>0</v>
      </c>
    </row>
    <row r="154" spans="1:20">
      <c r="A154" s="221"/>
      <c r="B154" s="547">
        <v>46</v>
      </c>
      <c r="C154" s="6" t="s">
        <v>73</v>
      </c>
      <c r="D154" s="36" t="s">
        <v>121</v>
      </c>
      <c r="E154" s="221"/>
      <c r="F154" s="413">
        <v>870</v>
      </c>
      <c r="G154" s="114"/>
      <c r="P154" s="403">
        <v>4</v>
      </c>
      <c r="Q154" s="302">
        <v>1</v>
      </c>
      <c r="R154" s="336">
        <f>Elec_Est!R1019</f>
        <v>0</v>
      </c>
      <c r="S154" s="440">
        <f t="shared" si="16"/>
        <v>0</v>
      </c>
      <c r="T154" s="336">
        <f>Elec_Est!T1019</f>
        <v>0</v>
      </c>
    </row>
    <row r="155" spans="1:20">
      <c r="A155" s="221"/>
      <c r="B155" s="547">
        <v>47</v>
      </c>
      <c r="C155" s="6" t="s">
        <v>73</v>
      </c>
      <c r="D155" s="36" t="s">
        <v>122</v>
      </c>
      <c r="E155" s="221"/>
      <c r="F155" s="413">
        <v>875</v>
      </c>
      <c r="G155" s="114"/>
      <c r="P155" s="403">
        <v>1</v>
      </c>
      <c r="Q155" s="302">
        <v>1</v>
      </c>
      <c r="R155" s="336">
        <f ca="1">Elec_Est!R1020</f>
        <v>484.90999999999997</v>
      </c>
      <c r="S155" s="440">
        <f t="shared" ca="1" si="16"/>
        <v>30.20600000000001</v>
      </c>
      <c r="T155" s="336">
        <f ca="1">Elec_Est!T1020</f>
        <v>1.1000000000000003</v>
      </c>
    </row>
    <row r="156" spans="1:20">
      <c r="A156" s="221"/>
      <c r="B156" s="547">
        <v>48</v>
      </c>
      <c r="C156" s="6" t="s">
        <v>73</v>
      </c>
      <c r="D156" s="36" t="s">
        <v>123</v>
      </c>
      <c r="E156" s="221"/>
      <c r="F156" s="413">
        <v>880</v>
      </c>
      <c r="G156" s="114"/>
      <c r="P156" s="403">
        <v>3</v>
      </c>
      <c r="Q156" s="302">
        <v>1</v>
      </c>
      <c r="R156" s="336">
        <f>Elec_Est!R1021</f>
        <v>300</v>
      </c>
      <c r="S156" s="440">
        <f t="shared" si="16"/>
        <v>2174.8320000000003</v>
      </c>
      <c r="T156" s="336">
        <f>Elec_Est!T1021</f>
        <v>79.2</v>
      </c>
    </row>
    <row r="157" spans="1:20">
      <c r="A157" s="221"/>
      <c r="B157" s="547">
        <v>49</v>
      </c>
      <c r="C157" s="6" t="s">
        <v>73</v>
      </c>
      <c r="D157" s="36" t="s">
        <v>124</v>
      </c>
      <c r="E157" s="221"/>
      <c r="F157" s="413">
        <v>885</v>
      </c>
      <c r="G157" s="114"/>
      <c r="P157" s="403">
        <v>4</v>
      </c>
      <c r="Q157" s="302">
        <v>1</v>
      </c>
      <c r="R157" s="336">
        <f>Elec_Est!R1022</f>
        <v>0</v>
      </c>
      <c r="S157" s="440">
        <f t="shared" si="16"/>
        <v>0</v>
      </c>
      <c r="T157" s="336">
        <f>Elec_Est!T1022</f>
        <v>0</v>
      </c>
    </row>
    <row r="158" spans="1:20">
      <c r="A158" s="221"/>
      <c r="B158" s="547">
        <v>50</v>
      </c>
      <c r="C158" s="6" t="s">
        <v>73</v>
      </c>
      <c r="D158" s="36" t="s">
        <v>68</v>
      </c>
      <c r="E158" s="221"/>
      <c r="F158" s="413">
        <v>900</v>
      </c>
      <c r="G158" s="114"/>
      <c r="P158" s="403">
        <v>3</v>
      </c>
      <c r="Q158" s="302">
        <v>1</v>
      </c>
      <c r="R158" s="336">
        <f ca="1">Elec_Est!R1023</f>
        <v>0</v>
      </c>
      <c r="S158" s="440">
        <f t="shared" ca="1" si="16"/>
        <v>6464.0840000000007</v>
      </c>
      <c r="T158" s="336">
        <f ca="1">Elec_Est!T1023</f>
        <v>235.40000000000003</v>
      </c>
    </row>
    <row r="159" spans="1:20">
      <c r="A159" s="221"/>
      <c r="B159" s="547" t="s">
        <v>125</v>
      </c>
      <c r="C159" s="6" t="s">
        <v>73</v>
      </c>
      <c r="D159" s="36" t="s">
        <v>126</v>
      </c>
      <c r="E159" s="221"/>
      <c r="F159" s="413">
        <v>901</v>
      </c>
      <c r="G159" s="114"/>
      <c r="P159" s="403">
        <v>1</v>
      </c>
      <c r="Q159" s="302">
        <v>1</v>
      </c>
      <c r="R159" s="336">
        <f>Elec_Est!R1024</f>
        <v>0</v>
      </c>
      <c r="S159" s="440">
        <f t="shared" si="16"/>
        <v>2169.34</v>
      </c>
      <c r="T159" s="336">
        <f>Elec_Est!T1024</f>
        <v>79</v>
      </c>
    </row>
    <row r="160" spans="1:20">
      <c r="A160" s="221"/>
      <c r="B160" s="547">
        <v>52</v>
      </c>
      <c r="C160" s="6" t="s">
        <v>73</v>
      </c>
      <c r="D160" s="36" t="s">
        <v>127</v>
      </c>
      <c r="E160" s="221"/>
      <c r="F160" s="413">
        <v>902</v>
      </c>
      <c r="G160" s="114"/>
      <c r="P160" s="403">
        <v>3</v>
      </c>
      <c r="Q160" s="302">
        <v>1</v>
      </c>
      <c r="R160" s="336">
        <f>Elec_Est!R1025</f>
        <v>0</v>
      </c>
      <c r="S160" s="440">
        <f t="shared" si="16"/>
        <v>0</v>
      </c>
      <c r="T160" s="336">
        <f>Elec_Est!T1025</f>
        <v>0</v>
      </c>
    </row>
    <row r="161" spans="1:28">
      <c r="A161" s="221"/>
      <c r="B161" s="547">
        <v>53</v>
      </c>
      <c r="C161" s="6" t="s">
        <v>73</v>
      </c>
      <c r="D161" s="118" t="s">
        <v>128</v>
      </c>
      <c r="E161" s="221"/>
      <c r="F161" s="413">
        <v>960</v>
      </c>
      <c r="G161" s="114"/>
      <c r="P161" s="403">
        <v>4</v>
      </c>
      <c r="Q161" s="302">
        <v>1</v>
      </c>
      <c r="R161" s="336">
        <f>Elec_Est!R1026</f>
        <v>185902.46999999991</v>
      </c>
      <c r="S161" s="440">
        <f t="shared" si="16"/>
        <v>0</v>
      </c>
      <c r="T161" s="336">
        <f>Elec_Est!T1026</f>
        <v>0</v>
      </c>
    </row>
    <row r="162" spans="1:28">
      <c r="A162" s="221"/>
      <c r="B162" s="547">
        <v>54</v>
      </c>
      <c r="C162" s="6" t="s">
        <v>73</v>
      </c>
      <c r="D162" s="118" t="s">
        <v>129</v>
      </c>
      <c r="E162" s="221"/>
      <c r="F162" s="413">
        <v>961</v>
      </c>
      <c r="G162" s="114"/>
      <c r="P162" s="403">
        <v>3</v>
      </c>
      <c r="Q162" s="302">
        <v>1</v>
      </c>
      <c r="R162" s="336">
        <f>Elec_Est!R1027</f>
        <v>0</v>
      </c>
      <c r="S162" s="440">
        <f t="shared" si="16"/>
        <v>0</v>
      </c>
      <c r="T162" s="336">
        <f>Elec_Est!T1027</f>
        <v>0</v>
      </c>
    </row>
    <row r="163" spans="1:28">
      <c r="A163" s="221"/>
      <c r="B163" s="547">
        <v>55</v>
      </c>
      <c r="C163" s="6" t="s">
        <v>73</v>
      </c>
      <c r="D163" s="118" t="s">
        <v>130</v>
      </c>
      <c r="E163" s="221"/>
      <c r="F163" s="413">
        <v>962</v>
      </c>
      <c r="G163" s="114"/>
      <c r="P163" s="403">
        <v>1</v>
      </c>
      <c r="Q163" s="302">
        <v>1</v>
      </c>
      <c r="R163" s="336">
        <f>Elec_Est!R1028</f>
        <v>500</v>
      </c>
      <c r="S163" s="440">
        <f t="shared" si="16"/>
        <v>0</v>
      </c>
      <c r="T163" s="336">
        <f>Elec_Est!T1028</f>
        <v>0</v>
      </c>
    </row>
    <row r="164" spans="1:28">
      <c r="A164" s="221"/>
      <c r="B164" s="547">
        <v>56</v>
      </c>
      <c r="C164" s="6" t="s">
        <v>73</v>
      </c>
      <c r="D164" s="303" t="s">
        <v>131</v>
      </c>
      <c r="E164" s="221"/>
      <c r="F164" s="413">
        <v>970</v>
      </c>
      <c r="G164" s="304"/>
      <c r="H164" s="108"/>
      <c r="I164" s="108"/>
      <c r="J164" s="305"/>
      <c r="K164" s="305"/>
      <c r="L164" s="305"/>
      <c r="M164" s="305"/>
      <c r="N164" s="305"/>
      <c r="O164" s="305"/>
      <c r="P164" s="404">
        <v>4</v>
      </c>
      <c r="Q164" s="306">
        <v>1</v>
      </c>
      <c r="R164" s="336">
        <f>Elec_Est!R1029</f>
        <v>0</v>
      </c>
      <c r="S164" s="440">
        <f t="shared" si="16"/>
        <v>0</v>
      </c>
      <c r="T164" s="336">
        <f>Elec_Est!T1029</f>
        <v>0</v>
      </c>
    </row>
    <row r="165" spans="1:28" ht="13.8" thickBot="1">
      <c r="A165" s="221"/>
      <c r="B165" s="412"/>
      <c r="C165" s="307"/>
      <c r="D165" s="308" t="s">
        <v>193</v>
      </c>
      <c r="E165" s="309"/>
      <c r="F165" s="136"/>
      <c r="G165" s="123"/>
      <c r="H165" s="123"/>
      <c r="I165" s="123"/>
      <c r="J165" s="310"/>
      <c r="K165" s="310"/>
      <c r="L165" s="310"/>
      <c r="M165" s="310"/>
      <c r="N165" s="310"/>
      <c r="O165" s="310"/>
      <c r="P165" s="310"/>
      <c r="Q165" s="311"/>
      <c r="R165" s="335">
        <f ca="1">SUM(R109:R164)</f>
        <v>254667.67889807938</v>
      </c>
      <c r="S165" s="335">
        <f ca="1">SUM(S109:S164)</f>
        <v>82361.052599999995</v>
      </c>
      <c r="T165" s="335">
        <f ca="1">SUM(T109:T164)</f>
        <v>2999.3099999999995</v>
      </c>
    </row>
    <row r="166" spans="1:28" ht="14.4" hidden="1" thickTop="1">
      <c r="A166" s="113"/>
      <c r="B166" s="401"/>
      <c r="C166" s="6" t="s">
        <v>73</v>
      </c>
      <c r="D166" s="129"/>
      <c r="F166" s="130" t="s">
        <v>160</v>
      </c>
      <c r="G166" s="131"/>
      <c r="H166" s="36">
        <v>1</v>
      </c>
      <c r="O166" s="115"/>
      <c r="R166" s="409">
        <f ca="1">SUMIF($P109:$P164,1,R109:R164)</f>
        <v>21514.870045620439</v>
      </c>
      <c r="T166" s="407">
        <f ca="1">SUMIF($P109:$P164,1,T109:T164)</f>
        <v>1301.8699999999999</v>
      </c>
      <c r="V166" s="373"/>
      <c r="W166" s="373"/>
      <c r="X166" s="373"/>
      <c r="Y166" s="373"/>
      <c r="Z166" s="373"/>
      <c r="AA166" s="373"/>
      <c r="AB166" s="373"/>
    </row>
    <row r="167" spans="1:28" ht="13.8" hidden="1">
      <c r="A167" s="113"/>
      <c r="B167" s="247"/>
      <c r="C167" s="6" t="s">
        <v>73</v>
      </c>
      <c r="D167" s="129"/>
      <c r="F167" s="130" t="s">
        <v>161</v>
      </c>
      <c r="G167" s="131"/>
      <c r="H167" s="36">
        <v>2</v>
      </c>
      <c r="O167" s="115"/>
      <c r="R167" s="409">
        <f ca="1">SUMIF($P109:$P164,2,R109:R164)</f>
        <v>46868.748852459015</v>
      </c>
      <c r="T167" s="408">
        <f ca="1">SUMIF($P109:$P164,2,T109:T164)</f>
        <v>1377.098</v>
      </c>
      <c r="V167" s="373"/>
      <c r="W167" s="373"/>
      <c r="X167" s="373"/>
      <c r="Y167" s="373"/>
      <c r="Z167" s="373"/>
      <c r="AA167" s="373"/>
      <c r="AB167" s="373"/>
    </row>
    <row r="168" spans="1:28" ht="13.8" hidden="1">
      <c r="A168" s="113"/>
      <c r="B168" s="247"/>
      <c r="C168" s="6" t="s">
        <v>73</v>
      </c>
      <c r="D168" s="129"/>
      <c r="F168" s="130" t="s">
        <v>162</v>
      </c>
      <c r="G168" s="131"/>
      <c r="H168" s="36">
        <v>2</v>
      </c>
      <c r="O168" s="115"/>
      <c r="R168" s="409">
        <f ca="1">SUMIF($P109:$P164,3,R109:R164)</f>
        <v>381.59000000000003</v>
      </c>
      <c r="T168" s="408">
        <f ca="1">SUMIF($P109:$P164,3,T109:T164)</f>
        <v>320.34200000000004</v>
      </c>
      <c r="V168" s="373"/>
      <c r="W168" s="373"/>
      <c r="X168" s="373"/>
      <c r="Y168" s="373"/>
      <c r="Z168" s="373"/>
      <c r="AA168" s="373"/>
      <c r="AB168" s="373"/>
    </row>
    <row r="169" spans="1:28" ht="13.8" hidden="1">
      <c r="A169" s="113"/>
      <c r="B169" s="247"/>
      <c r="C169" s="6" t="s">
        <v>73</v>
      </c>
      <c r="D169" s="129"/>
      <c r="F169" s="130" t="s">
        <v>163</v>
      </c>
      <c r="G169" s="131"/>
      <c r="H169" s="36">
        <v>3</v>
      </c>
      <c r="O169" s="115"/>
      <c r="R169" s="409">
        <f>SUMIF($P109:$P164,4,R109:R164)</f>
        <v>185902.46999999991</v>
      </c>
      <c r="T169" s="408">
        <f>SUMIF($P109:$P164,4,T109:T164)</f>
        <v>0</v>
      </c>
      <c r="V169" s="373"/>
      <c r="W169" s="373"/>
      <c r="X169" s="373"/>
      <c r="Y169" s="373"/>
      <c r="Z169" s="373"/>
      <c r="AA169" s="373"/>
      <c r="AB169" s="373"/>
    </row>
    <row r="170" spans="1:28" ht="14.4" hidden="1" thickBot="1">
      <c r="A170" s="113"/>
      <c r="B170" s="402"/>
      <c r="C170" s="121" t="s">
        <v>73</v>
      </c>
      <c r="D170" s="133"/>
      <c r="E170" s="123"/>
      <c r="F170" s="134" t="s">
        <v>164</v>
      </c>
      <c r="G170" s="135"/>
      <c r="H170" s="136"/>
      <c r="I170" s="136"/>
      <c r="J170" s="136"/>
      <c r="K170" s="136"/>
      <c r="L170" s="136"/>
      <c r="M170" s="136"/>
      <c r="N170" s="136"/>
      <c r="O170" s="137"/>
      <c r="P170" s="136"/>
      <c r="Q170" s="136"/>
      <c r="R170" s="410">
        <f ca="1">SUM(R166:R169)</f>
        <v>254667.67889807938</v>
      </c>
      <c r="S170" s="139"/>
      <c r="T170" s="411">
        <f ca="1">SUM(T166:T169)</f>
        <v>2999.31</v>
      </c>
      <c r="V170" s="373"/>
      <c r="W170" s="373"/>
      <c r="X170" s="373"/>
      <c r="Y170" s="373"/>
      <c r="Z170" s="373"/>
      <c r="AA170" s="373"/>
      <c r="AB170" s="373"/>
    </row>
    <row r="171" spans="1:28" ht="14.4" thickTop="1">
      <c r="B171" s="36"/>
      <c r="E171" s="203"/>
      <c r="F171" s="204"/>
      <c r="G171" s="188"/>
      <c r="H171" s="188"/>
      <c r="I171" s="188"/>
      <c r="J171" s="188"/>
      <c r="K171" s="188"/>
      <c r="L171" s="188"/>
      <c r="M171" s="188"/>
      <c r="N171" s="188"/>
      <c r="O171" s="188"/>
      <c r="P171" s="188"/>
      <c r="Q171" s="204"/>
      <c r="R171" s="204"/>
      <c r="S171" s="204"/>
      <c r="T171" s="204"/>
    </row>
    <row r="172" spans="1:28">
      <c r="C172" s="34"/>
      <c r="D172" s="34"/>
      <c r="E172" s="34"/>
      <c r="F172" s="34"/>
      <c r="G172" s="34"/>
      <c r="J172" s="34"/>
      <c r="K172" s="34"/>
      <c r="L172" s="34"/>
      <c r="M172" s="34"/>
      <c r="N172" s="34"/>
      <c r="O172" s="34"/>
      <c r="P172" s="34"/>
      <c r="Q172" s="34"/>
      <c r="R172" s="34"/>
      <c r="S172" s="34"/>
      <c r="T172" s="34"/>
    </row>
    <row r="173" spans="1:28">
      <c r="D173" s="36" t="s">
        <v>58</v>
      </c>
      <c r="E173" s="10"/>
      <c r="F173" s="198"/>
      <c r="G173" s="2"/>
      <c r="S173" s="33"/>
      <c r="T173" s="33"/>
    </row>
    <row r="174" spans="1:28" ht="15.6">
      <c r="D174" s="264" t="s">
        <v>301</v>
      </c>
    </row>
    <row r="175" spans="1:28">
      <c r="D175" s="312">
        <f ca="1">D95</f>
        <v>46030.599587152778</v>
      </c>
    </row>
    <row r="176" spans="1:28">
      <c r="A176" s="34"/>
    </row>
  </sheetData>
  <sheetProtection formatCells="0" formatColumns="0" formatRows="0" insertHyperlinks="0"/>
  <mergeCells count="16">
    <mergeCell ref="D1:E1"/>
    <mergeCell ref="D2:E2"/>
    <mergeCell ref="D3:E3"/>
    <mergeCell ref="B16:E17"/>
    <mergeCell ref="B14:E15"/>
    <mergeCell ref="W22:AA22"/>
    <mergeCell ref="B18:E18"/>
    <mergeCell ref="D84:E84"/>
    <mergeCell ref="B57:T57"/>
    <mergeCell ref="B58:T58"/>
    <mergeCell ref="A55:B55"/>
    <mergeCell ref="A48:S48"/>
    <mergeCell ref="Q18:T18"/>
    <mergeCell ref="A47:S47"/>
    <mergeCell ref="B19:E19"/>
    <mergeCell ref="W27:AA27"/>
  </mergeCells>
  <phoneticPr fontId="33"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275" yWindow="522" count="8">
    <dataValidation type="list" allowBlank="1" showInputMessage="1" showErrorMessage="1" sqref="D6" xr:uid="{00000000-0002-0000-0100-000000000000}">
      <formula1>"VAT EXCL., VAT INCLUDED, VAT IN MARKUPS"</formula1>
    </dataValidation>
    <dataValidation type="list" allowBlank="1" showInputMessage="1" showErrorMessage="1" sqref="W1" xr:uid="{00000000-0002-0000-0100-000001000000}">
      <formula1>"BOQ,TDWG,ACT,DIF_TD,DIF_A"</formula1>
    </dataValidation>
    <dataValidation type="textLength" showInputMessage="1" showErrorMessage="1" sqref="S1" xr:uid="{00000000-0002-0000-0100-000002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3000000}">
      <formula1>"PRINT,Test for 0.00,"</formula1>
    </dataValidation>
    <dataValidation type="list" allowBlank="1" showInputMessage="1" showErrorMessage="1" sqref="A33" xr:uid="{00000000-0002-0000-0100-000004000000}">
      <formula1>"MIXED, ,"</formula1>
    </dataValidation>
    <dataValidation type="list" allowBlank="1" showInputMessage="1" showErrorMessage="1" sqref="Q1" xr:uid="{00000000-0002-0000-0100-000005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6000000}">
      <formula1>"27.46,24.50,23.95,22.96,23.02,23.52,22.42,21.57,24.39,23.36,23.23,24.10,23.75,26.30,not used"</formula1>
    </dataValidation>
    <dataValidation type="list" allowBlank="1" showInputMessage="1" showErrorMessage="1" sqref="D8" xr:uid="{00000000-0002-0000-0100-000007000000}">
      <formula1>"M.Scicluna,Umut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266700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1</xdr:col>
                    <xdr:colOff>137160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342900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335280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274320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251460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1</xdr:col>
                    <xdr:colOff>68580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190500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563880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workbookViewId="0">
      <selection activeCell="W35" sqref="W35"/>
    </sheetView>
  </sheetViews>
  <sheetFormatPr defaultColWidth="9.109375" defaultRowHeight="13.2"/>
  <cols>
    <col min="1" max="2" width="8" style="622" customWidth="1"/>
    <col min="3" max="3" width="3.88671875" style="622" hidden="1" customWidth="1"/>
    <col min="4" max="4" width="15.6640625" style="622" customWidth="1"/>
    <col min="5" max="6" width="12.6640625" style="622" customWidth="1"/>
    <col min="7" max="7" width="9.6640625" style="622" hidden="1" customWidth="1"/>
    <col min="8" max="8" width="7.6640625" style="622" hidden="1" customWidth="1"/>
    <col min="9" max="11" width="8.6640625" style="622" hidden="1" customWidth="1"/>
    <col min="12" max="12" width="6.6640625" style="622" hidden="1" customWidth="1"/>
    <col min="13" max="16" width="8.6640625" style="622" hidden="1" customWidth="1"/>
    <col min="17" max="17" width="12.88671875" style="622" customWidth="1"/>
    <col min="18" max="18" width="8.6640625" style="622" customWidth="1"/>
    <col min="19" max="19" width="10.109375" style="622" customWidth="1"/>
    <col min="20" max="20" width="8.33203125" style="622" customWidth="1"/>
    <col min="21" max="16384" width="9.109375" style="622"/>
  </cols>
  <sheetData>
    <row r="1" spans="1:21" s="620" customFormat="1">
      <c r="A1" s="1366" t="str">
        <f>IF(AND(UPPER(LEFT(TRIM($D$8),11))="01",UPPER(LEFT(TRIM($D$9),3))&lt;&gt;"ELM"),"PANTA RETAIL LTD.","PANTA CONTRACTING LIMITED")</f>
        <v>PANTA CONTRACTING LIMITED</v>
      </c>
      <c r="B1" s="1366"/>
      <c r="C1" s="1366"/>
      <c r="D1" s="1366"/>
      <c r="E1" s="1366"/>
      <c r="F1" s="1366"/>
      <c r="G1" s="1366"/>
      <c r="H1" s="1366"/>
      <c r="I1" s="1366"/>
      <c r="J1" s="1366"/>
      <c r="K1" s="1366"/>
      <c r="L1" s="1366"/>
      <c r="M1" s="1366"/>
      <c r="N1" s="1366"/>
      <c r="O1" s="1366"/>
      <c r="P1" s="1366"/>
      <c r="Q1" s="1366"/>
      <c r="R1" s="1366"/>
      <c r="S1" s="1366"/>
      <c r="T1" s="1366"/>
      <c r="U1" s="623"/>
    </row>
    <row r="2" spans="1:21" s="620" customFormat="1">
      <c r="A2" s="1367" t="str">
        <f>IF(UPPER(LEFT(TRIM($D$9),3))="ELM","ELEC-FOR-MECH INTERNAL QUOTATION","ELECTRICAL INTERNAL QUOTATION")</f>
        <v>ELECTRICAL INTERNAL QUOTATION</v>
      </c>
      <c r="B2" s="1367"/>
      <c r="C2" s="1367"/>
      <c r="D2" s="1367"/>
      <c r="E2" s="1367"/>
      <c r="F2" s="1367"/>
      <c r="G2" s="1367"/>
      <c r="H2" s="1367"/>
      <c r="I2" s="1367"/>
      <c r="J2" s="1367"/>
      <c r="K2" s="1367"/>
      <c r="L2" s="1367"/>
      <c r="M2" s="1367"/>
      <c r="N2" s="1367"/>
      <c r="O2" s="1367"/>
      <c r="P2" s="1367"/>
      <c r="Q2" s="1367"/>
      <c r="R2" s="1367"/>
      <c r="S2" s="1367"/>
      <c r="T2" s="1367"/>
    </row>
    <row r="3" spans="1:21" s="620" customFormat="1">
      <c r="B3" s="621"/>
      <c r="G3" s="622"/>
      <c r="H3" s="622"/>
      <c r="I3" s="622"/>
      <c r="J3" s="622"/>
    </row>
    <row r="4" spans="1:21" s="620" customFormat="1">
      <c r="A4" s="622"/>
      <c r="B4" s="622"/>
      <c r="C4" s="622"/>
      <c r="D4" s="622"/>
      <c r="E4" s="622"/>
      <c r="F4" s="622"/>
      <c r="G4" s="622"/>
      <c r="H4" s="622"/>
      <c r="I4" s="622"/>
      <c r="J4" s="622"/>
      <c r="K4" s="622"/>
      <c r="L4" s="622"/>
      <c r="M4" s="622"/>
      <c r="N4" s="622"/>
      <c r="O4" s="622"/>
      <c r="P4" s="622"/>
      <c r="Q4" s="622"/>
      <c r="R4" s="622"/>
      <c r="S4" s="622"/>
      <c r="T4" s="622"/>
    </row>
    <row r="5" spans="1:21" s="620" customFormat="1">
      <c r="B5" s="621" t="s">
        <v>245</v>
      </c>
      <c r="C5" s="622"/>
      <c r="D5" s="623" t="str">
        <f>IF(A2="Internal Quotation", "Mechanical Division","")</f>
        <v/>
      </c>
      <c r="E5" s="622"/>
      <c r="F5" s="622"/>
      <c r="G5" s="624"/>
      <c r="H5" s="624"/>
      <c r="I5" s="625"/>
      <c r="J5" s="625"/>
      <c r="K5" s="624"/>
      <c r="L5" s="624"/>
      <c r="M5" s="624"/>
      <c r="N5" s="624"/>
      <c r="O5" s="624"/>
      <c r="P5" s="624"/>
      <c r="Q5" s="622"/>
      <c r="R5" s="626" t="s">
        <v>202</v>
      </c>
      <c r="S5" s="627">
        <f ca="1">NOW()</f>
        <v>46030.599587152778</v>
      </c>
      <c r="T5" s="622"/>
    </row>
    <row r="6" spans="1:21" s="620" customFormat="1">
      <c r="A6" s="646"/>
      <c r="B6" s="646" t="s">
        <v>0</v>
      </c>
      <c r="C6" s="628" t="s">
        <v>246</v>
      </c>
      <c r="D6" s="620" t="str">
        <f>ML_Sum!D1</f>
        <v>Eden Lesuire Group</v>
      </c>
      <c r="G6" s="622"/>
      <c r="H6" s="622"/>
      <c r="I6" s="622"/>
      <c r="J6" s="622"/>
      <c r="R6" s="622"/>
      <c r="S6" s="622"/>
      <c r="T6" s="622"/>
    </row>
    <row r="7" spans="1:21" s="620" customFormat="1">
      <c r="A7" s="646"/>
      <c r="B7" s="646" t="s">
        <v>2</v>
      </c>
      <c r="C7" s="628" t="s">
        <v>247</v>
      </c>
      <c r="D7" s="620" t="str">
        <f>ML_Sum!D2</f>
        <v>Intercontinental - Plant Retrofit</v>
      </c>
      <c r="G7" s="622"/>
      <c r="H7" s="622"/>
      <c r="I7" s="622"/>
      <c r="J7" s="622"/>
      <c r="R7" s="622"/>
      <c r="S7" s="622"/>
      <c r="T7" s="622"/>
    </row>
    <row r="8" spans="1:21" s="620" customFormat="1">
      <c r="A8" s="646"/>
      <c r="B8" s="646" t="s">
        <v>4</v>
      </c>
      <c r="C8" s="628" t="s">
        <v>248</v>
      </c>
      <c r="D8" s="620" t="str">
        <f>ML_Sum!D3</f>
        <v>Retrofitting works for the Electrical Installations</v>
      </c>
      <c r="G8" s="622"/>
      <c r="H8" s="622"/>
      <c r="I8" s="622"/>
      <c r="J8" s="622"/>
      <c r="R8" s="622"/>
      <c r="S8" s="622"/>
      <c r="T8" s="622"/>
    </row>
    <row r="9" spans="1:21" s="620" customFormat="1">
      <c r="A9" s="622"/>
      <c r="B9" s="621" t="s">
        <v>6</v>
      </c>
      <c r="C9" s="628" t="s">
        <v>249</v>
      </c>
      <c r="D9" s="620" t="str">
        <f>ML_Sum!D4</f>
        <v>EL25-0477</v>
      </c>
      <c r="G9" s="622"/>
      <c r="H9" s="622"/>
      <c r="I9" s="622"/>
      <c r="J9" s="622"/>
    </row>
    <row r="10" spans="1:21" s="620" customFormat="1">
      <c r="A10" s="622"/>
      <c r="B10" s="626" t="s">
        <v>194</v>
      </c>
      <c r="C10" s="628" t="s">
        <v>250</v>
      </c>
      <c r="D10" s="620" t="str">
        <f>ML_Sum!D5</f>
        <v>Tender</v>
      </c>
      <c r="E10" s="622"/>
      <c r="F10" s="622"/>
      <c r="G10" s="622"/>
      <c r="H10" s="622"/>
      <c r="I10" s="622"/>
      <c r="J10" s="622"/>
      <c r="K10" s="622"/>
      <c r="L10" s="622"/>
      <c r="M10" s="622"/>
      <c r="N10" s="622"/>
      <c r="O10" s="622"/>
      <c r="P10" s="622"/>
      <c r="Q10" s="622"/>
      <c r="R10" s="622"/>
      <c r="S10" s="622"/>
      <c r="T10" s="622"/>
    </row>
    <row r="11" spans="1:21" s="620" customFormat="1">
      <c r="A11" s="622"/>
      <c r="B11" s="622"/>
      <c r="C11" s="624"/>
      <c r="D11" s="622"/>
      <c r="E11" s="622"/>
      <c r="F11" s="622"/>
      <c r="G11" s="622"/>
      <c r="H11" s="622"/>
      <c r="I11" s="622"/>
      <c r="J11" s="622"/>
      <c r="K11" s="622"/>
      <c r="L11" s="622"/>
      <c r="M11" s="622"/>
      <c r="N11" s="622"/>
      <c r="O11" s="622"/>
      <c r="P11" s="622"/>
      <c r="Q11" s="622"/>
      <c r="R11" s="622"/>
      <c r="S11" s="622"/>
      <c r="T11" s="622"/>
    </row>
    <row r="12" spans="1:21" s="620" customFormat="1">
      <c r="D12" s="622"/>
      <c r="E12" s="622"/>
      <c r="F12" s="622"/>
      <c r="G12" s="622"/>
      <c r="H12" s="622"/>
      <c r="I12" s="622"/>
      <c r="J12" s="622"/>
      <c r="K12" s="622"/>
      <c r="L12" s="622"/>
      <c r="M12" s="622"/>
      <c r="N12" s="622"/>
      <c r="O12" s="622"/>
      <c r="P12" s="622"/>
      <c r="Q12" s="622"/>
      <c r="R12" s="622"/>
      <c r="S12" s="622"/>
      <c r="T12" s="622"/>
    </row>
    <row r="13" spans="1:21" s="620" customFormat="1">
      <c r="A13" s="629"/>
      <c r="D13" s="622"/>
      <c r="E13" s="622"/>
      <c r="F13" s="622"/>
      <c r="G13" s="622"/>
      <c r="H13" s="622"/>
      <c r="I13" s="622"/>
      <c r="J13" s="622"/>
      <c r="K13" s="622"/>
      <c r="L13" s="622"/>
      <c r="M13" s="622"/>
      <c r="N13" s="622"/>
      <c r="O13" s="622"/>
      <c r="P13" s="622"/>
      <c r="Q13" s="622"/>
      <c r="R13" s="622"/>
      <c r="S13" s="622"/>
      <c r="T13" s="622"/>
    </row>
    <row r="14" spans="1:21" s="620" customFormat="1">
      <c r="G14" s="622"/>
      <c r="H14" s="622"/>
      <c r="I14" s="622"/>
      <c r="J14" s="622"/>
    </row>
    <row r="15" spans="1:21" s="620" customFormat="1">
      <c r="G15" s="622"/>
      <c r="H15" s="622"/>
      <c r="I15" s="622"/>
      <c r="J15" s="622"/>
    </row>
    <row r="16" spans="1:21" s="620" customFormat="1">
      <c r="G16" s="622"/>
      <c r="H16" s="622"/>
      <c r="I16" s="622"/>
      <c r="J16" s="622"/>
    </row>
    <row r="17" spans="1:20" s="620" customFormat="1">
      <c r="G17" s="622"/>
      <c r="H17" s="622"/>
      <c r="I17" s="622"/>
      <c r="J17" s="622"/>
    </row>
    <row r="18" spans="1:20" s="620" customFormat="1">
      <c r="G18" s="622"/>
      <c r="H18" s="622"/>
      <c r="I18" s="622"/>
      <c r="J18" s="622"/>
    </row>
    <row r="19" spans="1:20" s="620" customFormat="1">
      <c r="G19" s="622"/>
      <c r="H19" s="622"/>
      <c r="I19" s="622"/>
      <c r="J19" s="622"/>
    </row>
    <row r="20" spans="1:20" s="620" customFormat="1">
      <c r="G20" s="622"/>
      <c r="H20" s="622"/>
      <c r="I20" s="622"/>
      <c r="J20" s="622"/>
    </row>
    <row r="21" spans="1:20" s="620" customFormat="1">
      <c r="G21" s="622"/>
      <c r="H21" s="622"/>
      <c r="I21" s="622"/>
      <c r="J21" s="622"/>
    </row>
    <row r="22" spans="1:20" s="620" customFormat="1">
      <c r="A22" s="622"/>
      <c r="B22" s="622"/>
      <c r="C22" s="622"/>
      <c r="D22" s="630" t="s">
        <v>256</v>
      </c>
      <c r="E22" s="631">
        <f ca="1">ML_Sum!E35</f>
        <v>386990.91999999993</v>
      </c>
      <c r="F22" s="628" t="str">
        <f>ML_Sum!D6</f>
        <v>VAT EXCL.</v>
      </c>
      <c r="G22" s="647" t="s">
        <v>203</v>
      </c>
      <c r="H22" s="647" t="s">
        <v>203</v>
      </c>
      <c r="I22" s="647" t="s">
        <v>203</v>
      </c>
      <c r="J22" s="647" t="s">
        <v>203</v>
      </c>
      <c r="K22" s="647" t="s">
        <v>203</v>
      </c>
      <c r="L22" s="647" t="s">
        <v>203</v>
      </c>
      <c r="M22" s="647" t="s">
        <v>203</v>
      </c>
      <c r="N22" s="647" t="s">
        <v>203</v>
      </c>
      <c r="O22" s="647" t="s">
        <v>203</v>
      </c>
      <c r="P22" s="647" t="s">
        <v>203</v>
      </c>
      <c r="Q22" s="648"/>
      <c r="R22" s="622"/>
      <c r="S22" s="622"/>
      <c r="T22" s="622"/>
    </row>
    <row r="23" spans="1:20" s="620" customFormat="1">
      <c r="A23" s="622"/>
      <c r="B23" s="622"/>
      <c r="C23" s="622"/>
      <c r="D23" s="649"/>
      <c r="E23" s="632"/>
      <c r="F23" s="632"/>
      <c r="G23" s="648"/>
      <c r="H23" s="648"/>
      <c r="I23" s="648"/>
      <c r="J23" s="648"/>
      <c r="K23" s="648"/>
      <c r="L23" s="648"/>
      <c r="M23" s="648"/>
      <c r="N23" s="648"/>
      <c r="O23" s="648"/>
      <c r="P23" s="648"/>
      <c r="Q23" s="648"/>
      <c r="S23" s="622"/>
    </row>
    <row r="24" spans="1:20" s="620" customFormat="1">
      <c r="A24" s="622"/>
      <c r="B24" s="622"/>
      <c r="C24" s="622"/>
      <c r="D24" s="633"/>
      <c r="E24" s="648"/>
      <c r="F24" s="648"/>
      <c r="G24" s="648"/>
      <c r="H24" s="648"/>
      <c r="I24" s="648"/>
      <c r="J24" s="648"/>
      <c r="K24" s="648"/>
      <c r="L24" s="648"/>
      <c r="M24" s="648"/>
      <c r="N24" s="648"/>
      <c r="O24" s="648"/>
      <c r="P24" s="648"/>
      <c r="Q24" s="648"/>
      <c r="S24" s="622"/>
    </row>
    <row r="25" spans="1:20" s="620" customFormat="1">
      <c r="A25" s="634"/>
      <c r="B25" s="635"/>
      <c r="C25" s="635"/>
      <c r="D25" s="622"/>
      <c r="E25" s="622"/>
      <c r="F25" s="622"/>
      <c r="G25" s="622"/>
      <c r="H25" s="622"/>
      <c r="I25" s="622"/>
      <c r="J25" s="622"/>
      <c r="K25" s="622"/>
      <c r="L25" s="622"/>
      <c r="M25" s="622"/>
      <c r="N25" s="622"/>
      <c r="O25" s="622"/>
      <c r="P25" s="622"/>
      <c r="Q25" s="622"/>
    </row>
    <row r="26" spans="1:20" s="620" customFormat="1">
      <c r="A26" s="623"/>
      <c r="G26" s="622"/>
      <c r="H26" s="622"/>
      <c r="I26" s="622"/>
      <c r="J26" s="622"/>
    </row>
    <row r="27" spans="1:20" s="620" customFormat="1">
      <c r="A27" s="623"/>
      <c r="G27" s="622"/>
      <c r="H27" s="622"/>
      <c r="I27" s="622"/>
      <c r="J27" s="622"/>
    </row>
    <row r="28" spans="1:20" s="620" customFormat="1">
      <c r="A28" s="623"/>
      <c r="G28" s="622"/>
      <c r="H28" s="622"/>
      <c r="I28" s="622"/>
      <c r="J28" s="622"/>
    </row>
    <row r="29" spans="1:20" s="620" customFormat="1">
      <c r="A29" s="623"/>
      <c r="G29" s="622"/>
      <c r="H29" s="622"/>
      <c r="I29" s="622"/>
      <c r="J29" s="622"/>
    </row>
    <row r="30" spans="1:20" s="620" customFormat="1">
      <c r="A30" s="623"/>
      <c r="G30" s="622"/>
      <c r="H30" s="622"/>
      <c r="I30" s="622"/>
      <c r="J30" s="622"/>
    </row>
    <row r="31" spans="1:20" s="620" customFormat="1">
      <c r="A31" s="623"/>
      <c r="G31" s="622"/>
      <c r="H31" s="622"/>
      <c r="I31" s="622"/>
      <c r="J31" s="622"/>
    </row>
    <row r="32" spans="1:20" s="620" customFormat="1">
      <c r="A32" s="623"/>
      <c r="G32" s="622"/>
      <c r="H32" s="622"/>
      <c r="I32" s="622"/>
      <c r="J32" s="622"/>
    </row>
    <row r="33" spans="1:20" s="620" customFormat="1">
      <c r="G33" s="622"/>
      <c r="H33" s="622"/>
      <c r="I33" s="622"/>
      <c r="J33" s="622"/>
    </row>
    <row r="34" spans="1:20" s="620" customFormat="1">
      <c r="A34" s="622"/>
      <c r="B34" s="622"/>
      <c r="C34" s="622"/>
      <c r="D34" s="622"/>
      <c r="E34" s="622"/>
      <c r="F34" s="622"/>
      <c r="G34" s="622"/>
      <c r="H34" s="622"/>
      <c r="I34" s="622"/>
      <c r="J34" s="622"/>
      <c r="K34" s="622"/>
      <c r="L34" s="622"/>
      <c r="M34" s="622"/>
      <c r="N34" s="622"/>
      <c r="O34" s="622"/>
      <c r="P34" s="622"/>
      <c r="Q34" s="622"/>
      <c r="R34" s="622"/>
      <c r="S34" s="622"/>
      <c r="T34" s="622"/>
    </row>
    <row r="35" spans="1:20" s="620" customFormat="1">
      <c r="A35" s="622"/>
      <c r="B35" s="622"/>
      <c r="C35" s="622"/>
      <c r="D35" s="622"/>
      <c r="E35" s="622"/>
      <c r="F35" s="622"/>
      <c r="G35" s="622"/>
      <c r="H35" s="622"/>
      <c r="I35" s="622"/>
      <c r="J35" s="622"/>
      <c r="K35" s="622"/>
      <c r="L35" s="622"/>
      <c r="M35" s="622"/>
      <c r="N35" s="622"/>
      <c r="O35" s="622"/>
      <c r="P35" s="622"/>
      <c r="Q35" s="622"/>
      <c r="R35" s="622"/>
      <c r="S35" s="622"/>
      <c r="T35" s="622"/>
    </row>
    <row r="36" spans="1:20" s="620" customFormat="1">
      <c r="A36" s="622"/>
      <c r="B36" s="622"/>
      <c r="C36" s="622"/>
      <c r="D36" s="622"/>
      <c r="E36" s="622"/>
      <c r="F36" s="622"/>
      <c r="G36" s="622"/>
      <c r="H36" s="622"/>
      <c r="I36" s="622"/>
      <c r="J36" s="622"/>
      <c r="K36" s="622"/>
      <c r="L36" s="622"/>
      <c r="M36" s="622"/>
      <c r="N36" s="622"/>
      <c r="O36" s="622"/>
      <c r="P36" s="622"/>
      <c r="Q36" s="622"/>
      <c r="R36" s="622"/>
      <c r="S36" s="622"/>
      <c r="T36" s="622"/>
    </row>
    <row r="37" spans="1:20" s="620" customFormat="1">
      <c r="G37" s="622"/>
      <c r="H37" s="622"/>
      <c r="I37" s="622"/>
      <c r="J37" s="622"/>
    </row>
    <row r="38" spans="1:20" s="620" customFormat="1">
      <c r="A38" s="629"/>
      <c r="B38" s="636"/>
      <c r="G38" s="622"/>
      <c r="H38" s="622"/>
      <c r="I38" s="622"/>
      <c r="J38" s="622"/>
    </row>
    <row r="39" spans="1:20" s="620" customFormat="1">
      <c r="A39" s="623"/>
      <c r="G39" s="622"/>
      <c r="H39" s="622"/>
      <c r="I39" s="622"/>
      <c r="J39" s="622"/>
    </row>
    <row r="40" spans="1:20" s="620" customFormat="1">
      <c r="A40" s="623"/>
      <c r="G40" s="622"/>
      <c r="H40" s="622"/>
      <c r="I40" s="622"/>
      <c r="J40" s="622"/>
    </row>
    <row r="41" spans="1:20" s="620" customFormat="1">
      <c r="A41" s="623"/>
      <c r="G41" s="622"/>
      <c r="H41" s="622"/>
      <c r="I41" s="622"/>
      <c r="J41" s="622"/>
    </row>
    <row r="42" spans="1:20" s="620" customFormat="1">
      <c r="A42" s="623"/>
      <c r="G42" s="622"/>
      <c r="H42" s="622"/>
      <c r="I42" s="622"/>
      <c r="J42" s="622"/>
    </row>
    <row r="43" spans="1:20" s="620" customFormat="1">
      <c r="A43" s="623"/>
      <c r="G43" s="622"/>
      <c r="H43" s="622"/>
      <c r="I43" s="622"/>
      <c r="J43" s="622"/>
    </row>
    <row r="44" spans="1:20" s="620" customFormat="1">
      <c r="A44" s="623"/>
      <c r="G44" s="622"/>
      <c r="H44" s="622"/>
      <c r="I44" s="622"/>
      <c r="J44" s="622"/>
    </row>
    <row r="45" spans="1:20" s="620" customFormat="1">
      <c r="A45" s="623"/>
      <c r="G45" s="622"/>
      <c r="H45" s="622"/>
      <c r="I45" s="622"/>
      <c r="J45" s="622"/>
    </row>
    <row r="46" spans="1:20" s="620" customFormat="1">
      <c r="A46" s="623"/>
      <c r="G46" s="622"/>
      <c r="H46" s="622"/>
      <c r="I46" s="622"/>
      <c r="J46" s="622"/>
    </row>
    <row r="47" spans="1:20" s="620" customFormat="1">
      <c r="A47" s="623"/>
      <c r="G47" s="622"/>
      <c r="H47" s="622"/>
      <c r="I47" s="622"/>
      <c r="J47" s="622"/>
    </row>
    <row r="48" spans="1:20" s="620" customFormat="1">
      <c r="G48" s="622"/>
      <c r="H48" s="622"/>
      <c r="I48" s="622"/>
      <c r="J48" s="622"/>
    </row>
    <row r="49" spans="1:19" s="620" customFormat="1">
      <c r="G49" s="622"/>
      <c r="H49" s="622"/>
      <c r="I49" s="622"/>
      <c r="J49" s="622"/>
    </row>
    <row r="50" spans="1:19" s="620" customFormat="1">
      <c r="A50" s="624"/>
      <c r="B50" s="624"/>
      <c r="C50" s="624"/>
      <c r="G50" s="622"/>
      <c r="H50" s="622"/>
      <c r="I50" s="622"/>
      <c r="J50" s="622"/>
      <c r="Q50" s="624"/>
      <c r="R50" s="624"/>
      <c r="S50" s="624"/>
    </row>
    <row r="51" spans="1:19" s="620" customFormat="1">
      <c r="A51" s="620" t="s">
        <v>132</v>
      </c>
      <c r="D51" s="637"/>
      <c r="G51" s="622"/>
      <c r="H51" s="622"/>
      <c r="I51" s="622"/>
      <c r="J51" s="622"/>
      <c r="Q51" s="620" t="s">
        <v>132</v>
      </c>
    </row>
    <row r="52" spans="1:19" s="620" customFormat="1">
      <c r="A52" s="620" t="s">
        <v>133</v>
      </c>
      <c r="G52" s="622"/>
      <c r="H52" s="622"/>
      <c r="I52" s="622"/>
      <c r="J52" s="622"/>
      <c r="Q52" s="620" t="s">
        <v>204</v>
      </c>
    </row>
    <row r="53" spans="1:19" s="620" customFormat="1" ht="13.8" thickBot="1">
      <c r="G53" s="622"/>
      <c r="H53" s="622"/>
      <c r="I53" s="622"/>
      <c r="J53" s="622"/>
    </row>
    <row r="54" spans="1:19" s="620" customFormat="1">
      <c r="G54" s="622"/>
      <c r="H54" s="622"/>
      <c r="I54" s="622"/>
      <c r="J54" s="622"/>
      <c r="Q54" s="638" t="s">
        <v>205</v>
      </c>
      <c r="R54" s="639"/>
    </row>
    <row r="55" spans="1:19" s="620" customFormat="1">
      <c r="G55" s="622"/>
      <c r="H55" s="622"/>
      <c r="I55" s="622"/>
      <c r="J55" s="622"/>
      <c r="Q55" s="640" t="s">
        <v>299</v>
      </c>
      <c r="R55" s="641"/>
    </row>
    <row r="56" spans="1:19" s="620" customFormat="1">
      <c r="G56" s="622"/>
      <c r="H56" s="622"/>
      <c r="I56" s="622"/>
      <c r="J56" s="622"/>
      <c r="Q56" s="640"/>
      <c r="R56" s="641"/>
    </row>
    <row r="57" spans="1:19" s="620" customFormat="1" ht="13.8" thickBot="1">
      <c r="A57" s="642"/>
      <c r="Q57" s="643" t="s">
        <v>206</v>
      </c>
      <c r="R57" s="644"/>
    </row>
    <row r="58" spans="1:19" s="620" customFormat="1">
      <c r="A58" s="650"/>
      <c r="B58" s="645"/>
      <c r="C58" s="645"/>
      <c r="D58" s="645"/>
      <c r="E58" s="645"/>
      <c r="F58" s="645"/>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IV417"/>
  <sheetViews>
    <sheetView topLeftCell="A97" workbookViewId="0">
      <selection activeCell="E349" sqref="E349"/>
    </sheetView>
  </sheetViews>
  <sheetFormatPr defaultColWidth="9.109375" defaultRowHeight="13.2"/>
  <cols>
    <col min="1" max="1" width="19.44140625" style="36" customWidth="1"/>
    <col min="2" max="2" width="8.109375" style="36" customWidth="1"/>
    <col min="3" max="3" width="4.33203125" style="36" hidden="1" customWidth="1"/>
    <col min="4" max="4" width="28.109375" style="36" customWidth="1"/>
    <col min="5" max="6" width="26.10937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20" width="16.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256" s="32" customFormat="1" ht="13.8">
      <c r="A1" s="551"/>
      <c r="B1" s="552" t="s">
        <v>0</v>
      </c>
      <c r="C1" s="553">
        <f>ML_Sum!$C1</f>
        <v>1</v>
      </c>
      <c r="D1" s="554" t="str">
        <f>ML_Sum!$D1</f>
        <v>Eden Lesuire Group</v>
      </c>
      <c r="E1" s="555"/>
      <c r="F1" s="556">
        <f>ML_Sum!$F1</f>
        <v>0</v>
      </c>
      <c r="G1" s="557"/>
      <c r="H1"/>
      <c r="I1" s="324">
        <v>1</v>
      </c>
      <c r="J1" s="325">
        <f>ML_Sum!$J1</f>
        <v>1</v>
      </c>
      <c r="K1" s="325">
        <f>ML_Sum!$K1</f>
        <v>1</v>
      </c>
      <c r="L1" s="325">
        <f>ML_Sum!$L1</f>
        <v>1</v>
      </c>
      <c r="M1" s="325">
        <f>ML_Sum!$M1</f>
        <v>1</v>
      </c>
      <c r="N1" s="325">
        <f>ML_Sum!$N1</f>
        <v>1</v>
      </c>
      <c r="O1" s="325">
        <f>ML_Sum!$O1</f>
        <v>1</v>
      </c>
      <c r="P1"/>
      <c r="Q1" s="393" t="str">
        <f>ML_Sum!$Q1</f>
        <v>€</v>
      </c>
      <c r="R1" s="328" t="s">
        <v>1</v>
      </c>
      <c r="S1" s="392" t="str">
        <f>ML_Sum!$S1</f>
        <v>R</v>
      </c>
      <c r="T1" s="17">
        <f>ML_Sum!$T1</f>
        <v>1</v>
      </c>
      <c r="U1" s="248" t="str">
        <f>ML_Sum!W1</f>
        <v>BOQ</v>
      </c>
      <c r="V1" s="182" t="s">
        <v>207</v>
      </c>
      <c r="W1" s="183" t="s">
        <v>197</v>
      </c>
      <c r="X1" s="184" t="s">
        <v>198</v>
      </c>
      <c r="Y1" s="185" t="s">
        <v>199</v>
      </c>
      <c r="Z1" s="186" t="s">
        <v>195</v>
      </c>
      <c r="AA1" s="186" t="s">
        <v>200</v>
      </c>
      <c r="AB1" s="183" t="s">
        <v>201</v>
      </c>
    </row>
    <row r="2" spans="1:256" s="32" customFormat="1" ht="13.8">
      <c r="A2" s="551"/>
      <c r="B2" s="552" t="s">
        <v>2</v>
      </c>
      <c r="C2" s="553">
        <f>ML_Sum!$C2</f>
        <v>0.97379223448350882</v>
      </c>
      <c r="D2" s="554" t="str">
        <f>ML_Sum!$D2</f>
        <v>Intercontinental - Plant Retrofit</v>
      </c>
      <c r="E2" s="558"/>
      <c r="F2" s="556" t="str">
        <f>ML_Sum!$F2</f>
        <v>Electrical</v>
      </c>
      <c r="G2" s="557"/>
      <c r="H2"/>
      <c r="I2" s="324">
        <v>2</v>
      </c>
      <c r="J2" s="325">
        <f>ML_Sum!$J2</f>
        <v>1</v>
      </c>
      <c r="K2" s="325">
        <f>ML_Sum!$K2</f>
        <v>1</v>
      </c>
      <c r="L2" s="325">
        <f>ML_Sum!$L2</f>
        <v>1</v>
      </c>
      <c r="M2" s="325">
        <f>ML_Sum!$M2</f>
        <v>1</v>
      </c>
      <c r="N2" s="325">
        <f>ML_Sum!$N2</f>
        <v>1</v>
      </c>
      <c r="O2" s="325">
        <f>ML_Sum!$O2</f>
        <v>1</v>
      </c>
      <c r="P2"/>
      <c r="Q2" s="398">
        <f>ML_Sum!$Q2</f>
        <v>2.6207765516491222E-2</v>
      </c>
      <c r="R2" s="18" t="s">
        <v>3</v>
      </c>
      <c r="S2" s="399">
        <f>ML_Sum!$S2</f>
        <v>1.35</v>
      </c>
      <c r="T2" s="400">
        <f>ML_Sum!$T2</f>
        <v>37.071000000000005</v>
      </c>
      <c r="V2" s="372"/>
      <c r="W2" s="372"/>
      <c r="X2" s="372"/>
      <c r="Y2" s="372"/>
      <c r="Z2" s="372"/>
      <c r="AA2" s="372"/>
      <c r="AB2" s="372"/>
    </row>
    <row r="3" spans="1:256" s="32" customFormat="1" ht="13.8">
      <c r="A3" s="559"/>
      <c r="B3" s="560" t="s">
        <v>4</v>
      </c>
      <c r="C3" s="553">
        <f>ML_Sum!$C3</f>
        <v>0.97379223448350882</v>
      </c>
      <c r="D3" s="554" t="str">
        <f>ML_Sum!$D3</f>
        <v>Retrofitting works for the Electrical Installations</v>
      </c>
      <c r="E3" s="559"/>
      <c r="F3" s="556" t="str">
        <f>ML_Sum!$F3</f>
        <v>ECA (Technician)</v>
      </c>
      <c r="G3" s="561"/>
      <c r="H3"/>
      <c r="I3" s="324">
        <v>3</v>
      </c>
      <c r="J3" s="325">
        <f>ML_Sum!$J3</f>
        <v>1</v>
      </c>
      <c r="K3" s="325">
        <f>ML_Sum!$K3</f>
        <v>1</v>
      </c>
      <c r="L3" s="325">
        <f>ML_Sum!$L3</f>
        <v>1</v>
      </c>
      <c r="M3" s="325">
        <f>ML_Sum!$M3</f>
        <v>1</v>
      </c>
      <c r="N3" s="325">
        <f>ML_Sum!$N3</f>
        <v>1</v>
      </c>
      <c r="O3" s="325">
        <f>ML_Sum!$O3</f>
        <v>1</v>
      </c>
      <c r="P3"/>
      <c r="Q3" s="398">
        <f>ML_Sum!$Q3</f>
        <v>2.6207765516491222E-2</v>
      </c>
      <c r="R3" s="19" t="s">
        <v>5</v>
      </c>
      <c r="S3" s="399">
        <f>ML_Sum!$S3</f>
        <v>1.35</v>
      </c>
      <c r="T3" s="400">
        <f>ML_Sum!$T3</f>
        <v>45.535499999999999</v>
      </c>
      <c r="V3" s="372"/>
      <c r="W3" s="372"/>
      <c r="X3" s="372"/>
      <c r="Y3" s="372"/>
      <c r="Z3" s="372"/>
      <c r="AA3" s="372"/>
      <c r="AB3" s="372"/>
      <c r="AE3" s="366"/>
    </row>
    <row r="4" spans="1:256" s="32" customFormat="1" ht="13.8">
      <c r="A4" s="562"/>
      <c r="B4" s="552" t="s">
        <v>6</v>
      </c>
      <c r="C4" s="553">
        <f>ML_Sum!$C4</f>
        <v>0.97379223448350882</v>
      </c>
      <c r="D4" s="554" t="str">
        <f>ML_Sum!$D4</f>
        <v>EL25-0477</v>
      </c>
      <c r="E4" s="559"/>
      <c r="F4" s="556" t="str">
        <f>ML_Sum!$F4</f>
        <v>ECA (Engineer)</v>
      </c>
      <c r="G4" s="561"/>
      <c r="H4"/>
      <c r="I4" s="324">
        <v>4</v>
      </c>
      <c r="J4" s="325">
        <f>ML_Sum!$J4</f>
        <v>1</v>
      </c>
      <c r="K4" s="325">
        <f>ML_Sum!$K4</f>
        <v>1</v>
      </c>
      <c r="L4" s="325">
        <f>ML_Sum!$L4</f>
        <v>1</v>
      </c>
      <c r="M4" s="325">
        <f>ML_Sum!$M4</f>
        <v>1</v>
      </c>
      <c r="N4" s="325">
        <f>ML_Sum!$N4</f>
        <v>1</v>
      </c>
      <c r="O4" s="325">
        <f>ML_Sum!$O4</f>
        <v>1</v>
      </c>
      <c r="P4"/>
      <c r="Q4" s="398">
        <f>ML_Sum!$Q4</f>
        <v>2.6207765516491222E-2</v>
      </c>
      <c r="R4" s="20" t="s">
        <v>8</v>
      </c>
      <c r="S4" s="399">
        <f>ML_Sum!$S4</f>
        <v>1.35</v>
      </c>
      <c r="T4" s="400">
        <f>ML_Sum!$T4</f>
        <v>40.5</v>
      </c>
      <c r="V4" s="372"/>
      <c r="W4" s="372"/>
      <c r="X4" s="372"/>
      <c r="Y4" s="372"/>
      <c r="Z4" s="372"/>
      <c r="AA4" s="372"/>
      <c r="AB4" s="372"/>
      <c r="AE4" s="367"/>
    </row>
    <row r="5" spans="1:256" s="32" customFormat="1" ht="13.8">
      <c r="A5" s="562"/>
      <c r="B5" s="552" t="s">
        <v>209</v>
      </c>
      <c r="C5" s="553">
        <f>ML_Sum!$C5</f>
        <v>1</v>
      </c>
      <c r="D5" s="554" t="str">
        <f>ML_Sum!$D5</f>
        <v>Tender</v>
      </c>
      <c r="E5" s="559"/>
      <c r="F5" s="556" t="str">
        <f>ML_Sum!$F5</f>
        <v>Megaline</v>
      </c>
      <c r="G5" s="563"/>
      <c r="H5"/>
      <c r="I5" s="324">
        <v>5</v>
      </c>
      <c r="J5" s="325">
        <f>ML_Sum!$J5</f>
        <v>1</v>
      </c>
      <c r="K5" s="325">
        <f>ML_Sum!$K5</f>
        <v>1</v>
      </c>
      <c r="L5" s="325">
        <f>ML_Sum!$L5</f>
        <v>1</v>
      </c>
      <c r="M5" s="325">
        <f>ML_Sum!$M5</f>
        <v>1</v>
      </c>
      <c r="N5" s="325">
        <f>ML_Sum!$N5</f>
        <v>1</v>
      </c>
      <c r="O5" s="325">
        <f>ML_Sum!$O5</f>
        <v>1</v>
      </c>
      <c r="P5"/>
      <c r="Q5" s="398">
        <f>ML_Sum!$Q5</f>
        <v>0</v>
      </c>
      <c r="R5" s="21" t="s">
        <v>10</v>
      </c>
      <c r="S5" s="399">
        <f>ML_Sum!$S5</f>
        <v>1</v>
      </c>
      <c r="T5" s="400">
        <f>ML_Sum!$T5</f>
        <v>37.071000000000005</v>
      </c>
      <c r="V5" s="372"/>
      <c r="W5" s="372"/>
      <c r="X5" s="372"/>
      <c r="Y5" s="372"/>
      <c r="Z5" s="372"/>
      <c r="AA5" s="372"/>
      <c r="AB5" s="372"/>
      <c r="AE5" s="367"/>
    </row>
    <row r="6" spans="1:256" s="32" customFormat="1" ht="13.8">
      <c r="A6"/>
      <c r="B6" s="560" t="s">
        <v>9</v>
      </c>
      <c r="C6" s="553">
        <f>ML_Sum!$C6</f>
        <v>1</v>
      </c>
      <c r="D6" s="554" t="str">
        <f>ML_Sum!$D6</f>
        <v>VAT EXCL.</v>
      </c>
      <c r="E6"/>
      <c r="F6" s="556">
        <f>ML_Sum!$F6</f>
        <v>0</v>
      </c>
      <c r="G6" s="563"/>
      <c r="H6"/>
      <c r="I6" s="324">
        <v>6</v>
      </c>
      <c r="J6" s="325">
        <f>ML_Sum!$J6</f>
        <v>1</v>
      </c>
      <c r="K6" s="325">
        <f>ML_Sum!$K6</f>
        <v>1</v>
      </c>
      <c r="L6" s="325">
        <f>ML_Sum!$L6</f>
        <v>1</v>
      </c>
      <c r="M6" s="325">
        <f>ML_Sum!$M6</f>
        <v>1</v>
      </c>
      <c r="N6" s="325">
        <f>ML_Sum!$N6</f>
        <v>1</v>
      </c>
      <c r="O6" s="325">
        <f>ML_Sum!$O6</f>
        <v>1</v>
      </c>
      <c r="P6"/>
      <c r="Q6" s="398">
        <f>ML_Sum!$Q6</f>
        <v>0</v>
      </c>
      <c r="R6" s="22" t="s">
        <v>11</v>
      </c>
      <c r="S6" s="399">
        <f>ML_Sum!$S6</f>
        <v>0</v>
      </c>
      <c r="T6" s="400">
        <f>ML_Sum!$T6</f>
        <v>0</v>
      </c>
      <c r="V6" s="372"/>
      <c r="W6" s="372"/>
      <c r="X6" s="372"/>
      <c r="Y6" s="372"/>
      <c r="Z6" s="372"/>
      <c r="AA6" s="372"/>
      <c r="AB6" s="372"/>
      <c r="AE6"/>
    </row>
    <row r="7" spans="1:256" s="32" customFormat="1" ht="13.8">
      <c r="A7" s="551"/>
      <c r="B7" s="560" t="s">
        <v>12</v>
      </c>
      <c r="C7" s="553">
        <f>ML_Sum!$C7</f>
        <v>1</v>
      </c>
      <c r="D7" s="564">
        <v>39364</v>
      </c>
      <c r="E7" s="565"/>
      <c r="F7" s="556">
        <f>ML_Sum!$F7</f>
        <v>0</v>
      </c>
      <c r="G7" s="566"/>
      <c r="H7"/>
      <c r="I7" s="324">
        <v>7</v>
      </c>
      <c r="J7" s="325">
        <f>ML_Sum!$J7</f>
        <v>1</v>
      </c>
      <c r="K7" s="325">
        <f>ML_Sum!$K7</f>
        <v>1</v>
      </c>
      <c r="L7" s="325">
        <f>ML_Sum!$L7</f>
        <v>1</v>
      </c>
      <c r="M7" s="325">
        <f>ML_Sum!$M7</f>
        <v>1</v>
      </c>
      <c r="N7" s="325">
        <f>ML_Sum!$N7</f>
        <v>1</v>
      </c>
      <c r="O7" s="325">
        <f>ML_Sum!$O7</f>
        <v>0</v>
      </c>
      <c r="P7"/>
      <c r="Q7" s="398">
        <f>ML_Sum!$Q7</f>
        <v>0</v>
      </c>
      <c r="R7" s="23" t="s">
        <v>13</v>
      </c>
      <c r="S7" s="399">
        <f>ML_Sum!$S7</f>
        <v>0</v>
      </c>
      <c r="T7" s="400">
        <f>ML_Sum!$T7</f>
        <v>0</v>
      </c>
      <c r="V7" s="372"/>
      <c r="W7" s="372"/>
      <c r="X7" s="372"/>
      <c r="Y7" s="372"/>
      <c r="Z7" s="372"/>
      <c r="AA7" s="372"/>
      <c r="AB7" s="372"/>
    </row>
    <row r="8" spans="1:256" s="32" customFormat="1" ht="13.8">
      <c r="A8" s="562"/>
      <c r="B8" s="560" t="s">
        <v>14</v>
      </c>
      <c r="C8" s="553">
        <f>ML_Sum!$C8</f>
        <v>1</v>
      </c>
      <c r="D8" s="554" t="str">
        <f>ML_Sum!$D8</f>
        <v>M.Scicluna</v>
      </c>
      <c r="E8" s="559"/>
      <c r="F8" s="556">
        <f>ML_Sum!$F8</f>
        <v>0</v>
      </c>
      <c r="G8" s="567"/>
      <c r="H8"/>
      <c r="I8" s="324">
        <v>8</v>
      </c>
      <c r="J8" s="325">
        <f>ML_Sum!$J8</f>
        <v>1</v>
      </c>
      <c r="K8" s="325">
        <f>ML_Sum!$K8</f>
        <v>1</v>
      </c>
      <c r="L8" s="325">
        <f>ML_Sum!$L8</f>
        <v>1</v>
      </c>
      <c r="M8" s="325">
        <f>ML_Sum!$M8</f>
        <v>1</v>
      </c>
      <c r="N8" s="325">
        <f>ML_Sum!$N8</f>
        <v>1</v>
      </c>
      <c r="O8" s="325">
        <f>ML_Sum!$O8</f>
        <v>0</v>
      </c>
      <c r="P8"/>
      <c r="Q8" s="398">
        <f>ML_Sum!$Q8</f>
        <v>0</v>
      </c>
      <c r="R8" s="24" t="s">
        <v>15</v>
      </c>
      <c r="S8" s="399">
        <f>ML_Sum!$S8</f>
        <v>0</v>
      </c>
      <c r="T8" s="400">
        <f>ML_Sum!$T8</f>
        <v>0</v>
      </c>
      <c r="V8" s="372"/>
      <c r="W8" s="372"/>
      <c r="X8" s="372"/>
      <c r="Y8" s="372"/>
      <c r="Z8" s="372"/>
      <c r="AA8" s="372"/>
      <c r="AB8" s="372"/>
      <c r="AE8" s="367"/>
    </row>
    <row r="9" spans="1:256" s="32" customFormat="1" ht="13.8">
      <c r="A9" s="562"/>
      <c r="B9" s="560" t="s">
        <v>293</v>
      </c>
      <c r="C9" s="553">
        <f>ML_Sum!$C9</f>
        <v>1</v>
      </c>
      <c r="D9" s="554">
        <f>ML_Sum!$D9</f>
        <v>27.46</v>
      </c>
      <c r="E9" s="559"/>
      <c r="F9" s="556">
        <f>ML_Sum!$F9</f>
        <v>0</v>
      </c>
      <c r="G9" s="567"/>
      <c r="H9"/>
      <c r="I9" s="324">
        <v>9</v>
      </c>
      <c r="J9" s="325">
        <f>ML_Sum!$J9</f>
        <v>1</v>
      </c>
      <c r="K9" s="325">
        <f>ML_Sum!$K9</f>
        <v>1</v>
      </c>
      <c r="L9" s="325">
        <f>ML_Sum!$L9</f>
        <v>1</v>
      </c>
      <c r="M9" s="325">
        <f>ML_Sum!$M9</f>
        <v>1</v>
      </c>
      <c r="N9" s="325">
        <f>ML_Sum!$N9</f>
        <v>1</v>
      </c>
      <c r="O9" s="325">
        <f>ML_Sum!$O9</f>
        <v>0</v>
      </c>
      <c r="P9"/>
      <c r="Q9" s="398">
        <f>ML_Sum!$Q9</f>
        <v>0</v>
      </c>
      <c r="R9" s="25" t="s">
        <v>16</v>
      </c>
      <c r="S9" s="399">
        <f>ML_Sum!$S9</f>
        <v>0</v>
      </c>
      <c r="T9" s="400">
        <f>ML_Sum!$T9</f>
        <v>0</v>
      </c>
      <c r="V9" s="372"/>
      <c r="W9" s="372"/>
      <c r="X9" s="372"/>
      <c r="Y9" s="372"/>
      <c r="Z9" s="372"/>
      <c r="AA9" s="372"/>
      <c r="AB9" s="372"/>
      <c r="AE9" s="367"/>
    </row>
    <row r="10" spans="1:256" s="32" customFormat="1" ht="13.8">
      <c r="A10" s="562"/>
      <c r="B10" s="551"/>
      <c r="C10" s="553">
        <f>ML_Sum!$C10</f>
        <v>1</v>
      </c>
      <c r="D10" s="551"/>
      <c r="E10" s="559"/>
      <c r="F10" s="556">
        <f>ML_Sum!$F10</f>
        <v>0</v>
      </c>
      <c r="G10" s="567"/>
      <c r="H10"/>
      <c r="I10" s="324">
        <v>10</v>
      </c>
      <c r="J10" s="325">
        <f>ML_Sum!$J10</f>
        <v>1</v>
      </c>
      <c r="K10" s="325">
        <f>ML_Sum!$K10</f>
        <v>1</v>
      </c>
      <c r="L10" s="325">
        <f>ML_Sum!$L10</f>
        <v>1</v>
      </c>
      <c r="M10" s="325">
        <f>ML_Sum!$M10</f>
        <v>1</v>
      </c>
      <c r="N10" s="325">
        <f>ML_Sum!$N10</f>
        <v>1</v>
      </c>
      <c r="O10" s="325">
        <f>ML_Sum!$O10</f>
        <v>1</v>
      </c>
      <c r="P10"/>
      <c r="Q10" s="398">
        <f>ML_Sum!$Q10</f>
        <v>0</v>
      </c>
      <c r="R10" s="26" t="s">
        <v>17</v>
      </c>
      <c r="S10" s="399">
        <f>ML_Sum!$S10</f>
        <v>0</v>
      </c>
      <c r="T10" s="400">
        <f>ML_Sum!$T10</f>
        <v>0</v>
      </c>
      <c r="V10" s="372"/>
      <c r="W10" s="372"/>
      <c r="X10" s="372"/>
      <c r="Y10" s="372"/>
      <c r="Z10" s="372"/>
      <c r="AA10" s="372"/>
      <c r="AB10" s="372"/>
      <c r="AE10" s="367"/>
    </row>
    <row r="11" spans="1:256" s="32" customFormat="1" ht="13.8">
      <c r="A11" s="562"/>
      <c r="B11" s="551"/>
      <c r="C11" s="553">
        <f>ML_Sum!$C11</f>
        <v>1</v>
      </c>
      <c r="D11" s="551"/>
      <c r="E11" s="559"/>
      <c r="F11" s="556">
        <f>ML_Sum!$F11</f>
        <v>0</v>
      </c>
      <c r="G11" s="567"/>
      <c r="H11" s="567"/>
      <c r="I11" s="551"/>
      <c r="J11" s="551"/>
      <c r="K11" s="551"/>
      <c r="L11" s="551"/>
      <c r="M11" s="551"/>
      <c r="N11" s="551"/>
      <c r="O11" s="551"/>
      <c r="P11" s="567"/>
      <c r="Q11" s="398">
        <f>ML_Sum!$Q11</f>
        <v>0</v>
      </c>
      <c r="R11" s="27" t="s">
        <v>18</v>
      </c>
      <c r="S11" s="399">
        <f>ML_Sum!$S11</f>
        <v>0</v>
      </c>
      <c r="T11" s="400">
        <f>ML_Sum!$T11</f>
        <v>0</v>
      </c>
      <c r="V11" s="372"/>
      <c r="W11" s="372"/>
      <c r="X11" s="372"/>
      <c r="Y11" s="372"/>
      <c r="Z11" s="372"/>
      <c r="AA11" s="372"/>
      <c r="AB11" s="372"/>
      <c r="AE11" s="367"/>
    </row>
    <row r="12" spans="1:256" s="32" customFormat="1" ht="13.8">
      <c r="A12" s="562"/>
      <c r="B12" s="551"/>
      <c r="C12" s="553">
        <f>ML_Sum!$C12</f>
        <v>0.97379223448350882</v>
      </c>
      <c r="D12" s="551"/>
      <c r="E12" s="559"/>
      <c r="F12" s="556">
        <f>ML_Sum!$F12</f>
        <v>0</v>
      </c>
      <c r="G12" s="567"/>
      <c r="H12" s="567"/>
      <c r="I12" s="551"/>
      <c r="J12" s="551"/>
      <c r="K12" s="551"/>
      <c r="L12" s="551"/>
      <c r="M12" s="551"/>
      <c r="N12" s="551"/>
      <c r="O12" s="551"/>
      <c r="P12" s="567"/>
      <c r="Q12" s="398">
        <f>ML_Sum!$Q12</f>
        <v>2.6207765516491222E-2</v>
      </c>
      <c r="R12" s="448" t="s">
        <v>227</v>
      </c>
      <c r="S12" s="399" t="str">
        <f>ML_Sum!$S12</f>
        <v>MAT MU</v>
      </c>
      <c r="T12" s="400" t="str">
        <f>ML_Sum!$T12</f>
        <v>LAB RATE</v>
      </c>
      <c r="V12" s="372"/>
      <c r="W12" s="372"/>
      <c r="X12" s="372"/>
      <c r="Y12" s="372"/>
      <c r="Z12" s="372"/>
      <c r="AA12" s="372"/>
      <c r="AB12" s="372"/>
      <c r="AE12" s="367"/>
    </row>
    <row r="13" spans="1:256" s="32" customFormat="1" ht="14.4" thickBot="1">
      <c r="A13" s="568"/>
      <c r="B13" s="569"/>
      <c r="C13" s="570"/>
      <c r="D13" s="571"/>
      <c r="E13" s="572"/>
      <c r="F13" s="573"/>
      <c r="G13" s="574" t="s">
        <v>19</v>
      </c>
      <c r="H13" s="574" t="s">
        <v>20</v>
      </c>
      <c r="I13" s="574" t="s">
        <v>21</v>
      </c>
      <c r="J13" s="574" t="s">
        <v>22</v>
      </c>
      <c r="K13" s="574" t="s">
        <v>23</v>
      </c>
      <c r="L13" s="574" t="s">
        <v>24</v>
      </c>
      <c r="M13" s="574" t="s">
        <v>25</v>
      </c>
      <c r="N13" s="574" t="s">
        <v>26</v>
      </c>
      <c r="O13" s="574" t="s">
        <v>27</v>
      </c>
      <c r="P13" s="574" t="s">
        <v>28</v>
      </c>
      <c r="Q13" s="28" t="s">
        <v>222</v>
      </c>
      <c r="R13" s="29" t="s">
        <v>30</v>
      </c>
      <c r="S13" s="30" t="s">
        <v>31</v>
      </c>
      <c r="T13" s="31" t="s">
        <v>32</v>
      </c>
      <c r="V13" s="372"/>
      <c r="W13" s="372"/>
      <c r="X13" s="372"/>
      <c r="Y13" s="372"/>
      <c r="Z13" s="372"/>
      <c r="AA13" s="372"/>
      <c r="AB13" s="372"/>
      <c r="AE13" s="368"/>
    </row>
    <row r="14" spans="1:256" s="602" customFormat="1">
      <c r="A14" s="63"/>
      <c r="B14" s="63"/>
      <c r="C14" s="3"/>
      <c r="D14" s="3"/>
      <c r="E14" s="63"/>
      <c r="F14" s="63"/>
      <c r="G14" s="63"/>
      <c r="H14" s="63"/>
      <c r="I14" s="63"/>
      <c r="J14" s="63"/>
      <c r="K14" s="63" t="s">
        <v>134</v>
      </c>
      <c r="L14" s="63"/>
      <c r="M14" s="63"/>
      <c r="N14" s="63"/>
      <c r="O14" s="64"/>
      <c r="P14" s="63"/>
      <c r="Q14" s="63"/>
      <c r="R14" s="63"/>
      <c r="S14" s="63"/>
      <c r="T14" s="63"/>
    </row>
    <row r="15" spans="1:256" s="602" customFormat="1" ht="12">
      <c r="A15" s="63"/>
      <c r="B15" s="63"/>
      <c r="C15" s="63" t="s">
        <v>135</v>
      </c>
      <c r="D15" s="37" t="s">
        <v>136</v>
      </c>
      <c r="E15" s="63"/>
      <c r="F15" s="63"/>
      <c r="G15" s="63"/>
      <c r="H15" s="63"/>
      <c r="I15" s="63"/>
      <c r="J15" s="63"/>
      <c r="K15" s="63"/>
      <c r="L15" s="63"/>
      <c r="M15" s="63"/>
      <c r="N15" s="63"/>
      <c r="O15" s="64"/>
      <c r="P15" s="63"/>
      <c r="Q15" s="63"/>
      <c r="R15" s="63"/>
      <c r="S15" s="63"/>
      <c r="T15" s="63"/>
    </row>
    <row r="16" spans="1:256" s="3" customFormat="1">
      <c r="A16" s="63"/>
      <c r="B16" s="63"/>
      <c r="C16" s="63"/>
      <c r="D16" s="37" t="s">
        <v>1298</v>
      </c>
      <c r="E16" s="63"/>
      <c r="F16" s="63"/>
      <c r="G16" s="63"/>
      <c r="H16" s="63"/>
      <c r="I16" s="63"/>
      <c r="J16" s="63"/>
      <c r="K16" s="63"/>
      <c r="L16" s="63"/>
      <c r="M16" s="63"/>
      <c r="N16" s="63"/>
      <c r="O16" s="64"/>
      <c r="P16" s="63"/>
      <c r="Q16" s="63"/>
      <c r="R16" s="63"/>
      <c r="S16" s="38"/>
      <c r="T16" s="38"/>
      <c r="U16" s="602"/>
      <c r="V16" s="602"/>
      <c r="W16" s="602"/>
      <c r="X16" s="602"/>
      <c r="Y16" s="602"/>
      <c r="Z16" s="602"/>
      <c r="AA16" s="602"/>
      <c r="AB16" s="602"/>
      <c r="AC16" s="602"/>
      <c r="AD16" s="602"/>
      <c r="AE16" s="602"/>
      <c r="AF16" s="602"/>
      <c r="AG16" s="602"/>
      <c r="AH16" s="602"/>
      <c r="AI16" s="602"/>
      <c r="AJ16" s="602"/>
      <c r="AK16" s="602"/>
      <c r="AL16" s="602"/>
      <c r="AM16" s="602"/>
      <c r="AN16" s="602"/>
      <c r="AO16" s="602"/>
      <c r="AP16" s="602"/>
      <c r="AQ16" s="602"/>
      <c r="AR16" s="602"/>
      <c r="AS16" s="602"/>
      <c r="AT16" s="602"/>
      <c r="AU16" s="602"/>
      <c r="AV16" s="602"/>
      <c r="AW16" s="602"/>
      <c r="AX16" s="602"/>
      <c r="AY16" s="602"/>
      <c r="AZ16" s="602"/>
      <c r="BA16" s="602"/>
      <c r="BB16" s="602"/>
      <c r="BC16" s="602"/>
      <c r="BD16" s="602"/>
      <c r="BE16" s="602"/>
      <c r="BF16" s="602"/>
      <c r="BG16" s="602"/>
      <c r="BH16" s="602"/>
      <c r="BI16" s="602"/>
      <c r="BJ16" s="602"/>
      <c r="BK16" s="602"/>
      <c r="BL16" s="602"/>
      <c r="BM16" s="602"/>
      <c r="BN16" s="602"/>
      <c r="BO16" s="602"/>
      <c r="BP16" s="602"/>
      <c r="BQ16" s="602"/>
      <c r="BR16" s="602"/>
      <c r="BS16" s="602"/>
      <c r="BT16" s="602"/>
      <c r="BU16" s="602"/>
      <c r="BV16" s="602"/>
      <c r="BW16" s="602"/>
      <c r="BX16" s="602"/>
      <c r="BY16" s="602"/>
      <c r="BZ16" s="602"/>
      <c r="CA16" s="602"/>
      <c r="CB16" s="602"/>
      <c r="CC16" s="602"/>
      <c r="CD16" s="602"/>
      <c r="CE16" s="602"/>
      <c r="CF16" s="602"/>
      <c r="CG16" s="602"/>
      <c r="CH16" s="602"/>
      <c r="CI16" s="602"/>
      <c r="CJ16" s="602"/>
      <c r="CK16" s="602"/>
      <c r="CL16" s="602"/>
      <c r="CM16" s="602"/>
      <c r="CN16" s="602"/>
      <c r="CO16" s="602"/>
      <c r="CP16" s="602"/>
      <c r="CQ16" s="602"/>
      <c r="CR16" s="602"/>
      <c r="CS16" s="602"/>
      <c r="CT16" s="602"/>
      <c r="CU16" s="602"/>
      <c r="CV16" s="602"/>
      <c r="CW16" s="602"/>
      <c r="CX16" s="602"/>
      <c r="CY16" s="602"/>
      <c r="CZ16" s="602"/>
      <c r="DA16" s="602"/>
      <c r="DB16" s="602"/>
      <c r="DC16" s="602"/>
      <c r="DD16" s="602"/>
      <c r="DE16" s="602"/>
      <c r="DF16" s="602"/>
      <c r="DG16" s="602"/>
      <c r="DH16" s="602"/>
      <c r="DI16" s="602"/>
      <c r="DJ16" s="602"/>
      <c r="DK16" s="602"/>
      <c r="DL16" s="602"/>
      <c r="DM16" s="602"/>
      <c r="DN16" s="602"/>
      <c r="DO16" s="602"/>
      <c r="DP16" s="602"/>
      <c r="DQ16" s="602"/>
      <c r="DR16" s="602"/>
      <c r="DS16" s="602"/>
      <c r="DT16" s="602"/>
      <c r="DU16" s="602"/>
      <c r="DV16" s="602"/>
      <c r="DW16" s="602"/>
      <c r="DX16" s="602"/>
      <c r="DY16" s="602"/>
      <c r="DZ16" s="602"/>
      <c r="EA16" s="602"/>
      <c r="EB16" s="602"/>
      <c r="EC16" s="602"/>
      <c r="ED16" s="602"/>
      <c r="EE16" s="602"/>
      <c r="EF16" s="602"/>
      <c r="EG16" s="602"/>
      <c r="EH16" s="602"/>
      <c r="EI16" s="602"/>
      <c r="EJ16" s="602"/>
      <c r="EK16" s="602"/>
      <c r="EL16" s="602"/>
      <c r="EM16" s="602"/>
      <c r="EN16" s="602"/>
      <c r="EO16" s="602"/>
      <c r="EP16" s="602"/>
      <c r="EQ16" s="602"/>
      <c r="ER16" s="602"/>
      <c r="ES16" s="602"/>
      <c r="ET16" s="602"/>
      <c r="EU16" s="602"/>
      <c r="EV16" s="602"/>
      <c r="EW16" s="602"/>
      <c r="EX16" s="602"/>
      <c r="EY16" s="602"/>
      <c r="EZ16" s="602"/>
      <c r="FA16" s="602"/>
      <c r="FB16" s="602"/>
      <c r="FC16" s="602"/>
      <c r="FD16" s="602"/>
      <c r="FE16" s="602"/>
      <c r="FF16" s="602"/>
      <c r="FG16" s="602"/>
      <c r="FH16" s="602"/>
      <c r="FI16" s="602"/>
      <c r="FJ16" s="602"/>
      <c r="FK16" s="602"/>
      <c r="FL16" s="602"/>
      <c r="FM16" s="602"/>
      <c r="FN16" s="602"/>
      <c r="FO16" s="602"/>
      <c r="FP16" s="602"/>
      <c r="FQ16" s="602"/>
      <c r="FR16" s="602"/>
      <c r="FS16" s="602"/>
      <c r="FT16" s="602"/>
      <c r="FU16" s="602"/>
      <c r="FV16" s="602"/>
      <c r="FW16" s="602"/>
      <c r="FX16" s="602"/>
      <c r="FY16" s="602"/>
      <c r="FZ16" s="602"/>
      <c r="GA16" s="602"/>
      <c r="GB16" s="602"/>
      <c r="GC16" s="602"/>
      <c r="GD16" s="602"/>
      <c r="GE16" s="602"/>
      <c r="GF16" s="602"/>
      <c r="GG16" s="602"/>
      <c r="GH16" s="602"/>
      <c r="GI16" s="602"/>
      <c r="GJ16" s="602"/>
      <c r="GK16" s="602"/>
      <c r="GL16" s="602"/>
      <c r="GM16" s="602"/>
      <c r="GN16" s="602"/>
      <c r="GO16" s="602"/>
      <c r="GP16" s="602"/>
      <c r="GQ16" s="602"/>
      <c r="GR16" s="602"/>
      <c r="GS16" s="602"/>
      <c r="GT16" s="602"/>
      <c r="GU16" s="602"/>
      <c r="GV16" s="602"/>
      <c r="GW16" s="602"/>
      <c r="GX16" s="602"/>
      <c r="GY16" s="602"/>
      <c r="GZ16" s="602"/>
      <c r="HA16" s="602"/>
      <c r="HB16" s="602"/>
      <c r="HC16" s="602"/>
      <c r="HD16" s="602"/>
      <c r="HE16" s="602"/>
      <c r="HF16" s="602"/>
      <c r="HG16" s="602"/>
      <c r="HH16" s="602"/>
      <c r="HI16" s="602"/>
      <c r="HJ16" s="602"/>
      <c r="HK16" s="602"/>
      <c r="HL16" s="602"/>
      <c r="HM16" s="602"/>
      <c r="HN16" s="602"/>
      <c r="HO16" s="602"/>
      <c r="HP16" s="602"/>
      <c r="HQ16" s="602"/>
      <c r="HR16" s="602"/>
      <c r="HS16" s="602"/>
      <c r="HT16" s="602"/>
      <c r="HU16" s="602"/>
      <c r="HV16" s="602"/>
      <c r="HW16" s="602"/>
      <c r="HX16" s="602"/>
      <c r="HY16" s="602"/>
      <c r="HZ16" s="602"/>
      <c r="IA16" s="602"/>
      <c r="IB16" s="602"/>
      <c r="IC16" s="602"/>
      <c r="ID16" s="602"/>
      <c r="IE16" s="602"/>
      <c r="IF16" s="602"/>
      <c r="IG16" s="602"/>
      <c r="IH16" s="602"/>
      <c r="II16" s="602"/>
      <c r="IJ16" s="602"/>
      <c r="IK16" s="602"/>
      <c r="IL16" s="602"/>
      <c r="IM16" s="602"/>
      <c r="IN16" s="602"/>
      <c r="IO16" s="602"/>
      <c r="IP16" s="602"/>
      <c r="IQ16" s="602"/>
      <c r="IR16" s="602"/>
      <c r="IS16" s="602"/>
      <c r="IT16" s="602"/>
      <c r="IU16" s="602"/>
      <c r="IV16" s="602"/>
    </row>
    <row r="17" spans="1:256" s="602" customFormat="1" ht="13.8" thickBot="1">
      <c r="A17" s="611"/>
      <c r="B17" s="3"/>
      <c r="C17" s="3"/>
      <c r="D17" s="3"/>
      <c r="E17" s="3"/>
      <c r="F17" s="3"/>
      <c r="G17" s="3"/>
      <c r="H17" s="3"/>
      <c r="I17" s="3"/>
      <c r="J17" s="3"/>
      <c r="K17" s="3"/>
      <c r="L17" s="3"/>
      <c r="M17" s="3"/>
      <c r="N17" s="3"/>
      <c r="O17" s="158"/>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row>
    <row r="18" spans="1:256" s="602" customFormat="1" ht="12" customHeight="1" thickTop="1">
      <c r="A18" s="63"/>
      <c r="B18" s="63"/>
      <c r="C18" s="63"/>
      <c r="D18" s="63"/>
      <c r="E18" s="63"/>
      <c r="F18" s="63"/>
      <c r="G18" s="63"/>
      <c r="H18" s="63"/>
      <c r="I18" s="63"/>
      <c r="J18" s="63"/>
      <c r="K18" s="63"/>
      <c r="L18" s="63"/>
      <c r="M18" s="63"/>
      <c r="N18" s="63"/>
      <c r="O18" s="64"/>
      <c r="P18" s="63"/>
      <c r="Q18" s="42" t="s">
        <v>180</v>
      </c>
      <c r="R18" s="63"/>
      <c r="S18" s="13"/>
      <c r="T18" s="63"/>
    </row>
    <row r="19" spans="1:256" s="602" customFormat="1" ht="12.6" thickBot="1">
      <c r="A19" s="824">
        <v>1</v>
      </c>
      <c r="B19" s="825">
        <f ca="1">Elec_Est!B1039</f>
        <v>202</v>
      </c>
      <c r="C19" s="826"/>
      <c r="D19" s="827" t="s">
        <v>1299</v>
      </c>
      <c r="E19" s="828"/>
      <c r="F19" s="828"/>
      <c r="G19" s="676"/>
      <c r="H19" s="676"/>
      <c r="I19" s="829"/>
      <c r="J19" s="676"/>
      <c r="K19" s="826" t="s">
        <v>181</v>
      </c>
      <c r="L19" s="830" t="s">
        <v>181</v>
      </c>
      <c r="M19" s="830"/>
      <c r="N19" s="830"/>
      <c r="O19" s="830"/>
      <c r="P19" s="830"/>
      <c r="Q19" s="831">
        <f ca="1">B19/A19</f>
        <v>202</v>
      </c>
      <c r="R19" s="832">
        <f ca="1">IF($B19=0,0,IF($S$1="R",ROUND(R28/$B19,2),R28/$B19))</f>
        <v>56.85</v>
      </c>
      <c r="S19" s="833"/>
      <c r="T19" s="832">
        <f ca="1">IF($B19=0,0,IF($S$1="R",ROUND(T28/$B19,2),T28/$B19))</f>
        <v>4.3899999999999997</v>
      </c>
    </row>
    <row r="20" spans="1:256" s="602" customFormat="1" ht="13.8" thickTop="1">
      <c r="A20" s="672"/>
      <c r="B20" s="3"/>
      <c r="C20" s="3"/>
      <c r="D20" s="157" t="s">
        <v>1300</v>
      </c>
      <c r="E20" s="3"/>
      <c r="F20" s="3"/>
      <c r="G20" s="3"/>
      <c r="H20" s="3"/>
      <c r="I20" s="3"/>
      <c r="J20" s="3"/>
      <c r="K20" s="3"/>
      <c r="L20" s="3"/>
      <c r="M20" s="3"/>
      <c r="N20" s="3"/>
      <c r="O20" s="158"/>
      <c r="P20" s="3"/>
      <c r="Q20" s="3"/>
      <c r="R20" s="3"/>
      <c r="S20" s="3"/>
      <c r="T20" s="3"/>
    </row>
    <row r="21" spans="1:256" s="730" customFormat="1">
      <c r="A21" s="840">
        <f ca="1">$Q$19 *(7)</f>
        <v>1414</v>
      </c>
      <c r="B21" s="730" t="s">
        <v>326</v>
      </c>
      <c r="D21" s="730" t="s">
        <v>763</v>
      </c>
      <c r="G21" s="731" t="s">
        <v>764</v>
      </c>
      <c r="H21" s="732">
        <v>690</v>
      </c>
      <c r="I21" s="730" t="s">
        <v>765</v>
      </c>
      <c r="J21" s="730" t="s">
        <v>766</v>
      </c>
      <c r="K21" s="735" t="s">
        <v>7</v>
      </c>
      <c r="O21" s="733">
        <v>1</v>
      </c>
      <c r="P21" s="734">
        <v>34669</v>
      </c>
      <c r="Q21" s="1210">
        <v>3.66</v>
      </c>
      <c r="R21" s="736">
        <f t="shared" ref="R21:R27" ca="1" si="0">$A21*Q21</f>
        <v>5175.24</v>
      </c>
      <c r="S21" s="735">
        <f>1.1 *(0.2)</f>
        <v>0.22000000000000003</v>
      </c>
      <c r="T21" s="737">
        <f ca="1">$A21*S21*$T$1</f>
        <v>311.08000000000004</v>
      </c>
    </row>
    <row r="22" spans="1:256" s="713" customFormat="1">
      <c r="A22" s="1211">
        <f ca="1">$Q$19 *(35)</f>
        <v>7070</v>
      </c>
      <c r="B22" s="730" t="s">
        <v>326</v>
      </c>
      <c r="C22" s="730"/>
      <c r="D22" s="730" t="s">
        <v>1301</v>
      </c>
      <c r="E22" s="730"/>
      <c r="F22" s="1212"/>
      <c r="G22" s="731" t="s">
        <v>1302</v>
      </c>
      <c r="H22" s="732">
        <v>617</v>
      </c>
      <c r="I22" s="730" t="s">
        <v>1303</v>
      </c>
      <c r="J22" s="730" t="s">
        <v>1304</v>
      </c>
      <c r="K22" s="735" t="s">
        <v>7</v>
      </c>
      <c r="L22" s="730"/>
      <c r="M22" s="730"/>
      <c r="N22" s="730"/>
      <c r="O22" s="733">
        <v>2</v>
      </c>
      <c r="P22" s="734"/>
      <c r="Q22" s="735">
        <f>0.62*1.25</f>
        <v>0.77500000000000002</v>
      </c>
      <c r="R22" s="736">
        <f t="shared" ca="1" si="0"/>
        <v>5479.25</v>
      </c>
      <c r="S22" s="735">
        <f>1.1 *(0.05)</f>
        <v>5.5000000000000007E-2</v>
      </c>
      <c r="T22" s="737">
        <f t="shared" ref="T22:T27" ca="1" si="1">$A22*S22*$T$1</f>
        <v>388.85</v>
      </c>
      <c r="U22" s="730"/>
      <c r="V22" s="730"/>
      <c r="W22" s="730"/>
      <c r="X22" s="730"/>
      <c r="Y22" s="730"/>
      <c r="Z22" s="730"/>
      <c r="AA22" s="730"/>
      <c r="AB22" s="730"/>
      <c r="AC22" s="730"/>
      <c r="AD22" s="730"/>
      <c r="AE22" s="730"/>
      <c r="AF22" s="730"/>
      <c r="AG22" s="730"/>
      <c r="AH22" s="730"/>
      <c r="AI22" s="730"/>
      <c r="AJ22" s="730"/>
      <c r="AK22" s="730"/>
      <c r="AL22" s="730"/>
      <c r="AM22" s="730"/>
      <c r="AN22" s="730"/>
      <c r="AO22" s="730"/>
      <c r="AP22" s="730"/>
      <c r="AQ22" s="730"/>
      <c r="AR22" s="730"/>
      <c r="AS22" s="730"/>
      <c r="AT22" s="730"/>
      <c r="AU22" s="730"/>
      <c r="AV22" s="730"/>
      <c r="AW22" s="730"/>
      <c r="AX22" s="730"/>
      <c r="AY22" s="730"/>
      <c r="AZ22" s="730"/>
      <c r="BA22" s="730"/>
      <c r="BB22" s="730"/>
      <c r="BC22" s="730"/>
      <c r="BD22" s="730"/>
      <c r="BE22" s="730"/>
      <c r="BF22" s="730"/>
      <c r="BG22" s="730"/>
      <c r="BH22" s="730"/>
      <c r="BI22" s="730"/>
      <c r="BJ22" s="730"/>
      <c r="BK22" s="730"/>
      <c r="BL22" s="730"/>
      <c r="BM22" s="730"/>
      <c r="BN22" s="730"/>
      <c r="BO22" s="730"/>
      <c r="BP22" s="730"/>
      <c r="BQ22" s="730"/>
      <c r="BR22" s="730"/>
      <c r="BS22" s="730"/>
      <c r="BT22" s="730"/>
      <c r="BU22" s="730"/>
      <c r="BV22" s="730"/>
      <c r="BW22" s="730"/>
      <c r="BX22" s="730"/>
      <c r="BY22" s="730"/>
      <c r="BZ22" s="730"/>
      <c r="CA22" s="730"/>
      <c r="CB22" s="730"/>
      <c r="CC22" s="730"/>
      <c r="CD22" s="730"/>
      <c r="CE22" s="730"/>
      <c r="CF22" s="730"/>
      <c r="CG22" s="730"/>
      <c r="CH22" s="730"/>
      <c r="CI22" s="730"/>
      <c r="CJ22" s="730"/>
      <c r="CK22" s="730"/>
      <c r="CL22" s="730"/>
      <c r="CM22" s="730"/>
      <c r="CN22" s="730"/>
      <c r="CO22" s="730"/>
      <c r="CP22" s="730"/>
      <c r="CQ22" s="730"/>
      <c r="CR22" s="730"/>
      <c r="CS22" s="730"/>
      <c r="CT22" s="730"/>
      <c r="CU22" s="730"/>
      <c r="CV22" s="730"/>
      <c r="CW22" s="730"/>
      <c r="CX22" s="730"/>
      <c r="CY22" s="730"/>
      <c r="CZ22" s="730"/>
      <c r="DA22" s="730"/>
      <c r="DB22" s="730"/>
      <c r="DC22" s="730"/>
      <c r="DD22" s="730"/>
      <c r="DE22" s="730"/>
      <c r="DF22" s="730"/>
      <c r="DG22" s="730"/>
      <c r="DH22" s="730"/>
      <c r="DI22" s="730"/>
      <c r="DJ22" s="730"/>
      <c r="DK22" s="730"/>
      <c r="DL22" s="730"/>
      <c r="DM22" s="730"/>
      <c r="DN22" s="730"/>
      <c r="DO22" s="730"/>
      <c r="DP22" s="730"/>
      <c r="DQ22" s="730"/>
      <c r="DR22" s="730"/>
      <c r="DS22" s="730"/>
      <c r="DT22" s="730"/>
      <c r="DU22" s="730"/>
      <c r="DV22" s="730"/>
      <c r="DW22" s="730"/>
      <c r="DX22" s="730"/>
      <c r="DY22" s="730"/>
      <c r="DZ22" s="730"/>
      <c r="EA22" s="730"/>
      <c r="EB22" s="730"/>
      <c r="EC22" s="730"/>
      <c r="ED22" s="730"/>
      <c r="EE22" s="730"/>
      <c r="EF22" s="730"/>
      <c r="EG22" s="730"/>
      <c r="EH22" s="730"/>
      <c r="EI22" s="730"/>
      <c r="EJ22" s="730"/>
      <c r="EK22" s="730"/>
      <c r="EL22" s="730"/>
      <c r="EM22" s="730"/>
      <c r="EN22" s="730"/>
      <c r="EO22" s="730"/>
      <c r="EP22" s="730"/>
      <c r="EQ22" s="730"/>
      <c r="ER22" s="730"/>
      <c r="ES22" s="730"/>
      <c r="ET22" s="730"/>
      <c r="EU22" s="730"/>
      <c r="EV22" s="730"/>
      <c r="EW22" s="730"/>
      <c r="EX22" s="730"/>
      <c r="EY22" s="730"/>
      <c r="EZ22" s="730"/>
      <c r="FA22" s="730"/>
      <c r="FB22" s="730"/>
      <c r="FC22" s="730"/>
      <c r="FD22" s="730"/>
      <c r="FE22" s="730"/>
      <c r="FF22" s="730"/>
      <c r="FG22" s="730"/>
      <c r="FH22" s="730"/>
      <c r="FI22" s="730"/>
      <c r="FJ22" s="730"/>
      <c r="FK22" s="730"/>
      <c r="FL22" s="730"/>
      <c r="FM22" s="730"/>
      <c r="FN22" s="730"/>
      <c r="FO22" s="730"/>
      <c r="FP22" s="730"/>
      <c r="FQ22" s="730"/>
      <c r="FR22" s="730"/>
      <c r="FS22" s="730"/>
      <c r="FT22" s="730"/>
      <c r="FU22" s="730"/>
      <c r="FV22" s="730"/>
      <c r="FW22" s="730"/>
      <c r="FX22" s="730"/>
      <c r="FY22" s="730"/>
      <c r="FZ22" s="730"/>
      <c r="GA22" s="730"/>
      <c r="GB22" s="730"/>
      <c r="GC22" s="730"/>
      <c r="GD22" s="730"/>
      <c r="GE22" s="730"/>
      <c r="GF22" s="730"/>
      <c r="GG22" s="730"/>
      <c r="GH22" s="730"/>
      <c r="GI22" s="730"/>
      <c r="GJ22" s="730"/>
      <c r="GK22" s="730"/>
      <c r="GL22" s="730"/>
      <c r="GM22" s="730"/>
      <c r="GN22" s="730"/>
      <c r="GO22" s="730"/>
      <c r="GP22" s="730"/>
      <c r="GQ22" s="730"/>
      <c r="GR22" s="730"/>
      <c r="GS22" s="730"/>
      <c r="GT22" s="730"/>
      <c r="GU22" s="730"/>
      <c r="GV22" s="730"/>
      <c r="GW22" s="730"/>
      <c r="GX22" s="730"/>
      <c r="GY22" s="730"/>
      <c r="GZ22" s="730"/>
      <c r="HA22" s="730"/>
      <c r="HB22" s="730"/>
      <c r="HC22" s="730"/>
      <c r="HD22" s="730"/>
      <c r="HE22" s="730"/>
      <c r="HF22" s="730"/>
      <c r="HG22" s="730"/>
      <c r="HH22" s="730"/>
      <c r="HI22" s="730"/>
      <c r="HJ22" s="730"/>
      <c r="HK22" s="730"/>
      <c r="HL22" s="730"/>
      <c r="HM22" s="730"/>
      <c r="HN22" s="730"/>
      <c r="HO22" s="730"/>
      <c r="HP22" s="730"/>
      <c r="HQ22" s="730"/>
      <c r="HR22" s="730"/>
      <c r="HS22" s="730"/>
      <c r="HT22" s="730"/>
      <c r="HU22" s="730"/>
      <c r="HV22" s="730"/>
      <c r="HW22" s="730"/>
      <c r="HX22" s="730"/>
      <c r="HY22" s="730"/>
      <c r="HZ22" s="730"/>
      <c r="IA22" s="730"/>
      <c r="IB22" s="730"/>
      <c r="IC22" s="730"/>
      <c r="ID22" s="730"/>
      <c r="IE22" s="730"/>
      <c r="IF22" s="730"/>
      <c r="IG22" s="730"/>
      <c r="IH22" s="730"/>
      <c r="II22" s="730"/>
      <c r="IJ22" s="730"/>
      <c r="IK22" s="730"/>
      <c r="IL22" s="730"/>
      <c r="IM22" s="730"/>
      <c r="IN22" s="730"/>
      <c r="IO22" s="730"/>
      <c r="IP22" s="730"/>
      <c r="IQ22" s="730"/>
      <c r="IR22" s="730"/>
      <c r="IS22" s="730"/>
      <c r="IT22" s="730"/>
      <c r="IU22" s="730"/>
      <c r="IV22" s="730"/>
    </row>
    <row r="23" spans="1:256" s="602" customFormat="1">
      <c r="A23" s="844">
        <f ca="1">$Q$19 *(2)</f>
        <v>404</v>
      </c>
      <c r="B23" s="730" t="s">
        <v>141</v>
      </c>
      <c r="C23" s="730"/>
      <c r="D23" s="730" t="s">
        <v>1305</v>
      </c>
      <c r="E23" s="730"/>
      <c r="F23" s="730"/>
      <c r="G23" s="731" t="s">
        <v>1306</v>
      </c>
      <c r="H23" s="732">
        <v>620</v>
      </c>
      <c r="I23" s="730" t="s">
        <v>674</v>
      </c>
      <c r="J23" s="730"/>
      <c r="K23" s="735" t="s">
        <v>7</v>
      </c>
      <c r="L23" s="730"/>
      <c r="M23" s="730"/>
      <c r="N23" s="730"/>
      <c r="O23" s="733">
        <v>2</v>
      </c>
      <c r="P23" s="734">
        <v>38148</v>
      </c>
      <c r="Q23" s="735">
        <f>1.1*1.5</f>
        <v>1.6500000000000001</v>
      </c>
      <c r="R23" s="736">
        <f t="shared" ca="1" si="0"/>
        <v>666.6</v>
      </c>
      <c r="S23" s="735">
        <f>1.1 *(0.1)</f>
        <v>0.11000000000000001</v>
      </c>
      <c r="T23" s="737">
        <f t="shared" ca="1" si="1"/>
        <v>44.440000000000005</v>
      </c>
      <c r="U23" s="730"/>
      <c r="V23" s="730"/>
      <c r="W23" s="730"/>
      <c r="X23" s="730"/>
      <c r="Y23" s="730"/>
      <c r="Z23" s="730"/>
      <c r="AA23" s="730"/>
      <c r="AB23" s="730"/>
      <c r="AC23" s="730"/>
      <c r="AD23" s="730"/>
      <c r="AE23" s="730"/>
      <c r="AF23" s="730"/>
      <c r="AG23" s="730"/>
      <c r="AH23" s="730"/>
      <c r="AI23" s="730"/>
      <c r="AJ23" s="730"/>
      <c r="AK23" s="730"/>
      <c r="AL23" s="730"/>
      <c r="AM23" s="730"/>
      <c r="AN23" s="730"/>
      <c r="AO23" s="730"/>
      <c r="AP23" s="730"/>
      <c r="AQ23" s="730"/>
      <c r="AR23" s="730"/>
      <c r="AS23" s="730"/>
      <c r="AT23" s="730"/>
      <c r="AU23" s="730"/>
      <c r="AV23" s="730"/>
      <c r="AW23" s="730"/>
      <c r="AX23" s="730"/>
      <c r="AY23" s="730"/>
      <c r="AZ23" s="730"/>
      <c r="BA23" s="730"/>
      <c r="BB23" s="730"/>
      <c r="BC23" s="730"/>
      <c r="BD23" s="730"/>
      <c r="BE23" s="730"/>
      <c r="BF23" s="730"/>
      <c r="BG23" s="730"/>
      <c r="BH23" s="730"/>
      <c r="BI23" s="730"/>
      <c r="BJ23" s="730"/>
      <c r="BK23" s="730"/>
      <c r="BL23" s="730"/>
      <c r="BM23" s="730"/>
      <c r="BN23" s="730"/>
      <c r="BO23" s="730"/>
      <c r="BP23" s="730"/>
      <c r="BQ23" s="730"/>
      <c r="BR23" s="730"/>
      <c r="BS23" s="730"/>
      <c r="BT23" s="730"/>
      <c r="BU23" s="730"/>
      <c r="BV23" s="730"/>
      <c r="BW23" s="730"/>
      <c r="BX23" s="730"/>
      <c r="BY23" s="730"/>
      <c r="BZ23" s="730"/>
      <c r="CA23" s="730"/>
      <c r="CB23" s="730"/>
      <c r="CC23" s="730"/>
      <c r="CD23" s="730"/>
      <c r="CE23" s="730"/>
      <c r="CF23" s="730"/>
      <c r="CG23" s="730"/>
      <c r="CH23" s="730"/>
      <c r="CI23" s="730"/>
      <c r="CJ23" s="730"/>
      <c r="CK23" s="730"/>
      <c r="CL23" s="730"/>
      <c r="CM23" s="730"/>
      <c r="CN23" s="730"/>
      <c r="CO23" s="730"/>
      <c r="CP23" s="730"/>
      <c r="CQ23" s="730"/>
      <c r="CR23" s="730"/>
      <c r="CS23" s="730"/>
      <c r="CT23" s="730"/>
      <c r="CU23" s="730"/>
      <c r="CV23" s="730"/>
      <c r="CW23" s="730"/>
      <c r="CX23" s="730"/>
      <c r="CY23" s="730"/>
      <c r="CZ23" s="730"/>
      <c r="DA23" s="730"/>
      <c r="DB23" s="730"/>
      <c r="DC23" s="730"/>
      <c r="DD23" s="730"/>
      <c r="DE23" s="730"/>
      <c r="DF23" s="730"/>
      <c r="DG23" s="730"/>
      <c r="DH23" s="730"/>
      <c r="DI23" s="730"/>
      <c r="DJ23" s="730"/>
      <c r="DK23" s="730"/>
      <c r="DL23" s="730"/>
      <c r="DM23" s="730"/>
      <c r="DN23" s="730"/>
      <c r="DO23" s="730"/>
      <c r="DP23" s="730"/>
      <c r="DQ23" s="730"/>
      <c r="DR23" s="730"/>
      <c r="DS23" s="730"/>
      <c r="DT23" s="730"/>
      <c r="DU23" s="730"/>
      <c r="DV23" s="730"/>
      <c r="DW23" s="730"/>
      <c r="DX23" s="730"/>
      <c r="DY23" s="730"/>
      <c r="DZ23" s="730"/>
      <c r="EA23" s="730"/>
      <c r="EB23" s="730"/>
      <c r="EC23" s="730"/>
      <c r="ED23" s="730"/>
      <c r="EE23" s="730"/>
      <c r="EF23" s="730"/>
      <c r="EG23" s="730"/>
      <c r="EH23" s="730"/>
      <c r="EI23" s="730"/>
      <c r="EJ23" s="730"/>
      <c r="EK23" s="730"/>
      <c r="EL23" s="730"/>
      <c r="EM23" s="730"/>
      <c r="EN23" s="730"/>
      <c r="EO23" s="730"/>
      <c r="EP23" s="730"/>
      <c r="EQ23" s="730"/>
      <c r="ER23" s="730"/>
      <c r="ES23" s="730"/>
      <c r="ET23" s="730"/>
      <c r="EU23" s="730"/>
      <c r="EV23" s="730"/>
      <c r="EW23" s="730"/>
      <c r="EX23" s="730"/>
      <c r="EY23" s="730"/>
      <c r="EZ23" s="730"/>
      <c r="FA23" s="730"/>
      <c r="FB23" s="730"/>
      <c r="FC23" s="730"/>
      <c r="FD23" s="730"/>
      <c r="FE23" s="730"/>
      <c r="FF23" s="730"/>
      <c r="FG23" s="730"/>
      <c r="FH23" s="730"/>
      <c r="FI23" s="730"/>
      <c r="FJ23" s="730"/>
      <c r="FK23" s="730"/>
      <c r="FL23" s="730"/>
      <c r="FM23" s="730"/>
      <c r="FN23" s="730"/>
      <c r="FO23" s="730"/>
      <c r="FP23" s="730"/>
      <c r="FQ23" s="730"/>
      <c r="FR23" s="730"/>
      <c r="FS23" s="730"/>
      <c r="FT23" s="730"/>
      <c r="FU23" s="730"/>
      <c r="FV23" s="730"/>
      <c r="FW23" s="730"/>
      <c r="FX23" s="730"/>
      <c r="FY23" s="730"/>
      <c r="FZ23" s="730"/>
      <c r="GA23" s="730"/>
      <c r="GB23" s="730"/>
      <c r="GC23" s="730"/>
      <c r="GD23" s="730"/>
      <c r="GE23" s="730"/>
      <c r="GF23" s="730"/>
      <c r="GG23" s="730"/>
      <c r="GH23" s="730"/>
      <c r="GI23" s="730"/>
      <c r="GJ23" s="730"/>
      <c r="GK23" s="730"/>
      <c r="GL23" s="730"/>
      <c r="GM23" s="730"/>
      <c r="GN23" s="730"/>
      <c r="GO23" s="730"/>
      <c r="GP23" s="730"/>
      <c r="GQ23" s="730"/>
      <c r="GR23" s="730"/>
      <c r="GS23" s="730"/>
      <c r="GT23" s="730"/>
      <c r="GU23" s="730"/>
      <c r="GV23" s="730"/>
      <c r="GW23" s="730"/>
      <c r="GX23" s="730"/>
      <c r="GY23" s="730"/>
      <c r="GZ23" s="730"/>
      <c r="HA23" s="730"/>
      <c r="HB23" s="730"/>
      <c r="HC23" s="730"/>
      <c r="HD23" s="730"/>
      <c r="HE23" s="730"/>
      <c r="HF23" s="730"/>
      <c r="HG23" s="730"/>
      <c r="HH23" s="730"/>
      <c r="HI23" s="730"/>
      <c r="HJ23" s="730"/>
      <c r="HK23" s="730"/>
      <c r="HL23" s="730"/>
      <c r="HM23" s="730"/>
      <c r="HN23" s="730"/>
      <c r="HO23" s="730"/>
      <c r="HP23" s="730"/>
      <c r="HQ23" s="730"/>
      <c r="HR23" s="730"/>
      <c r="HS23" s="730"/>
      <c r="HT23" s="730"/>
      <c r="HU23" s="730"/>
      <c r="HV23" s="730"/>
      <c r="HW23" s="730"/>
      <c r="HX23" s="730"/>
      <c r="HY23" s="730"/>
      <c r="HZ23" s="730"/>
      <c r="IA23" s="730"/>
      <c r="IB23" s="730"/>
      <c r="IC23" s="730"/>
      <c r="ID23" s="730"/>
      <c r="IE23" s="730"/>
      <c r="IF23" s="730"/>
      <c r="IG23" s="730"/>
      <c r="IH23" s="730"/>
      <c r="II23" s="730"/>
      <c r="IJ23" s="730"/>
      <c r="IK23" s="730"/>
      <c r="IL23" s="730"/>
      <c r="IM23" s="730"/>
      <c r="IN23" s="730"/>
      <c r="IO23" s="730"/>
      <c r="IP23" s="730"/>
      <c r="IQ23" s="730"/>
      <c r="IR23" s="730"/>
      <c r="IS23" s="730"/>
      <c r="IT23" s="730"/>
      <c r="IU23" s="730"/>
      <c r="IV23" s="730"/>
    </row>
    <row r="24" spans="1:256" s="602" customFormat="1">
      <c r="A24" s="844">
        <f ca="1">$Q$19 *(2)</f>
        <v>404</v>
      </c>
      <c r="B24" s="730" t="s">
        <v>141</v>
      </c>
      <c r="C24" s="730"/>
      <c r="D24" s="730" t="s">
        <v>1054</v>
      </c>
      <c r="E24" s="730"/>
      <c r="F24" s="730"/>
      <c r="G24" s="731" t="s">
        <v>1055</v>
      </c>
      <c r="H24" s="732">
        <v>620</v>
      </c>
      <c r="I24" s="730" t="s">
        <v>674</v>
      </c>
      <c r="J24" s="730"/>
      <c r="K24" s="735" t="s">
        <v>7</v>
      </c>
      <c r="L24" s="730"/>
      <c r="M24" s="730"/>
      <c r="N24" s="730"/>
      <c r="O24" s="733">
        <v>2</v>
      </c>
      <c r="P24" s="734"/>
      <c r="Q24" s="1210">
        <v>0.2</v>
      </c>
      <c r="R24" s="736">
        <f t="shared" ca="1" si="0"/>
        <v>80.800000000000011</v>
      </c>
      <c r="S24" s="735">
        <f>1.1 *(0.03)</f>
        <v>3.3000000000000002E-2</v>
      </c>
      <c r="T24" s="737">
        <f t="shared" ca="1" si="1"/>
        <v>13.332000000000001</v>
      </c>
      <c r="U24" s="730"/>
      <c r="V24" s="730"/>
      <c r="W24" s="730"/>
      <c r="X24" s="730"/>
      <c r="Y24" s="730"/>
      <c r="Z24" s="730"/>
      <c r="AA24" s="730"/>
      <c r="AB24" s="730"/>
      <c r="AC24" s="730"/>
      <c r="AD24" s="730"/>
      <c r="AE24" s="730"/>
      <c r="AF24" s="730"/>
      <c r="AG24" s="730"/>
      <c r="AH24" s="730"/>
      <c r="AI24" s="730"/>
      <c r="AJ24" s="730"/>
      <c r="AK24" s="730"/>
      <c r="AL24" s="730"/>
      <c r="AM24" s="730"/>
      <c r="AN24" s="730"/>
      <c r="AO24" s="730"/>
      <c r="AP24" s="730"/>
      <c r="AQ24" s="730"/>
      <c r="AR24" s="730"/>
      <c r="AS24" s="730"/>
      <c r="AT24" s="730"/>
      <c r="AU24" s="730"/>
      <c r="AV24" s="730"/>
      <c r="AW24" s="730"/>
      <c r="AX24" s="730"/>
      <c r="AY24" s="730"/>
      <c r="AZ24" s="730"/>
      <c r="BA24" s="730"/>
      <c r="BB24" s="730"/>
      <c r="BC24" s="730"/>
      <c r="BD24" s="730"/>
      <c r="BE24" s="730"/>
      <c r="BF24" s="730"/>
      <c r="BG24" s="730"/>
      <c r="BH24" s="730"/>
      <c r="BI24" s="730"/>
      <c r="BJ24" s="730"/>
      <c r="BK24" s="730"/>
      <c r="BL24" s="730"/>
      <c r="BM24" s="730"/>
      <c r="BN24" s="730"/>
      <c r="BO24" s="730"/>
      <c r="BP24" s="730"/>
      <c r="BQ24" s="730"/>
      <c r="BR24" s="730"/>
      <c r="BS24" s="730"/>
      <c r="BT24" s="730"/>
      <c r="BU24" s="730"/>
      <c r="BV24" s="730"/>
      <c r="BW24" s="730"/>
      <c r="BX24" s="730"/>
      <c r="BY24" s="730"/>
      <c r="BZ24" s="730"/>
      <c r="CA24" s="730"/>
      <c r="CB24" s="730"/>
      <c r="CC24" s="730"/>
      <c r="CD24" s="730"/>
      <c r="CE24" s="730"/>
      <c r="CF24" s="730"/>
      <c r="CG24" s="730"/>
      <c r="CH24" s="730"/>
      <c r="CI24" s="730"/>
      <c r="CJ24" s="730"/>
      <c r="CK24" s="730"/>
      <c r="CL24" s="730"/>
      <c r="CM24" s="730"/>
      <c r="CN24" s="730"/>
      <c r="CO24" s="730"/>
      <c r="CP24" s="730"/>
      <c r="CQ24" s="730"/>
      <c r="CR24" s="730"/>
      <c r="CS24" s="730"/>
      <c r="CT24" s="730"/>
      <c r="CU24" s="730"/>
      <c r="CV24" s="730"/>
      <c r="CW24" s="730"/>
      <c r="CX24" s="730"/>
      <c r="CY24" s="730"/>
      <c r="CZ24" s="730"/>
      <c r="DA24" s="730"/>
      <c r="DB24" s="730"/>
      <c r="DC24" s="730"/>
      <c r="DD24" s="730"/>
      <c r="DE24" s="730"/>
      <c r="DF24" s="730"/>
      <c r="DG24" s="730"/>
      <c r="DH24" s="730"/>
      <c r="DI24" s="730"/>
      <c r="DJ24" s="730"/>
      <c r="DK24" s="730"/>
      <c r="DL24" s="730"/>
      <c r="DM24" s="730"/>
      <c r="DN24" s="730"/>
      <c r="DO24" s="730"/>
      <c r="DP24" s="730"/>
      <c r="DQ24" s="730"/>
      <c r="DR24" s="730"/>
      <c r="DS24" s="730"/>
      <c r="DT24" s="730"/>
      <c r="DU24" s="730"/>
      <c r="DV24" s="730"/>
      <c r="DW24" s="730"/>
      <c r="DX24" s="730"/>
      <c r="DY24" s="730"/>
      <c r="DZ24" s="730"/>
      <c r="EA24" s="730"/>
      <c r="EB24" s="730"/>
      <c r="EC24" s="730"/>
      <c r="ED24" s="730"/>
      <c r="EE24" s="730"/>
      <c r="EF24" s="730"/>
      <c r="EG24" s="730"/>
      <c r="EH24" s="730"/>
      <c r="EI24" s="730"/>
      <c r="EJ24" s="730"/>
      <c r="EK24" s="730"/>
      <c r="EL24" s="730"/>
      <c r="EM24" s="730"/>
      <c r="EN24" s="730"/>
      <c r="EO24" s="730"/>
      <c r="EP24" s="730"/>
      <c r="EQ24" s="730"/>
      <c r="ER24" s="730"/>
      <c r="ES24" s="730"/>
      <c r="ET24" s="730"/>
      <c r="EU24" s="730"/>
      <c r="EV24" s="730"/>
      <c r="EW24" s="730"/>
      <c r="EX24" s="730"/>
      <c r="EY24" s="730"/>
      <c r="EZ24" s="730"/>
      <c r="FA24" s="730"/>
      <c r="FB24" s="730"/>
      <c r="FC24" s="730"/>
      <c r="FD24" s="730"/>
      <c r="FE24" s="730"/>
      <c r="FF24" s="730"/>
      <c r="FG24" s="730"/>
      <c r="FH24" s="730"/>
      <c r="FI24" s="730"/>
      <c r="FJ24" s="730"/>
      <c r="FK24" s="730"/>
      <c r="FL24" s="730"/>
      <c r="FM24" s="730"/>
      <c r="FN24" s="730"/>
      <c r="FO24" s="730"/>
      <c r="FP24" s="730"/>
      <c r="FQ24" s="730"/>
      <c r="FR24" s="730"/>
      <c r="FS24" s="730"/>
      <c r="FT24" s="730"/>
      <c r="FU24" s="730"/>
      <c r="FV24" s="730"/>
      <c r="FW24" s="730"/>
      <c r="FX24" s="730"/>
      <c r="FY24" s="730"/>
      <c r="FZ24" s="730"/>
      <c r="GA24" s="730"/>
      <c r="GB24" s="730"/>
      <c r="GC24" s="730"/>
      <c r="GD24" s="730"/>
      <c r="GE24" s="730"/>
      <c r="GF24" s="730"/>
      <c r="GG24" s="730"/>
      <c r="GH24" s="730"/>
      <c r="GI24" s="730"/>
      <c r="GJ24" s="730"/>
      <c r="GK24" s="730"/>
      <c r="GL24" s="730"/>
      <c r="GM24" s="730"/>
      <c r="GN24" s="730"/>
      <c r="GO24" s="730"/>
      <c r="GP24" s="730"/>
      <c r="GQ24" s="730"/>
      <c r="GR24" s="730"/>
      <c r="GS24" s="730"/>
      <c r="GT24" s="730"/>
      <c r="GU24" s="730"/>
      <c r="GV24" s="730"/>
      <c r="GW24" s="730"/>
      <c r="GX24" s="730"/>
      <c r="GY24" s="730"/>
      <c r="GZ24" s="730"/>
      <c r="HA24" s="730"/>
      <c r="HB24" s="730"/>
      <c r="HC24" s="730"/>
      <c r="HD24" s="730"/>
      <c r="HE24" s="730"/>
      <c r="HF24" s="730"/>
      <c r="HG24" s="730"/>
      <c r="HH24" s="730"/>
      <c r="HI24" s="730"/>
      <c r="HJ24" s="730"/>
      <c r="HK24" s="730"/>
      <c r="HL24" s="730"/>
      <c r="HM24" s="730"/>
      <c r="HN24" s="730"/>
      <c r="HO24" s="730"/>
      <c r="HP24" s="730"/>
      <c r="HQ24" s="730"/>
      <c r="HR24" s="730"/>
      <c r="HS24" s="730"/>
      <c r="HT24" s="730"/>
      <c r="HU24" s="730"/>
      <c r="HV24" s="730"/>
      <c r="HW24" s="730"/>
      <c r="HX24" s="730"/>
      <c r="HY24" s="730"/>
      <c r="HZ24" s="730"/>
      <c r="IA24" s="730"/>
      <c r="IB24" s="730"/>
      <c r="IC24" s="730"/>
      <c r="ID24" s="730"/>
      <c r="IE24" s="730"/>
      <c r="IF24" s="730"/>
      <c r="IG24" s="730"/>
      <c r="IH24" s="730"/>
      <c r="II24" s="730"/>
      <c r="IJ24" s="730"/>
      <c r="IK24" s="730"/>
      <c r="IL24" s="730"/>
      <c r="IM24" s="730"/>
      <c r="IN24" s="730"/>
      <c r="IO24" s="730"/>
      <c r="IP24" s="730"/>
      <c r="IQ24" s="730"/>
      <c r="IR24" s="730"/>
      <c r="IS24" s="730"/>
      <c r="IT24" s="730"/>
      <c r="IU24" s="730"/>
      <c r="IV24" s="730"/>
    </row>
    <row r="25" spans="1:256" s="602" customFormat="1">
      <c r="A25" s="844">
        <f ca="1">$Q$19 *(2*4)</f>
        <v>1616</v>
      </c>
      <c r="B25" s="730" t="s">
        <v>141</v>
      </c>
      <c r="C25" s="730"/>
      <c r="D25" s="730" t="s">
        <v>1058</v>
      </c>
      <c r="E25" s="730"/>
      <c r="F25" s="730"/>
      <c r="G25" s="731" t="s">
        <v>1059</v>
      </c>
      <c r="H25" s="732">
        <v>620</v>
      </c>
      <c r="I25" s="730" t="s">
        <v>702</v>
      </c>
      <c r="J25" s="730"/>
      <c r="K25" s="735" t="s">
        <v>7</v>
      </c>
      <c r="L25" s="730"/>
      <c r="M25" s="730"/>
      <c r="N25" s="730"/>
      <c r="O25" s="733">
        <v>2</v>
      </c>
      <c r="P25" s="734">
        <v>34669</v>
      </c>
      <c r="Q25" s="1210">
        <v>0.05</v>
      </c>
      <c r="R25" s="736">
        <f t="shared" ca="1" si="0"/>
        <v>80.800000000000011</v>
      </c>
      <c r="S25" s="735">
        <f>1.1 *(0.01)</f>
        <v>1.1000000000000001E-2</v>
      </c>
      <c r="T25" s="737">
        <f t="shared" ca="1" si="1"/>
        <v>17.776000000000003</v>
      </c>
      <c r="U25" s="730"/>
      <c r="V25" s="730"/>
      <c r="W25" s="730"/>
      <c r="X25" s="730"/>
      <c r="Y25" s="730"/>
      <c r="Z25" s="730"/>
      <c r="AA25" s="730"/>
      <c r="AB25" s="730"/>
      <c r="AC25" s="730"/>
      <c r="AD25" s="730"/>
      <c r="AE25" s="730"/>
      <c r="AF25" s="730"/>
      <c r="AG25" s="730"/>
      <c r="AH25" s="730"/>
      <c r="AI25" s="730"/>
      <c r="AJ25" s="730"/>
      <c r="AK25" s="730"/>
      <c r="AL25" s="730"/>
      <c r="AM25" s="730"/>
      <c r="AN25" s="730"/>
      <c r="AO25" s="730"/>
      <c r="AP25" s="730"/>
      <c r="AQ25" s="730"/>
      <c r="AR25" s="730"/>
      <c r="AS25" s="730"/>
      <c r="AT25" s="730"/>
      <c r="AU25" s="730"/>
      <c r="AV25" s="730"/>
      <c r="AW25" s="730"/>
      <c r="AX25" s="730"/>
      <c r="AY25" s="730"/>
      <c r="AZ25" s="730"/>
      <c r="BA25" s="730"/>
      <c r="BB25" s="730"/>
      <c r="BC25" s="730"/>
      <c r="BD25" s="730"/>
      <c r="BE25" s="730"/>
      <c r="BF25" s="730"/>
      <c r="BG25" s="730"/>
      <c r="BH25" s="730"/>
      <c r="BI25" s="730"/>
      <c r="BJ25" s="730"/>
      <c r="BK25" s="730"/>
      <c r="BL25" s="730"/>
      <c r="BM25" s="730"/>
      <c r="BN25" s="730"/>
      <c r="BO25" s="730"/>
      <c r="BP25" s="730"/>
      <c r="BQ25" s="730"/>
      <c r="BR25" s="730"/>
      <c r="BS25" s="730"/>
      <c r="BT25" s="730"/>
      <c r="BU25" s="730"/>
      <c r="BV25" s="730"/>
      <c r="BW25" s="730"/>
      <c r="BX25" s="730"/>
      <c r="BY25" s="730"/>
      <c r="BZ25" s="730"/>
      <c r="CA25" s="730"/>
      <c r="CB25" s="730"/>
      <c r="CC25" s="730"/>
      <c r="CD25" s="730"/>
      <c r="CE25" s="730"/>
      <c r="CF25" s="730"/>
      <c r="CG25" s="730"/>
      <c r="CH25" s="730"/>
      <c r="CI25" s="730"/>
      <c r="CJ25" s="730"/>
      <c r="CK25" s="730"/>
      <c r="CL25" s="730"/>
      <c r="CM25" s="730"/>
      <c r="CN25" s="730"/>
      <c r="CO25" s="730"/>
      <c r="CP25" s="730"/>
      <c r="CQ25" s="730"/>
      <c r="CR25" s="730"/>
      <c r="CS25" s="730"/>
      <c r="CT25" s="730"/>
      <c r="CU25" s="730"/>
      <c r="CV25" s="730"/>
      <c r="CW25" s="730"/>
      <c r="CX25" s="730"/>
      <c r="CY25" s="730"/>
      <c r="CZ25" s="730"/>
      <c r="DA25" s="730"/>
      <c r="DB25" s="730"/>
      <c r="DC25" s="730"/>
      <c r="DD25" s="730"/>
      <c r="DE25" s="730"/>
      <c r="DF25" s="730"/>
      <c r="DG25" s="730"/>
      <c r="DH25" s="730"/>
      <c r="DI25" s="730"/>
      <c r="DJ25" s="730"/>
      <c r="DK25" s="730"/>
      <c r="DL25" s="730"/>
      <c r="DM25" s="730"/>
      <c r="DN25" s="730"/>
      <c r="DO25" s="730"/>
      <c r="DP25" s="730"/>
      <c r="DQ25" s="730"/>
      <c r="DR25" s="730"/>
      <c r="DS25" s="730"/>
      <c r="DT25" s="730"/>
      <c r="DU25" s="730"/>
      <c r="DV25" s="730"/>
      <c r="DW25" s="730"/>
      <c r="DX25" s="730"/>
      <c r="DY25" s="730"/>
      <c r="DZ25" s="730"/>
      <c r="EA25" s="730"/>
      <c r="EB25" s="730"/>
      <c r="EC25" s="730"/>
      <c r="ED25" s="730"/>
      <c r="EE25" s="730"/>
      <c r="EF25" s="730"/>
      <c r="EG25" s="730"/>
      <c r="EH25" s="730"/>
      <c r="EI25" s="730"/>
      <c r="EJ25" s="730"/>
      <c r="EK25" s="730"/>
      <c r="EL25" s="730"/>
      <c r="EM25" s="730"/>
      <c r="EN25" s="730"/>
      <c r="EO25" s="730"/>
      <c r="EP25" s="730"/>
      <c r="EQ25" s="730"/>
      <c r="ER25" s="730"/>
      <c r="ES25" s="730"/>
      <c r="ET25" s="730"/>
      <c r="EU25" s="730"/>
      <c r="EV25" s="730"/>
      <c r="EW25" s="730"/>
      <c r="EX25" s="730"/>
      <c r="EY25" s="730"/>
      <c r="EZ25" s="730"/>
      <c r="FA25" s="730"/>
      <c r="FB25" s="730"/>
      <c r="FC25" s="730"/>
      <c r="FD25" s="730"/>
      <c r="FE25" s="730"/>
      <c r="FF25" s="730"/>
      <c r="FG25" s="730"/>
      <c r="FH25" s="730"/>
      <c r="FI25" s="730"/>
      <c r="FJ25" s="730"/>
      <c r="FK25" s="730"/>
      <c r="FL25" s="730"/>
      <c r="FM25" s="730"/>
      <c r="FN25" s="730"/>
      <c r="FO25" s="730"/>
      <c r="FP25" s="730"/>
      <c r="FQ25" s="730"/>
      <c r="FR25" s="730"/>
      <c r="FS25" s="730"/>
      <c r="FT25" s="730"/>
      <c r="FU25" s="730"/>
      <c r="FV25" s="730"/>
      <c r="FW25" s="730"/>
      <c r="FX25" s="730"/>
      <c r="FY25" s="730"/>
      <c r="FZ25" s="730"/>
      <c r="GA25" s="730"/>
      <c r="GB25" s="730"/>
      <c r="GC25" s="730"/>
      <c r="GD25" s="730"/>
      <c r="GE25" s="730"/>
      <c r="GF25" s="730"/>
      <c r="GG25" s="730"/>
      <c r="GH25" s="730"/>
      <c r="GI25" s="730"/>
      <c r="GJ25" s="730"/>
      <c r="GK25" s="730"/>
      <c r="GL25" s="730"/>
      <c r="GM25" s="730"/>
      <c r="GN25" s="730"/>
      <c r="GO25" s="730"/>
      <c r="GP25" s="730"/>
      <c r="GQ25" s="730"/>
      <c r="GR25" s="730"/>
      <c r="GS25" s="730"/>
      <c r="GT25" s="730"/>
      <c r="GU25" s="730"/>
      <c r="GV25" s="730"/>
      <c r="GW25" s="730"/>
      <c r="GX25" s="730"/>
      <c r="GY25" s="730"/>
      <c r="GZ25" s="730"/>
      <c r="HA25" s="730"/>
      <c r="HB25" s="730"/>
      <c r="HC25" s="730"/>
      <c r="HD25" s="730"/>
      <c r="HE25" s="730"/>
      <c r="HF25" s="730"/>
      <c r="HG25" s="730"/>
      <c r="HH25" s="730"/>
      <c r="HI25" s="730"/>
      <c r="HJ25" s="730"/>
      <c r="HK25" s="730"/>
      <c r="HL25" s="730"/>
      <c r="HM25" s="730"/>
      <c r="HN25" s="730"/>
      <c r="HO25" s="730"/>
      <c r="HP25" s="730"/>
      <c r="HQ25" s="730"/>
      <c r="HR25" s="730"/>
      <c r="HS25" s="730"/>
      <c r="HT25" s="730"/>
      <c r="HU25" s="730"/>
      <c r="HV25" s="730"/>
      <c r="HW25" s="730"/>
      <c r="HX25" s="730"/>
      <c r="HY25" s="730"/>
      <c r="HZ25" s="730"/>
      <c r="IA25" s="730"/>
      <c r="IB25" s="730"/>
      <c r="IC25" s="730"/>
      <c r="ID25" s="730"/>
      <c r="IE25" s="730"/>
      <c r="IF25" s="730"/>
      <c r="IG25" s="730"/>
      <c r="IH25" s="730"/>
      <c r="II25" s="730"/>
      <c r="IJ25" s="730"/>
      <c r="IK25" s="730"/>
      <c r="IL25" s="730"/>
      <c r="IM25" s="730"/>
      <c r="IN25" s="730"/>
      <c r="IO25" s="730"/>
      <c r="IP25" s="730"/>
      <c r="IQ25" s="730"/>
      <c r="IR25" s="730"/>
      <c r="IS25" s="730"/>
      <c r="IT25" s="730"/>
      <c r="IU25" s="730"/>
      <c r="IV25" s="730"/>
    </row>
    <row r="26" spans="1:256" s="730" customFormat="1">
      <c r="A26" s="844">
        <f ca="1">$Q$19 *(1)</f>
        <v>202</v>
      </c>
      <c r="B26" s="730" t="s">
        <v>141</v>
      </c>
      <c r="D26" s="730" t="s">
        <v>1039</v>
      </c>
      <c r="F26" s="730" t="s">
        <v>1307</v>
      </c>
      <c r="G26" s="731" t="s">
        <v>1040</v>
      </c>
      <c r="H26" s="732">
        <v>900</v>
      </c>
      <c r="I26" s="730" t="s">
        <v>686</v>
      </c>
      <c r="K26" s="730" t="s">
        <v>7</v>
      </c>
      <c r="O26" s="733">
        <v>1</v>
      </c>
      <c r="P26" s="734"/>
      <c r="Q26" s="1201"/>
      <c r="R26" s="736">
        <f t="shared" ca="1" si="0"/>
        <v>0</v>
      </c>
      <c r="S26" s="735">
        <f>1.1 *(0.5)</f>
        <v>0.55000000000000004</v>
      </c>
      <c r="T26" s="737">
        <f ca="1">$A26*S26*$T$1</f>
        <v>111.10000000000001</v>
      </c>
      <c r="U26" s="730" t="s">
        <v>913</v>
      </c>
    </row>
    <row r="27" spans="1:256" s="602" customFormat="1" ht="12" customHeight="1">
      <c r="A27" s="663"/>
      <c r="B27" s="3"/>
      <c r="C27" s="663" t="s">
        <v>183</v>
      </c>
      <c r="D27" s="3"/>
      <c r="E27" s="663"/>
      <c r="F27" s="664"/>
      <c r="G27" s="663"/>
      <c r="H27" s="663"/>
      <c r="I27" s="601"/>
      <c r="J27" s="663"/>
      <c r="K27" s="663"/>
      <c r="L27" s="663"/>
      <c r="M27" s="663"/>
      <c r="N27" s="663"/>
      <c r="O27" s="663"/>
      <c r="P27" s="663"/>
      <c r="Q27" s="601"/>
      <c r="R27" s="814">
        <f t="shared" si="0"/>
        <v>0</v>
      </c>
      <c r="S27" s="601"/>
      <c r="T27" s="681">
        <f t="shared" si="1"/>
        <v>0</v>
      </c>
    </row>
    <row r="28" spans="1:256" s="602" customFormat="1" ht="12.6" thickBot="1">
      <c r="A28" s="682" t="s">
        <v>145</v>
      </c>
      <c r="B28" s="683">
        <f>(R27+T27)</f>
        <v>0</v>
      </c>
      <c r="C28" s="684"/>
      <c r="D28" s="834" t="s">
        <v>184</v>
      </c>
      <c r="E28" s="545">
        <f ca="1">IF($B19=0,0,ROUND(ROUND(($R28*$S$2+($T28*$T$2))/$B19, 2)*$C$2,2))</f>
        <v>233.17</v>
      </c>
      <c r="F28" s="546">
        <f ca="1">ROUND($B19*$E28,2)</f>
        <v>47100.34</v>
      </c>
      <c r="G28" s="684"/>
      <c r="H28" s="684"/>
      <c r="I28" s="686"/>
      <c r="J28" s="684"/>
      <c r="K28" s="835" t="s">
        <v>143</v>
      </c>
      <c r="L28" s="687" t="s">
        <v>143</v>
      </c>
      <c r="M28" s="687"/>
      <c r="N28" s="687"/>
      <c r="O28" s="687"/>
      <c r="P28" s="687"/>
      <c r="Q28" s="835"/>
      <c r="R28" s="836">
        <f ca="1">SUM(R20:R27)</f>
        <v>11482.689999999999</v>
      </c>
      <c r="S28" s="837"/>
      <c r="T28" s="836">
        <f ca="1">SUM(T20:T27)</f>
        <v>886.57800000000009</v>
      </c>
      <c r="U28" s="611"/>
      <c r="V28" s="611"/>
      <c r="W28" s="611"/>
      <c r="X28" s="611"/>
      <c r="Y28" s="611"/>
      <c r="Z28" s="611"/>
      <c r="AA28" s="611"/>
      <c r="AB28" s="611"/>
    </row>
    <row r="29" spans="1:256" s="602" customFormat="1" ht="12" thickTop="1">
      <c r="A29" s="63"/>
      <c r="B29" s="63"/>
      <c r="C29" s="63"/>
      <c r="D29" s="63"/>
      <c r="E29" s="63"/>
      <c r="F29" s="63"/>
      <c r="G29" s="63"/>
      <c r="H29" s="63"/>
      <c r="I29" s="63"/>
      <c r="J29" s="63"/>
      <c r="K29" s="63"/>
      <c r="L29" s="63"/>
      <c r="M29" s="63"/>
      <c r="N29" s="63"/>
      <c r="O29" s="64"/>
      <c r="P29" s="63"/>
      <c r="Q29" s="42" t="s">
        <v>180</v>
      </c>
      <c r="R29" s="63"/>
      <c r="S29" s="13"/>
      <c r="T29" s="63"/>
    </row>
    <row r="30" spans="1:256" s="602" customFormat="1" ht="12.6" thickBot="1">
      <c r="A30" s="824">
        <v>1</v>
      </c>
      <c r="B30" s="825">
        <f ca="1">Elec_Est!B1040</f>
        <v>72</v>
      </c>
      <c r="C30" s="826"/>
      <c r="D30" s="827" t="s">
        <v>1308</v>
      </c>
      <c r="E30" s="828"/>
      <c r="F30" s="828"/>
      <c r="G30" s="676"/>
      <c r="H30" s="676"/>
      <c r="I30" s="829"/>
      <c r="J30" s="676"/>
      <c r="K30" s="826" t="s">
        <v>181</v>
      </c>
      <c r="L30" s="830" t="s">
        <v>181</v>
      </c>
      <c r="M30" s="830"/>
      <c r="N30" s="830"/>
      <c r="O30" s="830"/>
      <c r="P30" s="830"/>
      <c r="Q30" s="831">
        <f ca="1">B30/A30</f>
        <v>72</v>
      </c>
      <c r="R30" s="832">
        <f ca="1">IF($B30=0,0,IF($S$1="R",ROUND(R40/$B30,2),R40/$B30))</f>
        <v>60.69</v>
      </c>
      <c r="S30" s="833"/>
      <c r="T30" s="832">
        <f ca="1">IF($B30=0,0,IF($S$1="R",ROUND(T40/$B30,2),T40/$B30))</f>
        <v>4.29</v>
      </c>
    </row>
    <row r="31" spans="1:256" s="602" customFormat="1" ht="13.8" thickTop="1">
      <c r="A31" s="672"/>
      <c r="B31" s="3"/>
      <c r="C31" s="3"/>
      <c r="D31" s="157" t="s">
        <v>1300</v>
      </c>
      <c r="E31" s="3"/>
      <c r="F31" s="3"/>
      <c r="G31" s="3"/>
      <c r="H31" s="3"/>
      <c r="I31" s="3"/>
      <c r="J31" s="3"/>
      <c r="K31" s="3"/>
      <c r="L31" s="3"/>
      <c r="M31" s="3"/>
      <c r="N31" s="3"/>
      <c r="O31" s="158"/>
      <c r="P31" s="3"/>
      <c r="Q31" s="3"/>
      <c r="R31" s="3"/>
      <c r="S31" s="3"/>
      <c r="T31" s="3"/>
    </row>
    <row r="32" spans="1:256" s="730" customFormat="1">
      <c r="A32" s="840">
        <f ca="1">$Q$30 *(10)</f>
        <v>720</v>
      </c>
      <c r="B32" s="730" t="s">
        <v>326</v>
      </c>
      <c r="D32" s="730" t="s">
        <v>763</v>
      </c>
      <c r="G32" s="731" t="s">
        <v>764</v>
      </c>
      <c r="H32" s="732">
        <v>690</v>
      </c>
      <c r="I32" s="730" t="s">
        <v>765</v>
      </c>
      <c r="J32" s="730" t="s">
        <v>766</v>
      </c>
      <c r="K32" s="735" t="s">
        <v>7</v>
      </c>
      <c r="O32" s="733">
        <v>1</v>
      </c>
      <c r="P32" s="734">
        <v>34669</v>
      </c>
      <c r="Q32" s="1210">
        <v>3.66</v>
      </c>
      <c r="R32" s="736">
        <f t="shared" ref="R32:R39" ca="1" si="2">$A32*Q32</f>
        <v>2635.2000000000003</v>
      </c>
      <c r="S32" s="735">
        <f>1.1 *(0.2)</f>
        <v>0.22000000000000003</v>
      </c>
      <c r="T32" s="737">
        <f t="shared" ref="T32:T39" ca="1" si="3">$A32*S32*$T$1</f>
        <v>158.40000000000003</v>
      </c>
    </row>
    <row r="33" spans="1:256" s="713" customFormat="1">
      <c r="A33" s="1213">
        <f ca="1">$Q$30 *(20)</f>
        <v>1440</v>
      </c>
      <c r="B33" s="730" t="s">
        <v>326</v>
      </c>
      <c r="C33" s="3">
        <f>3000*1.1</f>
        <v>3300.0000000000005</v>
      </c>
      <c r="D33" s="730" t="s">
        <v>1309</v>
      </c>
      <c r="E33" s="730"/>
      <c r="F33" s="1214" t="s">
        <v>1385</v>
      </c>
      <c r="G33" s="1215" t="s">
        <v>1302</v>
      </c>
      <c r="H33" s="1216">
        <v>617</v>
      </c>
      <c r="I33" s="1217" t="s">
        <v>1303</v>
      </c>
      <c r="J33" s="1217" t="s">
        <v>1304</v>
      </c>
      <c r="K33" s="1210" t="s">
        <v>7</v>
      </c>
      <c r="L33" s="1217"/>
      <c r="M33" s="1217"/>
      <c r="N33" s="1217"/>
      <c r="O33" s="1218">
        <v>2</v>
      </c>
      <c r="P33" s="1219"/>
      <c r="Q33" s="735">
        <f>228/305*1.25</f>
        <v>0.93442622950819676</v>
      </c>
      <c r="R33" s="736">
        <f t="shared" ca="1" si="2"/>
        <v>1345.5737704918033</v>
      </c>
      <c r="S33" s="1210">
        <f>1.1 *(0.05)</f>
        <v>5.5000000000000007E-2</v>
      </c>
      <c r="T33" s="737">
        <f t="shared" ca="1" si="3"/>
        <v>79.200000000000017</v>
      </c>
      <c r="U33" s="602"/>
      <c r="V33" s="730"/>
      <c r="W33" s="730"/>
      <c r="X33" s="730"/>
      <c r="Y33" s="730"/>
      <c r="Z33" s="730"/>
      <c r="AA33" s="730"/>
      <c r="AB33" s="730"/>
      <c r="AC33" s="730"/>
      <c r="AD33" s="730"/>
      <c r="AE33" s="730"/>
      <c r="AF33" s="730"/>
      <c r="AG33" s="730"/>
      <c r="AH33" s="730"/>
      <c r="AI33" s="730"/>
      <c r="AJ33" s="730"/>
      <c r="AK33" s="730"/>
      <c r="AL33" s="730"/>
      <c r="AM33" s="730"/>
      <c r="AN33" s="730"/>
      <c r="AO33" s="730"/>
      <c r="AP33" s="730"/>
      <c r="AQ33" s="730"/>
      <c r="AR33" s="730"/>
      <c r="AS33" s="730"/>
      <c r="AT33" s="730"/>
      <c r="AU33" s="730"/>
      <c r="AV33" s="730"/>
      <c r="AW33" s="730"/>
      <c r="AX33" s="730"/>
      <c r="AY33" s="730"/>
      <c r="AZ33" s="730"/>
      <c r="BA33" s="730"/>
      <c r="BB33" s="730"/>
      <c r="BC33" s="730"/>
      <c r="BD33" s="730"/>
      <c r="BE33" s="730"/>
      <c r="BF33" s="730"/>
      <c r="BG33" s="730"/>
      <c r="BH33" s="730"/>
      <c r="BI33" s="730"/>
      <c r="BJ33" s="730"/>
      <c r="BK33" s="730"/>
      <c r="BL33" s="730"/>
      <c r="BM33" s="730"/>
      <c r="BN33" s="730"/>
      <c r="BO33" s="730"/>
      <c r="BP33" s="730"/>
      <c r="BQ33" s="730"/>
      <c r="BR33" s="730"/>
      <c r="BS33" s="730"/>
      <c r="BT33" s="730"/>
      <c r="BU33" s="730"/>
      <c r="BV33" s="730"/>
      <c r="BW33" s="730"/>
      <c r="BX33" s="730"/>
      <c r="BY33" s="730"/>
      <c r="BZ33" s="730"/>
      <c r="CA33" s="730"/>
      <c r="CB33" s="730"/>
      <c r="CC33" s="730"/>
      <c r="CD33" s="730"/>
      <c r="CE33" s="730"/>
      <c r="CF33" s="730"/>
      <c r="CG33" s="730"/>
      <c r="CH33" s="730"/>
      <c r="CI33" s="730"/>
      <c r="CJ33" s="730"/>
      <c r="CK33" s="730"/>
      <c r="CL33" s="730"/>
      <c r="CM33" s="730"/>
      <c r="CN33" s="730"/>
      <c r="CO33" s="730"/>
      <c r="CP33" s="730"/>
      <c r="CQ33" s="730"/>
      <c r="CR33" s="730"/>
      <c r="CS33" s="730"/>
      <c r="CT33" s="730"/>
      <c r="CU33" s="730"/>
      <c r="CV33" s="730"/>
      <c r="CW33" s="730"/>
      <c r="CX33" s="730"/>
      <c r="CY33" s="730"/>
      <c r="CZ33" s="730"/>
      <c r="DA33" s="730"/>
      <c r="DB33" s="730"/>
      <c r="DC33" s="730"/>
      <c r="DD33" s="730"/>
      <c r="DE33" s="730"/>
      <c r="DF33" s="730"/>
      <c r="DG33" s="730"/>
      <c r="DH33" s="730"/>
      <c r="DI33" s="730"/>
      <c r="DJ33" s="730"/>
      <c r="DK33" s="730"/>
      <c r="DL33" s="730"/>
      <c r="DM33" s="730"/>
      <c r="DN33" s="730"/>
      <c r="DO33" s="730"/>
      <c r="DP33" s="730"/>
      <c r="DQ33" s="730"/>
      <c r="DR33" s="730"/>
      <c r="DS33" s="730"/>
      <c r="DT33" s="730"/>
      <c r="DU33" s="730"/>
      <c r="DV33" s="730"/>
      <c r="DW33" s="730"/>
      <c r="DX33" s="730"/>
      <c r="DY33" s="730"/>
      <c r="DZ33" s="730"/>
      <c r="EA33" s="730"/>
      <c r="EB33" s="730"/>
      <c r="EC33" s="730"/>
      <c r="ED33" s="730"/>
      <c r="EE33" s="730"/>
      <c r="EF33" s="730"/>
      <c r="EG33" s="730"/>
      <c r="EH33" s="730"/>
      <c r="EI33" s="730"/>
      <c r="EJ33" s="730"/>
      <c r="EK33" s="730"/>
      <c r="EL33" s="730"/>
      <c r="EM33" s="730"/>
      <c r="EN33" s="730"/>
      <c r="EO33" s="730"/>
      <c r="EP33" s="730"/>
      <c r="EQ33" s="730"/>
      <c r="ER33" s="730"/>
      <c r="ES33" s="730"/>
      <c r="ET33" s="730"/>
      <c r="EU33" s="730"/>
      <c r="EV33" s="730"/>
      <c r="EW33" s="730"/>
      <c r="EX33" s="730"/>
      <c r="EY33" s="730"/>
      <c r="EZ33" s="730"/>
      <c r="FA33" s="730"/>
      <c r="FB33" s="730"/>
      <c r="FC33" s="730"/>
      <c r="FD33" s="730"/>
      <c r="FE33" s="730"/>
      <c r="FF33" s="730"/>
      <c r="FG33" s="730"/>
      <c r="FH33" s="730"/>
      <c r="FI33" s="730"/>
      <c r="FJ33" s="730"/>
      <c r="FK33" s="730"/>
      <c r="FL33" s="730"/>
      <c r="FM33" s="730"/>
      <c r="FN33" s="730"/>
      <c r="FO33" s="730"/>
      <c r="FP33" s="730"/>
      <c r="FQ33" s="730"/>
      <c r="FR33" s="730"/>
      <c r="FS33" s="730"/>
      <c r="FT33" s="730"/>
      <c r="FU33" s="730"/>
      <c r="FV33" s="730"/>
      <c r="FW33" s="730"/>
      <c r="FX33" s="730"/>
      <c r="FY33" s="730"/>
      <c r="FZ33" s="730"/>
      <c r="GA33" s="730"/>
      <c r="GB33" s="730"/>
      <c r="GC33" s="730"/>
      <c r="GD33" s="730"/>
      <c r="GE33" s="730"/>
      <c r="GF33" s="730"/>
      <c r="GG33" s="730"/>
      <c r="GH33" s="730"/>
      <c r="GI33" s="730"/>
      <c r="GJ33" s="730"/>
      <c r="GK33" s="730"/>
      <c r="GL33" s="730"/>
      <c r="GM33" s="730"/>
      <c r="GN33" s="730"/>
      <c r="GO33" s="730"/>
      <c r="GP33" s="730"/>
      <c r="GQ33" s="730"/>
      <c r="GR33" s="730"/>
      <c r="GS33" s="730"/>
      <c r="GT33" s="730"/>
      <c r="GU33" s="730"/>
      <c r="GV33" s="730"/>
      <c r="GW33" s="730"/>
      <c r="GX33" s="730"/>
      <c r="GY33" s="730"/>
      <c r="GZ33" s="730"/>
      <c r="HA33" s="730"/>
      <c r="HB33" s="730"/>
      <c r="HC33" s="730"/>
      <c r="HD33" s="730"/>
      <c r="HE33" s="730"/>
      <c r="HF33" s="730"/>
      <c r="HG33" s="730"/>
      <c r="HH33" s="730"/>
      <c r="HI33" s="730"/>
      <c r="HJ33" s="730"/>
      <c r="HK33" s="730"/>
      <c r="HL33" s="730"/>
      <c r="HM33" s="730"/>
      <c r="HN33" s="730"/>
      <c r="HO33" s="730"/>
      <c r="HP33" s="730"/>
      <c r="HQ33" s="730"/>
      <c r="HR33" s="730"/>
      <c r="HS33" s="730"/>
      <c r="HT33" s="730"/>
      <c r="HU33" s="730"/>
      <c r="HV33" s="730"/>
      <c r="HW33" s="730"/>
      <c r="HX33" s="730"/>
      <c r="HY33" s="730"/>
      <c r="HZ33" s="730"/>
      <c r="IA33" s="730"/>
      <c r="IB33" s="730"/>
      <c r="IC33" s="730"/>
      <c r="ID33" s="730"/>
      <c r="IE33" s="730"/>
      <c r="IF33" s="730"/>
      <c r="IG33" s="730"/>
      <c r="IH33" s="730"/>
      <c r="II33" s="730"/>
      <c r="IJ33" s="730"/>
      <c r="IK33" s="730"/>
      <c r="IL33" s="730"/>
      <c r="IM33" s="730"/>
      <c r="IN33" s="730"/>
      <c r="IO33" s="730"/>
      <c r="IP33" s="730"/>
      <c r="IQ33" s="730"/>
      <c r="IR33" s="730"/>
      <c r="IS33" s="730"/>
      <c r="IT33" s="730"/>
      <c r="IU33" s="730"/>
      <c r="IV33" s="730"/>
    </row>
    <row r="34" spans="1:256" s="602" customFormat="1">
      <c r="A34" s="1213">
        <f ca="1">$Q$30 *(25*1.2)</f>
        <v>2160</v>
      </c>
      <c r="B34" s="730" t="s">
        <v>141</v>
      </c>
      <c r="C34" s="730"/>
      <c r="D34" s="730" t="s">
        <v>815</v>
      </c>
      <c r="E34" s="730"/>
      <c r="F34" s="730"/>
      <c r="G34" s="731" t="s">
        <v>816</v>
      </c>
      <c r="H34" s="732">
        <v>875</v>
      </c>
      <c r="I34" s="730" t="s">
        <v>674</v>
      </c>
      <c r="J34" s="730"/>
      <c r="K34" s="735" t="s">
        <v>7</v>
      </c>
      <c r="L34" s="730"/>
      <c r="M34" s="730"/>
      <c r="N34" s="730"/>
      <c r="O34" s="733">
        <v>1</v>
      </c>
      <c r="P34" s="734">
        <v>34669</v>
      </c>
      <c r="Q34" s="1210">
        <v>0.05</v>
      </c>
      <c r="R34" s="736">
        <f t="shared" ca="1" si="2"/>
        <v>108</v>
      </c>
      <c r="S34" s="735"/>
      <c r="T34" s="737">
        <f t="shared" ca="1" si="3"/>
        <v>0</v>
      </c>
      <c r="U34" s="730"/>
      <c r="V34" s="730"/>
      <c r="W34" s="730"/>
      <c r="X34" s="730"/>
      <c r="Y34" s="730"/>
      <c r="Z34" s="730"/>
      <c r="AA34" s="730"/>
      <c r="AB34" s="730"/>
      <c r="AC34" s="730"/>
      <c r="AD34" s="730"/>
      <c r="AE34" s="730"/>
      <c r="AF34" s="730"/>
      <c r="AG34" s="730"/>
      <c r="AH34" s="730"/>
      <c r="AI34" s="730"/>
      <c r="AJ34" s="730"/>
      <c r="AK34" s="730"/>
      <c r="AL34" s="730"/>
      <c r="AM34" s="730"/>
      <c r="AN34" s="730"/>
      <c r="AO34" s="730"/>
      <c r="AP34" s="730"/>
      <c r="AQ34" s="730"/>
      <c r="AR34" s="730"/>
      <c r="AS34" s="730"/>
      <c r="AT34" s="730"/>
      <c r="AU34" s="730"/>
      <c r="AV34" s="730"/>
      <c r="AW34" s="730"/>
      <c r="AX34" s="730"/>
      <c r="AY34" s="730"/>
      <c r="AZ34" s="730"/>
      <c r="BA34" s="730"/>
      <c r="BB34" s="730"/>
      <c r="BC34" s="730"/>
      <c r="BD34" s="730"/>
      <c r="BE34" s="730"/>
      <c r="BF34" s="730"/>
      <c r="BG34" s="730"/>
      <c r="BH34" s="730"/>
      <c r="BI34" s="730"/>
      <c r="BJ34" s="730"/>
      <c r="BK34" s="730"/>
      <c r="BL34" s="730"/>
      <c r="BM34" s="730"/>
      <c r="BN34" s="730"/>
      <c r="BO34" s="730"/>
      <c r="BP34" s="730"/>
      <c r="BQ34" s="730"/>
      <c r="BR34" s="730"/>
      <c r="BS34" s="730"/>
      <c r="BT34" s="730"/>
      <c r="BU34" s="730"/>
      <c r="BV34" s="730"/>
      <c r="BW34" s="730"/>
      <c r="BX34" s="730"/>
      <c r="BY34" s="730"/>
      <c r="BZ34" s="730"/>
      <c r="CA34" s="730"/>
      <c r="CB34" s="730"/>
      <c r="CC34" s="730"/>
      <c r="CD34" s="730"/>
      <c r="CE34" s="730"/>
      <c r="CF34" s="730"/>
      <c r="CG34" s="730"/>
      <c r="CH34" s="730"/>
      <c r="CI34" s="730"/>
      <c r="CJ34" s="730"/>
      <c r="CK34" s="730"/>
      <c r="CL34" s="730"/>
      <c r="CM34" s="730"/>
      <c r="CN34" s="730"/>
      <c r="CO34" s="730"/>
      <c r="CP34" s="730"/>
      <c r="CQ34" s="730"/>
      <c r="CR34" s="730"/>
      <c r="CS34" s="730"/>
      <c r="CT34" s="730"/>
      <c r="CU34" s="730"/>
      <c r="CV34" s="730"/>
      <c r="CW34" s="730"/>
      <c r="CX34" s="730"/>
      <c r="CY34" s="730"/>
      <c r="CZ34" s="730"/>
      <c r="DA34" s="730"/>
      <c r="DB34" s="730"/>
      <c r="DC34" s="730"/>
      <c r="DD34" s="730"/>
      <c r="DE34" s="730"/>
      <c r="DF34" s="730"/>
      <c r="DG34" s="730"/>
      <c r="DH34" s="730"/>
      <c r="DI34" s="730"/>
      <c r="DJ34" s="730"/>
      <c r="DK34" s="730"/>
      <c r="DL34" s="730"/>
      <c r="DM34" s="730"/>
      <c r="DN34" s="730"/>
      <c r="DO34" s="730"/>
      <c r="DP34" s="730"/>
      <c r="DQ34" s="730"/>
      <c r="DR34" s="730"/>
      <c r="DS34" s="730"/>
      <c r="DT34" s="730"/>
      <c r="DU34" s="730"/>
      <c r="DV34" s="730"/>
      <c r="DW34" s="730"/>
      <c r="DX34" s="730"/>
      <c r="DY34" s="730"/>
      <c r="DZ34" s="730"/>
      <c r="EA34" s="730"/>
      <c r="EB34" s="730"/>
      <c r="EC34" s="730"/>
      <c r="ED34" s="730"/>
      <c r="EE34" s="730"/>
      <c r="EF34" s="730"/>
      <c r="EG34" s="730"/>
      <c r="EH34" s="730"/>
      <c r="EI34" s="730"/>
      <c r="EJ34" s="730"/>
      <c r="EK34" s="730"/>
      <c r="EL34" s="730"/>
      <c r="EM34" s="730"/>
      <c r="EN34" s="730"/>
      <c r="EO34" s="730"/>
      <c r="EP34" s="730"/>
      <c r="EQ34" s="730"/>
      <c r="ER34" s="730"/>
      <c r="ES34" s="730"/>
      <c r="ET34" s="730"/>
      <c r="EU34" s="730"/>
      <c r="EV34" s="730"/>
      <c r="EW34" s="730"/>
      <c r="EX34" s="730"/>
      <c r="EY34" s="730"/>
      <c r="EZ34" s="730"/>
      <c r="FA34" s="730"/>
      <c r="FB34" s="730"/>
      <c r="FC34" s="730"/>
      <c r="FD34" s="730"/>
      <c r="FE34" s="730"/>
      <c r="FF34" s="730"/>
      <c r="FG34" s="730"/>
      <c r="FH34" s="730"/>
      <c r="FI34" s="730"/>
      <c r="FJ34" s="730"/>
      <c r="FK34" s="730"/>
      <c r="FL34" s="730"/>
      <c r="FM34" s="730"/>
      <c r="FN34" s="730"/>
      <c r="FO34" s="730"/>
      <c r="FP34" s="730"/>
      <c r="FQ34" s="730"/>
      <c r="FR34" s="730"/>
      <c r="FS34" s="730"/>
      <c r="FT34" s="730"/>
      <c r="FU34" s="730"/>
      <c r="FV34" s="730"/>
      <c r="FW34" s="730"/>
      <c r="FX34" s="730"/>
      <c r="FY34" s="730"/>
      <c r="FZ34" s="730"/>
      <c r="GA34" s="730"/>
      <c r="GB34" s="730"/>
      <c r="GC34" s="730"/>
      <c r="GD34" s="730"/>
      <c r="GE34" s="730"/>
      <c r="GF34" s="730"/>
      <c r="GG34" s="730"/>
      <c r="GH34" s="730"/>
      <c r="GI34" s="730"/>
      <c r="GJ34" s="730"/>
      <c r="GK34" s="730"/>
      <c r="GL34" s="730"/>
      <c r="GM34" s="730"/>
      <c r="GN34" s="730"/>
      <c r="GO34" s="730"/>
      <c r="GP34" s="730"/>
      <c r="GQ34" s="730"/>
      <c r="GR34" s="730"/>
      <c r="GS34" s="730"/>
      <c r="GT34" s="730"/>
      <c r="GU34" s="730"/>
      <c r="GV34" s="730"/>
      <c r="GW34" s="730"/>
      <c r="GX34" s="730"/>
      <c r="GY34" s="730"/>
      <c r="GZ34" s="730"/>
      <c r="HA34" s="730"/>
      <c r="HB34" s="730"/>
      <c r="HC34" s="730"/>
      <c r="HD34" s="730"/>
      <c r="HE34" s="730"/>
      <c r="HF34" s="730"/>
      <c r="HG34" s="730"/>
      <c r="HH34" s="730"/>
      <c r="HI34" s="730"/>
      <c r="HJ34" s="730"/>
      <c r="HK34" s="730"/>
      <c r="HL34" s="730"/>
      <c r="HM34" s="730"/>
      <c r="HN34" s="730"/>
      <c r="HO34" s="730"/>
      <c r="HP34" s="730"/>
      <c r="HQ34" s="730"/>
      <c r="HR34" s="730"/>
      <c r="HS34" s="730"/>
      <c r="HT34" s="730"/>
      <c r="HU34" s="730"/>
      <c r="HV34" s="730"/>
      <c r="HW34" s="730"/>
      <c r="HX34" s="730"/>
      <c r="HY34" s="730"/>
      <c r="HZ34" s="730"/>
      <c r="IA34" s="730"/>
      <c r="IB34" s="730"/>
      <c r="IC34" s="730"/>
      <c r="ID34" s="730"/>
      <c r="IE34" s="730"/>
      <c r="IF34" s="730"/>
      <c r="IG34" s="730"/>
      <c r="IH34" s="730"/>
      <c r="II34" s="730"/>
      <c r="IJ34" s="730"/>
      <c r="IK34" s="730"/>
      <c r="IL34" s="730"/>
      <c r="IM34" s="730"/>
      <c r="IN34" s="730"/>
      <c r="IO34" s="730"/>
      <c r="IP34" s="730"/>
      <c r="IQ34" s="730"/>
      <c r="IR34" s="730"/>
      <c r="IS34" s="730"/>
      <c r="IT34" s="730"/>
      <c r="IU34" s="730"/>
      <c r="IV34" s="730"/>
    </row>
    <row r="35" spans="1:256" s="602" customFormat="1">
      <c r="A35" s="1211">
        <f ca="1">$Q$30 *(2)</f>
        <v>144</v>
      </c>
      <c r="B35" s="730" t="s">
        <v>141</v>
      </c>
      <c r="C35" s="730"/>
      <c r="D35" s="730" t="s">
        <v>1305</v>
      </c>
      <c r="E35" s="730"/>
      <c r="F35" s="730"/>
      <c r="G35" s="731" t="s">
        <v>1306</v>
      </c>
      <c r="H35" s="732">
        <v>620</v>
      </c>
      <c r="I35" s="730" t="s">
        <v>674</v>
      </c>
      <c r="J35" s="730"/>
      <c r="K35" s="735" t="s">
        <v>7</v>
      </c>
      <c r="L35" s="730"/>
      <c r="M35" s="730"/>
      <c r="N35" s="730"/>
      <c r="O35" s="733">
        <v>2</v>
      </c>
      <c r="P35" s="734">
        <v>38148</v>
      </c>
      <c r="Q35" s="735">
        <f>1.1*1.5</f>
        <v>1.6500000000000001</v>
      </c>
      <c r="R35" s="736">
        <f t="shared" ca="1" si="2"/>
        <v>237.60000000000002</v>
      </c>
      <c r="S35" s="735">
        <f>1.1 *(0.15)</f>
        <v>0.16500000000000001</v>
      </c>
      <c r="T35" s="737">
        <f t="shared" ca="1" si="3"/>
        <v>23.76</v>
      </c>
      <c r="U35" s="730"/>
      <c r="V35" s="730"/>
      <c r="W35" s="730"/>
      <c r="X35" s="730"/>
      <c r="Y35" s="730"/>
      <c r="Z35" s="730"/>
      <c r="AA35" s="730"/>
      <c r="AB35" s="730"/>
      <c r="AC35" s="730"/>
      <c r="AD35" s="730"/>
      <c r="AE35" s="730"/>
      <c r="AF35" s="730"/>
      <c r="AG35" s="730"/>
      <c r="AH35" s="730"/>
      <c r="AI35" s="730"/>
      <c r="AJ35" s="730"/>
      <c r="AK35" s="730"/>
      <c r="AL35" s="730"/>
      <c r="AM35" s="730"/>
      <c r="AN35" s="730"/>
      <c r="AO35" s="730"/>
      <c r="AP35" s="730"/>
      <c r="AQ35" s="730"/>
      <c r="AR35" s="730"/>
      <c r="AS35" s="730"/>
      <c r="AT35" s="730"/>
      <c r="AU35" s="730"/>
      <c r="AV35" s="730"/>
      <c r="AW35" s="730"/>
      <c r="AX35" s="730"/>
      <c r="AY35" s="730"/>
      <c r="AZ35" s="730"/>
      <c r="BA35" s="730"/>
      <c r="BB35" s="730"/>
      <c r="BC35" s="730"/>
      <c r="BD35" s="730"/>
      <c r="BE35" s="730"/>
      <c r="BF35" s="730"/>
      <c r="BG35" s="730"/>
      <c r="BH35" s="730"/>
      <c r="BI35" s="730"/>
      <c r="BJ35" s="730"/>
      <c r="BK35" s="730"/>
      <c r="BL35" s="730"/>
      <c r="BM35" s="730"/>
      <c r="BN35" s="730"/>
      <c r="BO35" s="730"/>
      <c r="BP35" s="730"/>
      <c r="BQ35" s="730"/>
      <c r="BR35" s="730"/>
      <c r="BS35" s="730"/>
      <c r="BT35" s="730"/>
      <c r="BU35" s="730"/>
      <c r="BV35" s="730"/>
      <c r="BW35" s="730"/>
      <c r="BX35" s="730"/>
      <c r="BY35" s="730"/>
      <c r="BZ35" s="730"/>
      <c r="CA35" s="730"/>
      <c r="CB35" s="730"/>
      <c r="CC35" s="730"/>
      <c r="CD35" s="730"/>
      <c r="CE35" s="730"/>
      <c r="CF35" s="730"/>
      <c r="CG35" s="730"/>
      <c r="CH35" s="730"/>
      <c r="CI35" s="730"/>
      <c r="CJ35" s="730"/>
      <c r="CK35" s="730"/>
      <c r="CL35" s="730"/>
      <c r="CM35" s="730"/>
      <c r="CN35" s="730"/>
      <c r="CO35" s="730"/>
      <c r="CP35" s="730"/>
      <c r="CQ35" s="730"/>
      <c r="CR35" s="730"/>
      <c r="CS35" s="730"/>
      <c r="CT35" s="730"/>
      <c r="CU35" s="730"/>
      <c r="CV35" s="730"/>
      <c r="CW35" s="730"/>
      <c r="CX35" s="730"/>
      <c r="CY35" s="730"/>
      <c r="CZ35" s="730"/>
      <c r="DA35" s="730"/>
      <c r="DB35" s="730"/>
      <c r="DC35" s="730"/>
      <c r="DD35" s="730"/>
      <c r="DE35" s="730"/>
      <c r="DF35" s="730"/>
      <c r="DG35" s="730"/>
      <c r="DH35" s="730"/>
      <c r="DI35" s="730"/>
      <c r="DJ35" s="730"/>
      <c r="DK35" s="730"/>
      <c r="DL35" s="730"/>
      <c r="DM35" s="730"/>
      <c r="DN35" s="730"/>
      <c r="DO35" s="730"/>
      <c r="DP35" s="730"/>
      <c r="DQ35" s="730"/>
      <c r="DR35" s="730"/>
      <c r="DS35" s="730"/>
      <c r="DT35" s="730"/>
      <c r="DU35" s="730"/>
      <c r="DV35" s="730"/>
      <c r="DW35" s="730"/>
      <c r="DX35" s="730"/>
      <c r="DY35" s="730"/>
      <c r="DZ35" s="730"/>
      <c r="EA35" s="730"/>
      <c r="EB35" s="730"/>
      <c r="EC35" s="730"/>
      <c r="ED35" s="730"/>
      <c r="EE35" s="730"/>
      <c r="EF35" s="730"/>
      <c r="EG35" s="730"/>
      <c r="EH35" s="730"/>
      <c r="EI35" s="730"/>
      <c r="EJ35" s="730"/>
      <c r="EK35" s="730"/>
      <c r="EL35" s="730"/>
      <c r="EM35" s="730"/>
      <c r="EN35" s="730"/>
      <c r="EO35" s="730"/>
      <c r="EP35" s="730"/>
      <c r="EQ35" s="730"/>
      <c r="ER35" s="730"/>
      <c r="ES35" s="730"/>
      <c r="ET35" s="730"/>
      <c r="EU35" s="730"/>
      <c r="EV35" s="730"/>
      <c r="EW35" s="730"/>
      <c r="EX35" s="730"/>
      <c r="EY35" s="730"/>
      <c r="EZ35" s="730"/>
      <c r="FA35" s="730"/>
      <c r="FB35" s="730"/>
      <c r="FC35" s="730"/>
      <c r="FD35" s="730"/>
      <c r="FE35" s="730"/>
      <c r="FF35" s="730"/>
      <c r="FG35" s="730"/>
      <c r="FH35" s="730"/>
      <c r="FI35" s="730"/>
      <c r="FJ35" s="730"/>
      <c r="FK35" s="730"/>
      <c r="FL35" s="730"/>
      <c r="FM35" s="730"/>
      <c r="FN35" s="730"/>
      <c r="FO35" s="730"/>
      <c r="FP35" s="730"/>
      <c r="FQ35" s="730"/>
      <c r="FR35" s="730"/>
      <c r="FS35" s="730"/>
      <c r="FT35" s="730"/>
      <c r="FU35" s="730"/>
      <c r="FV35" s="730"/>
      <c r="FW35" s="730"/>
      <c r="FX35" s="730"/>
      <c r="FY35" s="730"/>
      <c r="FZ35" s="730"/>
      <c r="GA35" s="730"/>
      <c r="GB35" s="730"/>
      <c r="GC35" s="730"/>
      <c r="GD35" s="730"/>
      <c r="GE35" s="730"/>
      <c r="GF35" s="730"/>
      <c r="GG35" s="730"/>
      <c r="GH35" s="730"/>
      <c r="GI35" s="730"/>
      <c r="GJ35" s="730"/>
      <c r="GK35" s="730"/>
      <c r="GL35" s="730"/>
      <c r="GM35" s="730"/>
      <c r="GN35" s="730"/>
      <c r="GO35" s="730"/>
      <c r="GP35" s="730"/>
      <c r="GQ35" s="730"/>
      <c r="GR35" s="730"/>
      <c r="GS35" s="730"/>
      <c r="GT35" s="730"/>
      <c r="GU35" s="730"/>
      <c r="GV35" s="730"/>
      <c r="GW35" s="730"/>
      <c r="GX35" s="730"/>
      <c r="GY35" s="730"/>
      <c r="GZ35" s="730"/>
      <c r="HA35" s="730"/>
      <c r="HB35" s="730"/>
      <c r="HC35" s="730"/>
      <c r="HD35" s="730"/>
      <c r="HE35" s="730"/>
      <c r="HF35" s="730"/>
      <c r="HG35" s="730"/>
      <c r="HH35" s="730"/>
      <c r="HI35" s="730"/>
      <c r="HJ35" s="730"/>
      <c r="HK35" s="730"/>
      <c r="HL35" s="730"/>
      <c r="HM35" s="730"/>
      <c r="HN35" s="730"/>
      <c r="HO35" s="730"/>
      <c r="HP35" s="730"/>
      <c r="HQ35" s="730"/>
      <c r="HR35" s="730"/>
      <c r="HS35" s="730"/>
      <c r="HT35" s="730"/>
      <c r="HU35" s="730"/>
      <c r="HV35" s="730"/>
      <c r="HW35" s="730"/>
      <c r="HX35" s="730"/>
      <c r="HY35" s="730"/>
      <c r="HZ35" s="730"/>
      <c r="IA35" s="730"/>
      <c r="IB35" s="730"/>
      <c r="IC35" s="730"/>
      <c r="ID35" s="730"/>
      <c r="IE35" s="730"/>
      <c r="IF35" s="730"/>
      <c r="IG35" s="730"/>
      <c r="IH35" s="730"/>
      <c r="II35" s="730"/>
      <c r="IJ35" s="730"/>
      <c r="IK35" s="730"/>
      <c r="IL35" s="730"/>
      <c r="IM35" s="730"/>
      <c r="IN35" s="730"/>
      <c r="IO35" s="730"/>
      <c r="IP35" s="730"/>
      <c r="IQ35" s="730"/>
      <c r="IR35" s="730"/>
      <c r="IS35" s="730"/>
      <c r="IT35" s="730"/>
      <c r="IU35" s="730"/>
      <c r="IV35" s="730"/>
    </row>
    <row r="36" spans="1:256" s="602" customFormat="1">
      <c r="A36" s="1211">
        <f ca="1">$Q$30 *(2)</f>
        <v>144</v>
      </c>
      <c r="B36" s="730" t="s">
        <v>141</v>
      </c>
      <c r="C36" s="730"/>
      <c r="D36" s="730" t="s">
        <v>1054</v>
      </c>
      <c r="E36" s="730"/>
      <c r="F36" s="730"/>
      <c r="G36" s="731" t="s">
        <v>1055</v>
      </c>
      <c r="H36" s="732">
        <v>620</v>
      </c>
      <c r="I36" s="730" t="s">
        <v>674</v>
      </c>
      <c r="J36" s="730"/>
      <c r="K36" s="735" t="s">
        <v>7</v>
      </c>
      <c r="L36" s="730"/>
      <c r="M36" s="730"/>
      <c r="N36" s="730"/>
      <c r="O36" s="733">
        <v>2</v>
      </c>
      <c r="P36" s="734"/>
      <c r="Q36" s="1210">
        <v>0.2</v>
      </c>
      <c r="R36" s="736">
        <f t="shared" ca="1" si="2"/>
        <v>28.8</v>
      </c>
      <c r="S36" s="735">
        <f>1.1 *(0.03)</f>
        <v>3.3000000000000002E-2</v>
      </c>
      <c r="T36" s="737">
        <f t="shared" ca="1" si="3"/>
        <v>4.7520000000000007</v>
      </c>
      <c r="U36" s="730"/>
      <c r="V36" s="730"/>
      <c r="W36" s="730"/>
      <c r="X36" s="730"/>
      <c r="Y36" s="730"/>
      <c r="Z36" s="730"/>
      <c r="AA36" s="730"/>
      <c r="AB36" s="730"/>
      <c r="AC36" s="730"/>
      <c r="AD36" s="730"/>
      <c r="AE36" s="730"/>
      <c r="AF36" s="730"/>
      <c r="AG36" s="730"/>
      <c r="AH36" s="730"/>
      <c r="AI36" s="730"/>
      <c r="AJ36" s="730"/>
      <c r="AK36" s="730"/>
      <c r="AL36" s="730"/>
      <c r="AM36" s="730"/>
      <c r="AN36" s="730"/>
      <c r="AO36" s="730"/>
      <c r="AP36" s="730"/>
      <c r="AQ36" s="730"/>
      <c r="AR36" s="730"/>
      <c r="AS36" s="730"/>
      <c r="AT36" s="730"/>
      <c r="AU36" s="730"/>
      <c r="AV36" s="730"/>
      <c r="AW36" s="730"/>
      <c r="AX36" s="730"/>
      <c r="AY36" s="730"/>
      <c r="AZ36" s="730"/>
      <c r="BA36" s="730"/>
      <c r="BB36" s="730"/>
      <c r="BC36" s="730"/>
      <c r="BD36" s="730"/>
      <c r="BE36" s="730"/>
      <c r="BF36" s="730"/>
      <c r="BG36" s="730"/>
      <c r="BH36" s="730"/>
      <c r="BI36" s="730"/>
      <c r="BJ36" s="730"/>
      <c r="BK36" s="730"/>
      <c r="BL36" s="730"/>
      <c r="BM36" s="730"/>
      <c r="BN36" s="730"/>
      <c r="BO36" s="730"/>
      <c r="BP36" s="730"/>
      <c r="BQ36" s="730"/>
      <c r="BR36" s="730"/>
      <c r="BS36" s="730"/>
      <c r="BT36" s="730"/>
      <c r="BU36" s="730"/>
      <c r="BV36" s="730"/>
      <c r="BW36" s="730"/>
      <c r="BX36" s="730"/>
      <c r="BY36" s="730"/>
      <c r="BZ36" s="730"/>
      <c r="CA36" s="730"/>
      <c r="CB36" s="730"/>
      <c r="CC36" s="730"/>
      <c r="CD36" s="730"/>
      <c r="CE36" s="730"/>
      <c r="CF36" s="730"/>
      <c r="CG36" s="730"/>
      <c r="CH36" s="730"/>
      <c r="CI36" s="730"/>
      <c r="CJ36" s="730"/>
      <c r="CK36" s="730"/>
      <c r="CL36" s="730"/>
      <c r="CM36" s="730"/>
      <c r="CN36" s="730"/>
      <c r="CO36" s="730"/>
      <c r="CP36" s="730"/>
      <c r="CQ36" s="730"/>
      <c r="CR36" s="730"/>
      <c r="CS36" s="730"/>
      <c r="CT36" s="730"/>
      <c r="CU36" s="730"/>
      <c r="CV36" s="730"/>
      <c r="CW36" s="730"/>
      <c r="CX36" s="730"/>
      <c r="CY36" s="730"/>
      <c r="CZ36" s="730"/>
      <c r="DA36" s="730"/>
      <c r="DB36" s="730"/>
      <c r="DC36" s="730"/>
      <c r="DD36" s="730"/>
      <c r="DE36" s="730"/>
      <c r="DF36" s="730"/>
      <c r="DG36" s="730"/>
      <c r="DH36" s="730"/>
      <c r="DI36" s="730"/>
      <c r="DJ36" s="730"/>
      <c r="DK36" s="730"/>
      <c r="DL36" s="730"/>
      <c r="DM36" s="730"/>
      <c r="DN36" s="730"/>
      <c r="DO36" s="730"/>
      <c r="DP36" s="730"/>
      <c r="DQ36" s="730"/>
      <c r="DR36" s="730"/>
      <c r="DS36" s="730"/>
      <c r="DT36" s="730"/>
      <c r="DU36" s="730"/>
      <c r="DV36" s="730"/>
      <c r="DW36" s="730"/>
      <c r="DX36" s="730"/>
      <c r="DY36" s="730"/>
      <c r="DZ36" s="730"/>
      <c r="EA36" s="730"/>
      <c r="EB36" s="730"/>
      <c r="EC36" s="730"/>
      <c r="ED36" s="730"/>
      <c r="EE36" s="730"/>
      <c r="EF36" s="730"/>
      <c r="EG36" s="730"/>
      <c r="EH36" s="730"/>
      <c r="EI36" s="730"/>
      <c r="EJ36" s="730"/>
      <c r="EK36" s="730"/>
      <c r="EL36" s="730"/>
      <c r="EM36" s="730"/>
      <c r="EN36" s="730"/>
      <c r="EO36" s="730"/>
      <c r="EP36" s="730"/>
      <c r="EQ36" s="730"/>
      <c r="ER36" s="730"/>
      <c r="ES36" s="730"/>
      <c r="ET36" s="730"/>
      <c r="EU36" s="730"/>
      <c r="EV36" s="730"/>
      <c r="EW36" s="730"/>
      <c r="EX36" s="730"/>
      <c r="EY36" s="730"/>
      <c r="EZ36" s="730"/>
      <c r="FA36" s="730"/>
      <c r="FB36" s="730"/>
      <c r="FC36" s="730"/>
      <c r="FD36" s="730"/>
      <c r="FE36" s="730"/>
      <c r="FF36" s="730"/>
      <c r="FG36" s="730"/>
      <c r="FH36" s="730"/>
      <c r="FI36" s="730"/>
      <c r="FJ36" s="730"/>
      <c r="FK36" s="730"/>
      <c r="FL36" s="730"/>
      <c r="FM36" s="730"/>
      <c r="FN36" s="730"/>
      <c r="FO36" s="730"/>
      <c r="FP36" s="730"/>
      <c r="FQ36" s="730"/>
      <c r="FR36" s="730"/>
      <c r="FS36" s="730"/>
      <c r="FT36" s="730"/>
      <c r="FU36" s="730"/>
      <c r="FV36" s="730"/>
      <c r="FW36" s="730"/>
      <c r="FX36" s="730"/>
      <c r="FY36" s="730"/>
      <c r="FZ36" s="730"/>
      <c r="GA36" s="730"/>
      <c r="GB36" s="730"/>
      <c r="GC36" s="730"/>
      <c r="GD36" s="730"/>
      <c r="GE36" s="730"/>
      <c r="GF36" s="730"/>
      <c r="GG36" s="730"/>
      <c r="GH36" s="730"/>
      <c r="GI36" s="730"/>
      <c r="GJ36" s="730"/>
      <c r="GK36" s="730"/>
      <c r="GL36" s="730"/>
      <c r="GM36" s="730"/>
      <c r="GN36" s="730"/>
      <c r="GO36" s="730"/>
      <c r="GP36" s="730"/>
      <c r="GQ36" s="730"/>
      <c r="GR36" s="730"/>
      <c r="GS36" s="730"/>
      <c r="GT36" s="730"/>
      <c r="GU36" s="730"/>
      <c r="GV36" s="730"/>
      <c r="GW36" s="730"/>
      <c r="GX36" s="730"/>
      <c r="GY36" s="730"/>
      <c r="GZ36" s="730"/>
      <c r="HA36" s="730"/>
      <c r="HB36" s="730"/>
      <c r="HC36" s="730"/>
      <c r="HD36" s="730"/>
      <c r="HE36" s="730"/>
      <c r="HF36" s="730"/>
      <c r="HG36" s="730"/>
      <c r="HH36" s="730"/>
      <c r="HI36" s="730"/>
      <c r="HJ36" s="730"/>
      <c r="HK36" s="730"/>
      <c r="HL36" s="730"/>
      <c r="HM36" s="730"/>
      <c r="HN36" s="730"/>
      <c r="HO36" s="730"/>
      <c r="HP36" s="730"/>
      <c r="HQ36" s="730"/>
      <c r="HR36" s="730"/>
      <c r="HS36" s="730"/>
      <c r="HT36" s="730"/>
      <c r="HU36" s="730"/>
      <c r="HV36" s="730"/>
      <c r="HW36" s="730"/>
      <c r="HX36" s="730"/>
      <c r="HY36" s="730"/>
      <c r="HZ36" s="730"/>
      <c r="IA36" s="730"/>
      <c r="IB36" s="730"/>
      <c r="IC36" s="730"/>
      <c r="ID36" s="730"/>
      <c r="IE36" s="730"/>
      <c r="IF36" s="730"/>
      <c r="IG36" s="730"/>
      <c r="IH36" s="730"/>
      <c r="II36" s="730"/>
      <c r="IJ36" s="730"/>
      <c r="IK36" s="730"/>
      <c r="IL36" s="730"/>
      <c r="IM36" s="730"/>
      <c r="IN36" s="730"/>
      <c r="IO36" s="730"/>
      <c r="IP36" s="730"/>
      <c r="IQ36" s="730"/>
      <c r="IR36" s="730"/>
      <c r="IS36" s="730"/>
      <c r="IT36" s="730"/>
      <c r="IU36" s="730"/>
      <c r="IV36" s="730"/>
    </row>
    <row r="37" spans="1:256" s="602" customFormat="1">
      <c r="A37" s="1211">
        <f ca="1">$Q$30 *(4)</f>
        <v>288</v>
      </c>
      <c r="B37" s="730" t="s">
        <v>141</v>
      </c>
      <c r="C37" s="730"/>
      <c r="D37" s="730" t="s">
        <v>1058</v>
      </c>
      <c r="E37" s="730"/>
      <c r="F37" s="730"/>
      <c r="G37" s="731" t="s">
        <v>1059</v>
      </c>
      <c r="H37" s="732">
        <v>620</v>
      </c>
      <c r="I37" s="730" t="s">
        <v>702</v>
      </c>
      <c r="J37" s="730"/>
      <c r="K37" s="735" t="s">
        <v>7</v>
      </c>
      <c r="L37" s="730"/>
      <c r="M37" s="730"/>
      <c r="N37" s="730"/>
      <c r="O37" s="733">
        <v>2</v>
      </c>
      <c r="P37" s="734">
        <v>34669</v>
      </c>
      <c r="Q37" s="1210">
        <v>0.05</v>
      </c>
      <c r="R37" s="736">
        <f t="shared" ca="1" si="2"/>
        <v>14.4</v>
      </c>
      <c r="S37" s="735">
        <f>1.1 *(0.01)</f>
        <v>1.1000000000000001E-2</v>
      </c>
      <c r="T37" s="737">
        <f t="shared" ca="1" si="3"/>
        <v>3.1680000000000001</v>
      </c>
      <c r="U37" s="730"/>
      <c r="V37" s="730"/>
      <c r="W37" s="730"/>
      <c r="X37" s="730"/>
      <c r="Y37" s="730"/>
      <c r="Z37" s="730"/>
      <c r="AA37" s="730"/>
      <c r="AB37" s="730"/>
      <c r="AC37" s="730"/>
      <c r="AD37" s="730"/>
      <c r="AE37" s="730"/>
      <c r="AF37" s="730"/>
      <c r="AG37" s="730"/>
      <c r="AH37" s="730"/>
      <c r="AI37" s="730"/>
      <c r="AJ37" s="730"/>
      <c r="AK37" s="730"/>
      <c r="AL37" s="730"/>
      <c r="AM37" s="730"/>
      <c r="AN37" s="730"/>
      <c r="AO37" s="730"/>
      <c r="AP37" s="730"/>
      <c r="AQ37" s="730"/>
      <c r="AR37" s="730"/>
      <c r="AS37" s="730"/>
      <c r="AT37" s="730"/>
      <c r="AU37" s="730"/>
      <c r="AV37" s="730"/>
      <c r="AW37" s="730"/>
      <c r="AX37" s="730"/>
      <c r="AY37" s="730"/>
      <c r="AZ37" s="730"/>
      <c r="BA37" s="730"/>
      <c r="BB37" s="730"/>
      <c r="BC37" s="730"/>
      <c r="BD37" s="730"/>
      <c r="BE37" s="730"/>
      <c r="BF37" s="730"/>
      <c r="BG37" s="730"/>
      <c r="BH37" s="730"/>
      <c r="BI37" s="730"/>
      <c r="BJ37" s="730"/>
      <c r="BK37" s="730"/>
      <c r="BL37" s="730"/>
      <c r="BM37" s="730"/>
      <c r="BN37" s="730"/>
      <c r="BO37" s="730"/>
      <c r="BP37" s="730"/>
      <c r="BQ37" s="730"/>
      <c r="BR37" s="730"/>
      <c r="BS37" s="730"/>
      <c r="BT37" s="730"/>
      <c r="BU37" s="730"/>
      <c r="BV37" s="730"/>
      <c r="BW37" s="730"/>
      <c r="BX37" s="730"/>
      <c r="BY37" s="730"/>
      <c r="BZ37" s="730"/>
      <c r="CA37" s="730"/>
      <c r="CB37" s="730"/>
      <c r="CC37" s="730"/>
      <c r="CD37" s="730"/>
      <c r="CE37" s="730"/>
      <c r="CF37" s="730"/>
      <c r="CG37" s="730"/>
      <c r="CH37" s="730"/>
      <c r="CI37" s="730"/>
      <c r="CJ37" s="730"/>
      <c r="CK37" s="730"/>
      <c r="CL37" s="730"/>
      <c r="CM37" s="730"/>
      <c r="CN37" s="730"/>
      <c r="CO37" s="730"/>
      <c r="CP37" s="730"/>
      <c r="CQ37" s="730"/>
      <c r="CR37" s="730"/>
      <c r="CS37" s="730"/>
      <c r="CT37" s="730"/>
      <c r="CU37" s="730"/>
      <c r="CV37" s="730"/>
      <c r="CW37" s="730"/>
      <c r="CX37" s="730"/>
      <c r="CY37" s="730"/>
      <c r="CZ37" s="730"/>
      <c r="DA37" s="730"/>
      <c r="DB37" s="730"/>
      <c r="DC37" s="730"/>
      <c r="DD37" s="730"/>
      <c r="DE37" s="730"/>
      <c r="DF37" s="730"/>
      <c r="DG37" s="730"/>
      <c r="DH37" s="730"/>
      <c r="DI37" s="730"/>
      <c r="DJ37" s="730"/>
      <c r="DK37" s="730"/>
      <c r="DL37" s="730"/>
      <c r="DM37" s="730"/>
      <c r="DN37" s="730"/>
      <c r="DO37" s="730"/>
      <c r="DP37" s="730"/>
      <c r="DQ37" s="730"/>
      <c r="DR37" s="730"/>
      <c r="DS37" s="730"/>
      <c r="DT37" s="730"/>
      <c r="DU37" s="730"/>
      <c r="DV37" s="730"/>
      <c r="DW37" s="730"/>
      <c r="DX37" s="730"/>
      <c r="DY37" s="730"/>
      <c r="DZ37" s="730"/>
      <c r="EA37" s="730"/>
      <c r="EB37" s="730"/>
      <c r="EC37" s="730"/>
      <c r="ED37" s="730"/>
      <c r="EE37" s="730"/>
      <c r="EF37" s="730"/>
      <c r="EG37" s="730"/>
      <c r="EH37" s="730"/>
      <c r="EI37" s="730"/>
      <c r="EJ37" s="730"/>
      <c r="EK37" s="730"/>
      <c r="EL37" s="730"/>
      <c r="EM37" s="730"/>
      <c r="EN37" s="730"/>
      <c r="EO37" s="730"/>
      <c r="EP37" s="730"/>
      <c r="EQ37" s="730"/>
      <c r="ER37" s="730"/>
      <c r="ES37" s="730"/>
      <c r="ET37" s="730"/>
      <c r="EU37" s="730"/>
      <c r="EV37" s="730"/>
      <c r="EW37" s="730"/>
      <c r="EX37" s="730"/>
      <c r="EY37" s="730"/>
      <c r="EZ37" s="730"/>
      <c r="FA37" s="730"/>
      <c r="FB37" s="730"/>
      <c r="FC37" s="730"/>
      <c r="FD37" s="730"/>
      <c r="FE37" s="730"/>
      <c r="FF37" s="730"/>
      <c r="FG37" s="730"/>
      <c r="FH37" s="730"/>
      <c r="FI37" s="730"/>
      <c r="FJ37" s="730"/>
      <c r="FK37" s="730"/>
      <c r="FL37" s="730"/>
      <c r="FM37" s="730"/>
      <c r="FN37" s="730"/>
      <c r="FO37" s="730"/>
      <c r="FP37" s="730"/>
      <c r="FQ37" s="730"/>
      <c r="FR37" s="730"/>
      <c r="FS37" s="730"/>
      <c r="FT37" s="730"/>
      <c r="FU37" s="730"/>
      <c r="FV37" s="730"/>
      <c r="FW37" s="730"/>
      <c r="FX37" s="730"/>
      <c r="FY37" s="730"/>
      <c r="FZ37" s="730"/>
      <c r="GA37" s="730"/>
      <c r="GB37" s="730"/>
      <c r="GC37" s="730"/>
      <c r="GD37" s="730"/>
      <c r="GE37" s="730"/>
      <c r="GF37" s="730"/>
      <c r="GG37" s="730"/>
      <c r="GH37" s="730"/>
      <c r="GI37" s="730"/>
      <c r="GJ37" s="730"/>
      <c r="GK37" s="730"/>
      <c r="GL37" s="730"/>
      <c r="GM37" s="730"/>
      <c r="GN37" s="730"/>
      <c r="GO37" s="730"/>
      <c r="GP37" s="730"/>
      <c r="GQ37" s="730"/>
      <c r="GR37" s="730"/>
      <c r="GS37" s="730"/>
      <c r="GT37" s="730"/>
      <c r="GU37" s="730"/>
      <c r="GV37" s="730"/>
      <c r="GW37" s="730"/>
      <c r="GX37" s="730"/>
      <c r="GY37" s="730"/>
      <c r="GZ37" s="730"/>
      <c r="HA37" s="730"/>
      <c r="HB37" s="730"/>
      <c r="HC37" s="730"/>
      <c r="HD37" s="730"/>
      <c r="HE37" s="730"/>
      <c r="HF37" s="730"/>
      <c r="HG37" s="730"/>
      <c r="HH37" s="730"/>
      <c r="HI37" s="730"/>
      <c r="HJ37" s="730"/>
      <c r="HK37" s="730"/>
      <c r="HL37" s="730"/>
      <c r="HM37" s="730"/>
      <c r="HN37" s="730"/>
      <c r="HO37" s="730"/>
      <c r="HP37" s="730"/>
      <c r="HQ37" s="730"/>
      <c r="HR37" s="730"/>
      <c r="HS37" s="730"/>
      <c r="HT37" s="730"/>
      <c r="HU37" s="730"/>
      <c r="HV37" s="730"/>
      <c r="HW37" s="730"/>
      <c r="HX37" s="730"/>
      <c r="HY37" s="730"/>
      <c r="HZ37" s="730"/>
      <c r="IA37" s="730"/>
      <c r="IB37" s="730"/>
      <c r="IC37" s="730"/>
      <c r="ID37" s="730"/>
      <c r="IE37" s="730"/>
      <c r="IF37" s="730"/>
      <c r="IG37" s="730"/>
      <c r="IH37" s="730"/>
      <c r="II37" s="730"/>
      <c r="IJ37" s="730"/>
      <c r="IK37" s="730"/>
      <c r="IL37" s="730"/>
      <c r="IM37" s="730"/>
      <c r="IN37" s="730"/>
      <c r="IO37" s="730"/>
      <c r="IP37" s="730"/>
      <c r="IQ37" s="730"/>
      <c r="IR37" s="730"/>
      <c r="IS37" s="730"/>
      <c r="IT37" s="730"/>
      <c r="IU37" s="730"/>
      <c r="IV37" s="730"/>
    </row>
    <row r="38" spans="1:256" s="730" customFormat="1">
      <c r="A38" s="1213">
        <f ca="1">$Q$30 *(1)</f>
        <v>72</v>
      </c>
      <c r="B38" s="730" t="s">
        <v>141</v>
      </c>
      <c r="D38" s="730" t="s">
        <v>1039</v>
      </c>
      <c r="F38" s="730" t="s">
        <v>1307</v>
      </c>
      <c r="G38" s="731" t="s">
        <v>1040</v>
      </c>
      <c r="H38" s="732">
        <v>900</v>
      </c>
      <c r="I38" s="730" t="s">
        <v>686</v>
      </c>
      <c r="K38" s="730" t="s">
        <v>7</v>
      </c>
      <c r="O38" s="733">
        <v>1</v>
      </c>
      <c r="P38" s="734"/>
      <c r="Q38" s="1201"/>
      <c r="R38" s="736">
        <f t="shared" ca="1" si="2"/>
        <v>0</v>
      </c>
      <c r="S38" s="735">
        <f>1.1 *(0.5)</f>
        <v>0.55000000000000004</v>
      </c>
      <c r="T38" s="737">
        <f t="shared" ca="1" si="3"/>
        <v>39.6</v>
      </c>
      <c r="U38" s="730" t="s">
        <v>913</v>
      </c>
    </row>
    <row r="39" spans="1:256" s="602" customFormat="1" ht="12" customHeight="1">
      <c r="A39" s="663"/>
      <c r="B39" s="3"/>
      <c r="C39" s="663" t="s">
        <v>183</v>
      </c>
      <c r="D39" s="3"/>
      <c r="E39" s="663"/>
      <c r="F39" s="664"/>
      <c r="G39" s="663"/>
      <c r="H39" s="663"/>
      <c r="I39" s="601"/>
      <c r="J39" s="663"/>
      <c r="K39" s="663"/>
      <c r="L39" s="663"/>
      <c r="M39" s="663"/>
      <c r="N39" s="663"/>
      <c r="O39" s="663"/>
      <c r="P39" s="663"/>
      <c r="Q39" s="601"/>
      <c r="R39" s="814">
        <f t="shared" si="2"/>
        <v>0</v>
      </c>
      <c r="S39" s="601"/>
      <c r="T39" s="681">
        <f t="shared" si="3"/>
        <v>0</v>
      </c>
    </row>
    <row r="40" spans="1:256" s="602" customFormat="1" ht="12.6" thickBot="1">
      <c r="A40" s="682" t="s">
        <v>145</v>
      </c>
      <c r="B40" s="683">
        <f>(R39+T39)</f>
        <v>0</v>
      </c>
      <c r="C40" s="684"/>
      <c r="D40" s="834" t="s">
        <v>184</v>
      </c>
      <c r="E40" s="545">
        <f ca="1">IF($B30=0,0,ROUND(ROUND(($R40*$S$2+($T40*$T$2))/$B30, 2)*$C$2,2))</f>
        <v>234.64</v>
      </c>
      <c r="F40" s="546">
        <f ca="1">ROUND($B30*$E40,2)</f>
        <v>16894.080000000002</v>
      </c>
      <c r="G40" s="684"/>
      <c r="H40" s="684"/>
      <c r="I40" s="686"/>
      <c r="J40" s="684"/>
      <c r="K40" s="835" t="s">
        <v>143</v>
      </c>
      <c r="L40" s="687" t="s">
        <v>143</v>
      </c>
      <c r="M40" s="687"/>
      <c r="N40" s="687"/>
      <c r="O40" s="687"/>
      <c r="P40" s="687"/>
      <c r="Q40" s="835"/>
      <c r="R40" s="836">
        <f ca="1">SUM(R31:R39)</f>
        <v>4369.5737704918038</v>
      </c>
      <c r="S40" s="837"/>
      <c r="T40" s="836">
        <f ca="1">SUM(T31:T39)</f>
        <v>308.88000000000011</v>
      </c>
      <c r="U40" s="611"/>
      <c r="V40" s="611"/>
      <c r="W40" s="611"/>
      <c r="X40" s="611"/>
      <c r="Y40" s="611"/>
      <c r="Z40" s="611"/>
      <c r="AA40" s="611"/>
      <c r="AB40" s="611"/>
    </row>
    <row r="41" spans="1:256" s="602" customFormat="1" ht="12" customHeight="1" thickTop="1">
      <c r="A41" s="63"/>
      <c r="B41" s="63"/>
      <c r="C41" s="63"/>
      <c r="D41" s="63"/>
      <c r="E41" s="63"/>
      <c r="F41" s="63"/>
      <c r="G41" s="63"/>
      <c r="H41" s="63"/>
      <c r="I41" s="63"/>
      <c r="J41" s="63"/>
      <c r="K41" s="63"/>
      <c r="L41" s="63"/>
      <c r="M41" s="63"/>
      <c r="N41" s="63"/>
      <c r="O41" s="64"/>
      <c r="P41" s="63"/>
      <c r="Q41" s="42" t="s">
        <v>180</v>
      </c>
      <c r="R41" s="63"/>
      <c r="S41" s="13"/>
      <c r="T41" s="63"/>
    </row>
    <row r="42" spans="1:256" s="602" customFormat="1" ht="12.6" thickBot="1">
      <c r="A42" s="824">
        <v>1</v>
      </c>
      <c r="B42" s="825">
        <f ca="1">Elec_Est!B1041</f>
        <v>80</v>
      </c>
      <c r="C42" s="826"/>
      <c r="D42" s="827" t="s">
        <v>1310</v>
      </c>
      <c r="E42" s="828"/>
      <c r="F42" s="828"/>
      <c r="G42" s="676"/>
      <c r="H42" s="676"/>
      <c r="I42" s="829"/>
      <c r="J42" s="676"/>
      <c r="K42" s="826" t="s">
        <v>181</v>
      </c>
      <c r="L42" s="830" t="s">
        <v>181</v>
      </c>
      <c r="M42" s="830"/>
      <c r="N42" s="830"/>
      <c r="O42" s="830"/>
      <c r="P42" s="830"/>
      <c r="Q42" s="831">
        <f ca="1">B42/A42</f>
        <v>80</v>
      </c>
      <c r="R42" s="832">
        <f ca="1">IF($B42=0,0,IF($S$1="R",ROUND(R52/$B42,2),R52/$B42))</f>
        <v>120.91</v>
      </c>
      <c r="S42" s="833"/>
      <c r="T42" s="832">
        <f ca="1">IF($B42=0,0,IF($S$1="R",ROUND(T52/$B42,2),T52/$B42))</f>
        <v>8.07</v>
      </c>
    </row>
    <row r="43" spans="1:256" s="602" customFormat="1" ht="13.8" thickTop="1">
      <c r="A43" s="672"/>
      <c r="B43" s="3"/>
      <c r="C43" s="3"/>
      <c r="D43" s="157" t="s">
        <v>1311</v>
      </c>
      <c r="E43" s="3"/>
      <c r="F43" s="3"/>
      <c r="G43" s="3"/>
      <c r="H43" s="3"/>
      <c r="I43" s="3"/>
      <c r="J43" s="3"/>
      <c r="K43" s="3"/>
      <c r="L43" s="3"/>
      <c r="M43" s="3"/>
      <c r="N43" s="3"/>
      <c r="O43" s="158"/>
      <c r="P43" s="3"/>
      <c r="Q43" s="3"/>
      <c r="R43" s="3"/>
      <c r="S43" s="3"/>
      <c r="T43" s="3"/>
    </row>
    <row r="44" spans="1:256" s="730" customFormat="1">
      <c r="A44" s="840">
        <f ca="1">$Q$42 *(26)</f>
        <v>2080</v>
      </c>
      <c r="B44" s="730" t="s">
        <v>326</v>
      </c>
      <c r="D44" s="730" t="s">
        <v>763</v>
      </c>
      <c r="G44" s="731" t="s">
        <v>764</v>
      </c>
      <c r="H44" s="732">
        <v>690</v>
      </c>
      <c r="I44" s="730" t="s">
        <v>765</v>
      </c>
      <c r="J44" s="730" t="s">
        <v>766</v>
      </c>
      <c r="K44" s="735" t="s">
        <v>7</v>
      </c>
      <c r="O44" s="733">
        <v>1</v>
      </c>
      <c r="P44" s="734">
        <v>34669</v>
      </c>
      <c r="Q44" s="1210">
        <v>3.66</v>
      </c>
      <c r="R44" s="736">
        <f t="shared" ref="R44:R51" ca="1" si="4">$A44*Q44</f>
        <v>7612.8</v>
      </c>
      <c r="S44" s="735">
        <f>1.1 *(0.2)</f>
        <v>0.22000000000000003</v>
      </c>
      <c r="T44" s="737">
        <f t="shared" ref="T44:T51" ca="1" si="5">$A44*S44*$T$1</f>
        <v>457.60000000000008</v>
      </c>
    </row>
    <row r="45" spans="1:256" s="713" customFormat="1">
      <c r="A45" s="1211">
        <f ca="1">$Q$42 *(26)</f>
        <v>2080</v>
      </c>
      <c r="B45" s="730" t="s">
        <v>326</v>
      </c>
      <c r="C45" s="730"/>
      <c r="D45" s="730" t="s">
        <v>1301</v>
      </c>
      <c r="E45" s="730"/>
      <c r="F45" s="1212"/>
      <c r="G45" s="731" t="s">
        <v>1302</v>
      </c>
      <c r="H45" s="732">
        <v>617</v>
      </c>
      <c r="I45" s="730" t="s">
        <v>1303</v>
      </c>
      <c r="J45" s="730" t="s">
        <v>1304</v>
      </c>
      <c r="K45" s="735" t="s">
        <v>7</v>
      </c>
      <c r="L45" s="730"/>
      <c r="M45" s="730"/>
      <c r="N45" s="730"/>
      <c r="O45" s="733">
        <v>2</v>
      </c>
      <c r="P45" s="734"/>
      <c r="Q45" s="735">
        <f>0.62*1.25</f>
        <v>0.77500000000000002</v>
      </c>
      <c r="R45" s="736">
        <f t="shared" ca="1" si="4"/>
        <v>1612</v>
      </c>
      <c r="S45" s="735">
        <f>1.1 *(0.05)</f>
        <v>5.5000000000000007E-2</v>
      </c>
      <c r="T45" s="737">
        <f t="shared" ca="1" si="5"/>
        <v>114.40000000000002</v>
      </c>
      <c r="U45" s="730"/>
      <c r="V45" s="730"/>
      <c r="W45" s="730"/>
      <c r="X45" s="730"/>
      <c r="Y45" s="730"/>
      <c r="Z45" s="730"/>
      <c r="AA45" s="730"/>
      <c r="AB45" s="730"/>
      <c r="AC45" s="730"/>
      <c r="AD45" s="730"/>
      <c r="AE45" s="730"/>
      <c r="AF45" s="730"/>
      <c r="AG45" s="730"/>
      <c r="AH45" s="730"/>
      <c r="AI45" s="730"/>
      <c r="AJ45" s="730"/>
      <c r="AK45" s="730"/>
      <c r="AL45" s="730"/>
      <c r="AM45" s="730"/>
      <c r="AN45" s="730"/>
      <c r="AO45" s="730"/>
      <c r="AP45" s="730"/>
      <c r="AQ45" s="730"/>
      <c r="AR45" s="730"/>
      <c r="AS45" s="730"/>
      <c r="AT45" s="730"/>
      <c r="AU45" s="730"/>
      <c r="AV45" s="730"/>
      <c r="AW45" s="730"/>
      <c r="AX45" s="730"/>
      <c r="AY45" s="730"/>
      <c r="AZ45" s="730"/>
      <c r="BA45" s="730"/>
      <c r="BB45" s="730"/>
      <c r="BC45" s="730"/>
      <c r="BD45" s="730"/>
      <c r="BE45" s="730"/>
      <c r="BF45" s="730"/>
      <c r="BG45" s="730"/>
      <c r="BH45" s="730"/>
      <c r="BI45" s="730"/>
      <c r="BJ45" s="730"/>
      <c r="BK45" s="730"/>
      <c r="BL45" s="730"/>
      <c r="BM45" s="730"/>
      <c r="BN45" s="730"/>
      <c r="BO45" s="730"/>
      <c r="BP45" s="730"/>
      <c r="BQ45" s="730"/>
      <c r="BR45" s="730"/>
      <c r="BS45" s="730"/>
      <c r="BT45" s="730"/>
      <c r="BU45" s="730"/>
      <c r="BV45" s="730"/>
      <c r="BW45" s="730"/>
      <c r="BX45" s="730"/>
      <c r="BY45" s="730"/>
      <c r="BZ45" s="730"/>
      <c r="CA45" s="730"/>
      <c r="CB45" s="730"/>
      <c r="CC45" s="730"/>
      <c r="CD45" s="730"/>
      <c r="CE45" s="730"/>
      <c r="CF45" s="730"/>
      <c r="CG45" s="730"/>
      <c r="CH45" s="730"/>
      <c r="CI45" s="730"/>
      <c r="CJ45" s="730"/>
      <c r="CK45" s="730"/>
      <c r="CL45" s="730"/>
      <c r="CM45" s="730"/>
      <c r="CN45" s="730"/>
      <c r="CO45" s="730"/>
      <c r="CP45" s="730"/>
      <c r="CQ45" s="730"/>
      <c r="CR45" s="730"/>
      <c r="CS45" s="730"/>
      <c r="CT45" s="730"/>
      <c r="CU45" s="730"/>
      <c r="CV45" s="730"/>
      <c r="CW45" s="730"/>
      <c r="CX45" s="730"/>
      <c r="CY45" s="730"/>
      <c r="CZ45" s="730"/>
      <c r="DA45" s="730"/>
      <c r="DB45" s="730"/>
      <c r="DC45" s="730"/>
      <c r="DD45" s="730"/>
      <c r="DE45" s="730"/>
      <c r="DF45" s="730"/>
      <c r="DG45" s="730"/>
      <c r="DH45" s="730"/>
      <c r="DI45" s="730"/>
      <c r="DJ45" s="730"/>
      <c r="DK45" s="730"/>
      <c r="DL45" s="730"/>
      <c r="DM45" s="730"/>
      <c r="DN45" s="730"/>
      <c r="DO45" s="730"/>
      <c r="DP45" s="730"/>
      <c r="DQ45" s="730"/>
      <c r="DR45" s="730"/>
      <c r="DS45" s="730"/>
      <c r="DT45" s="730"/>
      <c r="DU45" s="730"/>
      <c r="DV45" s="730"/>
      <c r="DW45" s="730"/>
      <c r="DX45" s="730"/>
      <c r="DY45" s="730"/>
      <c r="DZ45" s="730"/>
      <c r="EA45" s="730"/>
      <c r="EB45" s="730"/>
      <c r="EC45" s="730"/>
      <c r="ED45" s="730"/>
      <c r="EE45" s="730"/>
      <c r="EF45" s="730"/>
      <c r="EG45" s="730"/>
      <c r="EH45" s="730"/>
      <c r="EI45" s="730"/>
      <c r="EJ45" s="730"/>
      <c r="EK45" s="730"/>
      <c r="EL45" s="730"/>
      <c r="EM45" s="730"/>
      <c r="EN45" s="730"/>
      <c r="EO45" s="730"/>
      <c r="EP45" s="730"/>
      <c r="EQ45" s="730"/>
      <c r="ER45" s="730"/>
      <c r="ES45" s="730"/>
      <c r="ET45" s="730"/>
      <c r="EU45" s="730"/>
      <c r="EV45" s="730"/>
      <c r="EW45" s="730"/>
      <c r="EX45" s="730"/>
      <c r="EY45" s="730"/>
      <c r="EZ45" s="730"/>
      <c r="FA45" s="730"/>
      <c r="FB45" s="730"/>
      <c r="FC45" s="730"/>
      <c r="FD45" s="730"/>
      <c r="FE45" s="730"/>
      <c r="FF45" s="730"/>
      <c r="FG45" s="730"/>
      <c r="FH45" s="730"/>
      <c r="FI45" s="730"/>
      <c r="FJ45" s="730"/>
      <c r="FK45" s="730"/>
      <c r="FL45" s="730"/>
      <c r="FM45" s="730"/>
      <c r="FN45" s="730"/>
      <c r="FO45" s="730"/>
      <c r="FP45" s="730"/>
      <c r="FQ45" s="730"/>
      <c r="FR45" s="730"/>
      <c r="FS45" s="730"/>
      <c r="FT45" s="730"/>
      <c r="FU45" s="730"/>
      <c r="FV45" s="730"/>
      <c r="FW45" s="730"/>
      <c r="FX45" s="730"/>
      <c r="FY45" s="730"/>
      <c r="FZ45" s="730"/>
      <c r="GA45" s="730"/>
      <c r="GB45" s="730"/>
      <c r="GC45" s="730"/>
      <c r="GD45" s="730"/>
      <c r="GE45" s="730"/>
      <c r="GF45" s="730"/>
      <c r="GG45" s="730"/>
      <c r="GH45" s="730"/>
      <c r="GI45" s="730"/>
      <c r="GJ45" s="730"/>
      <c r="GK45" s="730"/>
      <c r="GL45" s="730"/>
      <c r="GM45" s="730"/>
      <c r="GN45" s="730"/>
      <c r="GO45" s="730"/>
      <c r="GP45" s="730"/>
      <c r="GQ45" s="730"/>
      <c r="GR45" s="730"/>
      <c r="GS45" s="730"/>
      <c r="GT45" s="730"/>
      <c r="GU45" s="730"/>
      <c r="GV45" s="730"/>
      <c r="GW45" s="730"/>
      <c r="GX45" s="730"/>
      <c r="GY45" s="730"/>
      <c r="GZ45" s="730"/>
      <c r="HA45" s="730"/>
      <c r="HB45" s="730"/>
      <c r="HC45" s="730"/>
      <c r="HD45" s="730"/>
      <c r="HE45" s="730"/>
      <c r="HF45" s="730"/>
      <c r="HG45" s="730"/>
      <c r="HH45" s="730"/>
      <c r="HI45" s="730"/>
      <c r="HJ45" s="730"/>
      <c r="HK45" s="730"/>
      <c r="HL45" s="730"/>
      <c r="HM45" s="730"/>
      <c r="HN45" s="730"/>
      <c r="HO45" s="730"/>
      <c r="HP45" s="730"/>
      <c r="HQ45" s="730"/>
      <c r="HR45" s="730"/>
      <c r="HS45" s="730"/>
      <c r="HT45" s="730"/>
      <c r="HU45" s="730"/>
      <c r="HV45" s="730"/>
      <c r="HW45" s="730"/>
      <c r="HX45" s="730"/>
      <c r="HY45" s="730"/>
      <c r="HZ45" s="730"/>
      <c r="IA45" s="730"/>
      <c r="IB45" s="730"/>
      <c r="IC45" s="730"/>
      <c r="ID45" s="730"/>
      <c r="IE45" s="730"/>
      <c r="IF45" s="730"/>
      <c r="IG45" s="730"/>
      <c r="IH45" s="730"/>
      <c r="II45" s="730"/>
      <c r="IJ45" s="730"/>
      <c r="IK45" s="730"/>
      <c r="IL45" s="730"/>
      <c r="IM45" s="730"/>
      <c r="IN45" s="730"/>
      <c r="IO45" s="730"/>
      <c r="IP45" s="730"/>
      <c r="IQ45" s="730"/>
      <c r="IR45" s="730"/>
      <c r="IS45" s="730"/>
      <c r="IT45" s="730"/>
      <c r="IU45" s="730"/>
      <c r="IV45" s="730"/>
    </row>
    <row r="46" spans="1:256" s="602" customFormat="1">
      <c r="A46" s="1211">
        <f ca="1">$Q$42 *(30)</f>
        <v>2400</v>
      </c>
      <c r="B46" s="730" t="s">
        <v>141</v>
      </c>
      <c r="C46" s="730"/>
      <c r="D46" s="730" t="s">
        <v>815</v>
      </c>
      <c r="E46" s="730"/>
      <c r="F46" s="730"/>
      <c r="G46" s="731" t="s">
        <v>816</v>
      </c>
      <c r="H46" s="732">
        <v>875</v>
      </c>
      <c r="I46" s="730" t="s">
        <v>674</v>
      </c>
      <c r="J46" s="730"/>
      <c r="K46" s="735" t="s">
        <v>7</v>
      </c>
      <c r="L46" s="730"/>
      <c r="M46" s="730"/>
      <c r="N46" s="730"/>
      <c r="O46" s="733">
        <v>1</v>
      </c>
      <c r="P46" s="734">
        <v>34669</v>
      </c>
      <c r="Q46" s="1210">
        <v>0.05</v>
      </c>
      <c r="R46" s="736">
        <f t="shared" ca="1" si="4"/>
        <v>120</v>
      </c>
      <c r="S46" s="735"/>
      <c r="T46" s="737">
        <f t="shared" ca="1" si="5"/>
        <v>0</v>
      </c>
      <c r="U46" s="730"/>
      <c r="V46" s="730"/>
      <c r="W46" s="730"/>
      <c r="X46" s="730"/>
      <c r="Y46" s="730"/>
      <c r="Z46" s="730"/>
      <c r="AA46" s="730"/>
      <c r="AB46" s="730"/>
      <c r="AC46" s="730"/>
      <c r="AD46" s="730"/>
      <c r="AE46" s="730"/>
      <c r="AF46" s="730"/>
      <c r="AG46" s="730"/>
      <c r="AH46" s="730"/>
      <c r="AI46" s="730"/>
      <c r="AJ46" s="730"/>
      <c r="AK46" s="730"/>
      <c r="AL46" s="730"/>
      <c r="AM46" s="730"/>
      <c r="AN46" s="730"/>
      <c r="AO46" s="730"/>
      <c r="AP46" s="730"/>
      <c r="AQ46" s="730"/>
      <c r="AR46" s="730"/>
      <c r="AS46" s="730"/>
      <c r="AT46" s="730"/>
      <c r="AU46" s="730"/>
      <c r="AV46" s="730"/>
      <c r="AW46" s="730"/>
      <c r="AX46" s="730"/>
      <c r="AY46" s="730"/>
      <c r="AZ46" s="730"/>
      <c r="BA46" s="730"/>
      <c r="BB46" s="730"/>
      <c r="BC46" s="730"/>
      <c r="BD46" s="730"/>
      <c r="BE46" s="730"/>
      <c r="BF46" s="730"/>
      <c r="BG46" s="730"/>
      <c r="BH46" s="730"/>
      <c r="BI46" s="730"/>
      <c r="BJ46" s="730"/>
      <c r="BK46" s="730"/>
      <c r="BL46" s="730"/>
      <c r="BM46" s="730"/>
      <c r="BN46" s="730"/>
      <c r="BO46" s="730"/>
      <c r="BP46" s="730"/>
      <c r="BQ46" s="730"/>
      <c r="BR46" s="730"/>
      <c r="BS46" s="730"/>
      <c r="BT46" s="730"/>
      <c r="BU46" s="730"/>
      <c r="BV46" s="730"/>
      <c r="BW46" s="730"/>
      <c r="BX46" s="730"/>
      <c r="BY46" s="730"/>
      <c r="BZ46" s="730"/>
      <c r="CA46" s="730"/>
      <c r="CB46" s="730"/>
      <c r="CC46" s="730"/>
      <c r="CD46" s="730"/>
      <c r="CE46" s="730"/>
      <c r="CF46" s="730"/>
      <c r="CG46" s="730"/>
      <c r="CH46" s="730"/>
      <c r="CI46" s="730"/>
      <c r="CJ46" s="730"/>
      <c r="CK46" s="730"/>
      <c r="CL46" s="730"/>
      <c r="CM46" s="730"/>
      <c r="CN46" s="730"/>
      <c r="CO46" s="730"/>
      <c r="CP46" s="730"/>
      <c r="CQ46" s="730"/>
      <c r="CR46" s="730"/>
      <c r="CS46" s="730"/>
      <c r="CT46" s="730"/>
      <c r="CU46" s="730"/>
      <c r="CV46" s="730"/>
      <c r="CW46" s="730"/>
      <c r="CX46" s="730"/>
      <c r="CY46" s="730"/>
      <c r="CZ46" s="730"/>
      <c r="DA46" s="730"/>
      <c r="DB46" s="730"/>
      <c r="DC46" s="730"/>
      <c r="DD46" s="730"/>
      <c r="DE46" s="730"/>
      <c r="DF46" s="730"/>
      <c r="DG46" s="730"/>
      <c r="DH46" s="730"/>
      <c r="DI46" s="730"/>
      <c r="DJ46" s="730"/>
      <c r="DK46" s="730"/>
      <c r="DL46" s="730"/>
      <c r="DM46" s="730"/>
      <c r="DN46" s="730"/>
      <c r="DO46" s="730"/>
      <c r="DP46" s="730"/>
      <c r="DQ46" s="730"/>
      <c r="DR46" s="730"/>
      <c r="DS46" s="730"/>
      <c r="DT46" s="730"/>
      <c r="DU46" s="730"/>
      <c r="DV46" s="730"/>
      <c r="DW46" s="730"/>
      <c r="DX46" s="730"/>
      <c r="DY46" s="730"/>
      <c r="DZ46" s="730"/>
      <c r="EA46" s="730"/>
      <c r="EB46" s="730"/>
      <c r="EC46" s="730"/>
      <c r="ED46" s="730"/>
      <c r="EE46" s="730"/>
      <c r="EF46" s="730"/>
      <c r="EG46" s="730"/>
      <c r="EH46" s="730"/>
      <c r="EI46" s="730"/>
      <c r="EJ46" s="730"/>
      <c r="EK46" s="730"/>
      <c r="EL46" s="730"/>
      <c r="EM46" s="730"/>
      <c r="EN46" s="730"/>
      <c r="EO46" s="730"/>
      <c r="EP46" s="730"/>
      <c r="EQ46" s="730"/>
      <c r="ER46" s="730"/>
      <c r="ES46" s="730"/>
      <c r="ET46" s="730"/>
      <c r="EU46" s="730"/>
      <c r="EV46" s="730"/>
      <c r="EW46" s="730"/>
      <c r="EX46" s="730"/>
      <c r="EY46" s="730"/>
      <c r="EZ46" s="730"/>
      <c r="FA46" s="730"/>
      <c r="FB46" s="730"/>
      <c r="FC46" s="730"/>
      <c r="FD46" s="730"/>
      <c r="FE46" s="730"/>
      <c r="FF46" s="730"/>
      <c r="FG46" s="730"/>
      <c r="FH46" s="730"/>
      <c r="FI46" s="730"/>
      <c r="FJ46" s="730"/>
      <c r="FK46" s="730"/>
      <c r="FL46" s="730"/>
      <c r="FM46" s="730"/>
      <c r="FN46" s="730"/>
      <c r="FO46" s="730"/>
      <c r="FP46" s="730"/>
      <c r="FQ46" s="730"/>
      <c r="FR46" s="730"/>
      <c r="FS46" s="730"/>
      <c r="FT46" s="730"/>
      <c r="FU46" s="730"/>
      <c r="FV46" s="730"/>
      <c r="FW46" s="730"/>
      <c r="FX46" s="730"/>
      <c r="FY46" s="730"/>
      <c r="FZ46" s="730"/>
      <c r="GA46" s="730"/>
      <c r="GB46" s="730"/>
      <c r="GC46" s="730"/>
      <c r="GD46" s="730"/>
      <c r="GE46" s="730"/>
      <c r="GF46" s="730"/>
      <c r="GG46" s="730"/>
      <c r="GH46" s="730"/>
      <c r="GI46" s="730"/>
      <c r="GJ46" s="730"/>
      <c r="GK46" s="730"/>
      <c r="GL46" s="730"/>
      <c r="GM46" s="730"/>
      <c r="GN46" s="730"/>
      <c r="GO46" s="730"/>
      <c r="GP46" s="730"/>
      <c r="GQ46" s="730"/>
      <c r="GR46" s="730"/>
      <c r="GS46" s="730"/>
      <c r="GT46" s="730"/>
      <c r="GU46" s="730"/>
      <c r="GV46" s="730"/>
      <c r="GW46" s="730"/>
      <c r="GX46" s="730"/>
      <c r="GY46" s="730"/>
      <c r="GZ46" s="730"/>
      <c r="HA46" s="730"/>
      <c r="HB46" s="730"/>
      <c r="HC46" s="730"/>
      <c r="HD46" s="730"/>
      <c r="HE46" s="730"/>
      <c r="HF46" s="730"/>
      <c r="HG46" s="730"/>
      <c r="HH46" s="730"/>
      <c r="HI46" s="730"/>
      <c r="HJ46" s="730"/>
      <c r="HK46" s="730"/>
      <c r="HL46" s="730"/>
      <c r="HM46" s="730"/>
      <c r="HN46" s="730"/>
      <c r="HO46" s="730"/>
      <c r="HP46" s="730"/>
      <c r="HQ46" s="730"/>
      <c r="HR46" s="730"/>
      <c r="HS46" s="730"/>
      <c r="HT46" s="730"/>
      <c r="HU46" s="730"/>
      <c r="HV46" s="730"/>
      <c r="HW46" s="730"/>
      <c r="HX46" s="730"/>
      <c r="HY46" s="730"/>
      <c r="HZ46" s="730"/>
      <c r="IA46" s="730"/>
      <c r="IB46" s="730"/>
      <c r="IC46" s="730"/>
      <c r="ID46" s="730"/>
      <c r="IE46" s="730"/>
      <c r="IF46" s="730"/>
      <c r="IG46" s="730"/>
      <c r="IH46" s="730"/>
      <c r="II46" s="730"/>
      <c r="IJ46" s="730"/>
      <c r="IK46" s="730"/>
      <c r="IL46" s="730"/>
      <c r="IM46" s="730"/>
      <c r="IN46" s="730"/>
      <c r="IO46" s="730"/>
      <c r="IP46" s="730"/>
      <c r="IQ46" s="730"/>
      <c r="IR46" s="730"/>
      <c r="IS46" s="730"/>
      <c r="IT46" s="730"/>
      <c r="IU46" s="730"/>
      <c r="IV46" s="730"/>
    </row>
    <row r="47" spans="1:256" s="602" customFormat="1">
      <c r="A47" s="844">
        <f ca="1">$Q$42 *(2)</f>
        <v>160</v>
      </c>
      <c r="B47" s="730" t="s">
        <v>141</v>
      </c>
      <c r="C47" s="730"/>
      <c r="D47" s="730" t="s">
        <v>1305</v>
      </c>
      <c r="E47" s="730"/>
      <c r="F47" s="730"/>
      <c r="G47" s="731" t="s">
        <v>1306</v>
      </c>
      <c r="H47" s="732">
        <v>620</v>
      </c>
      <c r="I47" s="730" t="s">
        <v>674</v>
      </c>
      <c r="J47" s="730"/>
      <c r="K47" s="735" t="s">
        <v>7</v>
      </c>
      <c r="L47" s="730"/>
      <c r="M47" s="730"/>
      <c r="N47" s="730"/>
      <c r="O47" s="733">
        <v>2</v>
      </c>
      <c r="P47" s="734">
        <v>38148</v>
      </c>
      <c r="Q47" s="735">
        <f>1.1*1.5</f>
        <v>1.6500000000000001</v>
      </c>
      <c r="R47" s="736">
        <f t="shared" ca="1" si="4"/>
        <v>264</v>
      </c>
      <c r="S47" s="735">
        <f>1.1 *(0.1)</f>
        <v>0.11000000000000001</v>
      </c>
      <c r="T47" s="737">
        <f t="shared" ca="1" si="5"/>
        <v>17.600000000000001</v>
      </c>
      <c r="U47" s="730"/>
      <c r="V47" s="730"/>
      <c r="W47" s="730"/>
      <c r="X47" s="730"/>
      <c r="Y47" s="730"/>
      <c r="Z47" s="730"/>
      <c r="AA47" s="730"/>
      <c r="AB47" s="730"/>
      <c r="AC47" s="730"/>
      <c r="AD47" s="730"/>
      <c r="AE47" s="730"/>
      <c r="AF47" s="730"/>
      <c r="AG47" s="730"/>
      <c r="AH47" s="730"/>
      <c r="AI47" s="730"/>
      <c r="AJ47" s="730"/>
      <c r="AK47" s="730"/>
      <c r="AL47" s="730"/>
      <c r="AM47" s="730"/>
      <c r="AN47" s="730"/>
      <c r="AO47" s="730"/>
      <c r="AP47" s="730"/>
      <c r="AQ47" s="730"/>
      <c r="AR47" s="730"/>
      <c r="AS47" s="730"/>
      <c r="AT47" s="730"/>
      <c r="AU47" s="730"/>
      <c r="AV47" s="730"/>
      <c r="AW47" s="730"/>
      <c r="AX47" s="730"/>
      <c r="AY47" s="730"/>
      <c r="AZ47" s="730"/>
      <c r="BA47" s="730"/>
      <c r="BB47" s="730"/>
      <c r="BC47" s="730"/>
      <c r="BD47" s="730"/>
      <c r="BE47" s="730"/>
      <c r="BF47" s="730"/>
      <c r="BG47" s="730"/>
      <c r="BH47" s="730"/>
      <c r="BI47" s="730"/>
      <c r="BJ47" s="730"/>
      <c r="BK47" s="730"/>
      <c r="BL47" s="730"/>
      <c r="BM47" s="730"/>
      <c r="BN47" s="730"/>
      <c r="BO47" s="730"/>
      <c r="BP47" s="730"/>
      <c r="BQ47" s="730"/>
      <c r="BR47" s="730"/>
      <c r="BS47" s="730"/>
      <c r="BT47" s="730"/>
      <c r="BU47" s="730"/>
      <c r="BV47" s="730"/>
      <c r="BW47" s="730"/>
      <c r="BX47" s="730"/>
      <c r="BY47" s="730"/>
      <c r="BZ47" s="730"/>
      <c r="CA47" s="730"/>
      <c r="CB47" s="730"/>
      <c r="CC47" s="730"/>
      <c r="CD47" s="730"/>
      <c r="CE47" s="730"/>
      <c r="CF47" s="730"/>
      <c r="CG47" s="730"/>
      <c r="CH47" s="730"/>
      <c r="CI47" s="730"/>
      <c r="CJ47" s="730"/>
      <c r="CK47" s="730"/>
      <c r="CL47" s="730"/>
      <c r="CM47" s="730"/>
      <c r="CN47" s="730"/>
      <c r="CO47" s="730"/>
      <c r="CP47" s="730"/>
      <c r="CQ47" s="730"/>
      <c r="CR47" s="730"/>
      <c r="CS47" s="730"/>
      <c r="CT47" s="730"/>
      <c r="CU47" s="730"/>
      <c r="CV47" s="730"/>
      <c r="CW47" s="730"/>
      <c r="CX47" s="730"/>
      <c r="CY47" s="730"/>
      <c r="CZ47" s="730"/>
      <c r="DA47" s="730"/>
      <c r="DB47" s="730"/>
      <c r="DC47" s="730"/>
      <c r="DD47" s="730"/>
      <c r="DE47" s="730"/>
      <c r="DF47" s="730"/>
      <c r="DG47" s="730"/>
      <c r="DH47" s="730"/>
      <c r="DI47" s="730"/>
      <c r="DJ47" s="730"/>
      <c r="DK47" s="730"/>
      <c r="DL47" s="730"/>
      <c r="DM47" s="730"/>
      <c r="DN47" s="730"/>
      <c r="DO47" s="730"/>
      <c r="DP47" s="730"/>
      <c r="DQ47" s="730"/>
      <c r="DR47" s="730"/>
      <c r="DS47" s="730"/>
      <c r="DT47" s="730"/>
      <c r="DU47" s="730"/>
      <c r="DV47" s="730"/>
      <c r="DW47" s="730"/>
      <c r="DX47" s="730"/>
      <c r="DY47" s="730"/>
      <c r="DZ47" s="730"/>
      <c r="EA47" s="730"/>
      <c r="EB47" s="730"/>
      <c r="EC47" s="730"/>
      <c r="ED47" s="730"/>
      <c r="EE47" s="730"/>
      <c r="EF47" s="730"/>
      <c r="EG47" s="730"/>
      <c r="EH47" s="730"/>
      <c r="EI47" s="730"/>
      <c r="EJ47" s="730"/>
      <c r="EK47" s="730"/>
      <c r="EL47" s="730"/>
      <c r="EM47" s="730"/>
      <c r="EN47" s="730"/>
      <c r="EO47" s="730"/>
      <c r="EP47" s="730"/>
      <c r="EQ47" s="730"/>
      <c r="ER47" s="730"/>
      <c r="ES47" s="730"/>
      <c r="ET47" s="730"/>
      <c r="EU47" s="730"/>
      <c r="EV47" s="730"/>
      <c r="EW47" s="730"/>
      <c r="EX47" s="730"/>
      <c r="EY47" s="730"/>
      <c r="EZ47" s="730"/>
      <c r="FA47" s="730"/>
      <c r="FB47" s="730"/>
      <c r="FC47" s="730"/>
      <c r="FD47" s="730"/>
      <c r="FE47" s="730"/>
      <c r="FF47" s="730"/>
      <c r="FG47" s="730"/>
      <c r="FH47" s="730"/>
      <c r="FI47" s="730"/>
      <c r="FJ47" s="730"/>
      <c r="FK47" s="730"/>
      <c r="FL47" s="730"/>
      <c r="FM47" s="730"/>
      <c r="FN47" s="730"/>
      <c r="FO47" s="730"/>
      <c r="FP47" s="730"/>
      <c r="FQ47" s="730"/>
      <c r="FR47" s="730"/>
      <c r="FS47" s="730"/>
      <c r="FT47" s="730"/>
      <c r="FU47" s="730"/>
      <c r="FV47" s="730"/>
      <c r="FW47" s="730"/>
      <c r="FX47" s="730"/>
      <c r="FY47" s="730"/>
      <c r="FZ47" s="730"/>
      <c r="GA47" s="730"/>
      <c r="GB47" s="730"/>
      <c r="GC47" s="730"/>
      <c r="GD47" s="730"/>
      <c r="GE47" s="730"/>
      <c r="GF47" s="730"/>
      <c r="GG47" s="730"/>
      <c r="GH47" s="730"/>
      <c r="GI47" s="730"/>
      <c r="GJ47" s="730"/>
      <c r="GK47" s="730"/>
      <c r="GL47" s="730"/>
      <c r="GM47" s="730"/>
      <c r="GN47" s="730"/>
      <c r="GO47" s="730"/>
      <c r="GP47" s="730"/>
      <c r="GQ47" s="730"/>
      <c r="GR47" s="730"/>
      <c r="GS47" s="730"/>
      <c r="GT47" s="730"/>
      <c r="GU47" s="730"/>
      <c r="GV47" s="730"/>
      <c r="GW47" s="730"/>
      <c r="GX47" s="730"/>
      <c r="GY47" s="730"/>
      <c r="GZ47" s="730"/>
      <c r="HA47" s="730"/>
      <c r="HB47" s="730"/>
      <c r="HC47" s="730"/>
      <c r="HD47" s="730"/>
      <c r="HE47" s="730"/>
      <c r="HF47" s="730"/>
      <c r="HG47" s="730"/>
      <c r="HH47" s="730"/>
      <c r="HI47" s="730"/>
      <c r="HJ47" s="730"/>
      <c r="HK47" s="730"/>
      <c r="HL47" s="730"/>
      <c r="HM47" s="730"/>
      <c r="HN47" s="730"/>
      <c r="HO47" s="730"/>
      <c r="HP47" s="730"/>
      <c r="HQ47" s="730"/>
      <c r="HR47" s="730"/>
      <c r="HS47" s="730"/>
      <c r="HT47" s="730"/>
      <c r="HU47" s="730"/>
      <c r="HV47" s="730"/>
      <c r="HW47" s="730"/>
      <c r="HX47" s="730"/>
      <c r="HY47" s="730"/>
      <c r="HZ47" s="730"/>
      <c r="IA47" s="730"/>
      <c r="IB47" s="730"/>
      <c r="IC47" s="730"/>
      <c r="ID47" s="730"/>
      <c r="IE47" s="730"/>
      <c r="IF47" s="730"/>
      <c r="IG47" s="730"/>
      <c r="IH47" s="730"/>
      <c r="II47" s="730"/>
      <c r="IJ47" s="730"/>
      <c r="IK47" s="730"/>
      <c r="IL47" s="730"/>
      <c r="IM47" s="730"/>
      <c r="IN47" s="730"/>
      <c r="IO47" s="730"/>
      <c r="IP47" s="730"/>
      <c r="IQ47" s="730"/>
      <c r="IR47" s="730"/>
      <c r="IS47" s="730"/>
      <c r="IT47" s="730"/>
      <c r="IU47" s="730"/>
      <c r="IV47" s="730"/>
    </row>
    <row r="48" spans="1:256" s="602" customFormat="1">
      <c r="A48" s="844">
        <f ca="1">$Q$42 *(2)</f>
        <v>160</v>
      </c>
      <c r="B48" s="730" t="s">
        <v>141</v>
      </c>
      <c r="C48" s="730"/>
      <c r="D48" s="730" t="s">
        <v>1054</v>
      </c>
      <c r="E48" s="730"/>
      <c r="F48" s="730"/>
      <c r="G48" s="731" t="s">
        <v>1055</v>
      </c>
      <c r="H48" s="732">
        <v>620</v>
      </c>
      <c r="I48" s="730" t="s">
        <v>674</v>
      </c>
      <c r="J48" s="730"/>
      <c r="K48" s="735" t="s">
        <v>7</v>
      </c>
      <c r="L48" s="730"/>
      <c r="M48" s="730"/>
      <c r="N48" s="730"/>
      <c r="O48" s="733">
        <v>2</v>
      </c>
      <c r="P48" s="734"/>
      <c r="Q48" s="1210">
        <v>0.2</v>
      </c>
      <c r="R48" s="736">
        <f t="shared" ca="1" si="4"/>
        <v>32</v>
      </c>
      <c r="S48" s="735">
        <f>1.1 *(0.03)</f>
        <v>3.3000000000000002E-2</v>
      </c>
      <c r="T48" s="737">
        <f t="shared" ca="1" si="5"/>
        <v>5.28</v>
      </c>
      <c r="U48" s="730"/>
      <c r="V48" s="730"/>
      <c r="W48" s="730"/>
      <c r="X48" s="730"/>
      <c r="Y48" s="730"/>
      <c r="Z48" s="730"/>
      <c r="AA48" s="730"/>
      <c r="AB48" s="730"/>
      <c r="AC48" s="730"/>
      <c r="AD48" s="730"/>
      <c r="AE48" s="730"/>
      <c r="AF48" s="730"/>
      <c r="AG48" s="730"/>
      <c r="AH48" s="730"/>
      <c r="AI48" s="730"/>
      <c r="AJ48" s="730"/>
      <c r="AK48" s="730"/>
      <c r="AL48" s="730"/>
      <c r="AM48" s="730"/>
      <c r="AN48" s="730"/>
      <c r="AO48" s="730"/>
      <c r="AP48" s="730"/>
      <c r="AQ48" s="730"/>
      <c r="AR48" s="730"/>
      <c r="AS48" s="730"/>
      <c r="AT48" s="730"/>
      <c r="AU48" s="730"/>
      <c r="AV48" s="730"/>
      <c r="AW48" s="730"/>
      <c r="AX48" s="730"/>
      <c r="AY48" s="730"/>
      <c r="AZ48" s="730"/>
      <c r="BA48" s="730"/>
      <c r="BB48" s="730"/>
      <c r="BC48" s="730"/>
      <c r="BD48" s="730"/>
      <c r="BE48" s="730"/>
      <c r="BF48" s="730"/>
      <c r="BG48" s="730"/>
      <c r="BH48" s="730"/>
      <c r="BI48" s="730"/>
      <c r="BJ48" s="730"/>
      <c r="BK48" s="730"/>
      <c r="BL48" s="730"/>
      <c r="BM48" s="730"/>
      <c r="BN48" s="730"/>
      <c r="BO48" s="730"/>
      <c r="BP48" s="730"/>
      <c r="BQ48" s="730"/>
      <c r="BR48" s="730"/>
      <c r="BS48" s="730"/>
      <c r="BT48" s="730"/>
      <c r="BU48" s="730"/>
      <c r="BV48" s="730"/>
      <c r="BW48" s="730"/>
      <c r="BX48" s="730"/>
      <c r="BY48" s="730"/>
      <c r="BZ48" s="730"/>
      <c r="CA48" s="730"/>
      <c r="CB48" s="730"/>
      <c r="CC48" s="730"/>
      <c r="CD48" s="730"/>
      <c r="CE48" s="730"/>
      <c r="CF48" s="730"/>
      <c r="CG48" s="730"/>
      <c r="CH48" s="730"/>
      <c r="CI48" s="730"/>
      <c r="CJ48" s="730"/>
      <c r="CK48" s="730"/>
      <c r="CL48" s="730"/>
      <c r="CM48" s="730"/>
      <c r="CN48" s="730"/>
      <c r="CO48" s="730"/>
      <c r="CP48" s="730"/>
      <c r="CQ48" s="730"/>
      <c r="CR48" s="730"/>
      <c r="CS48" s="730"/>
      <c r="CT48" s="730"/>
      <c r="CU48" s="730"/>
      <c r="CV48" s="730"/>
      <c r="CW48" s="730"/>
      <c r="CX48" s="730"/>
      <c r="CY48" s="730"/>
      <c r="CZ48" s="730"/>
      <c r="DA48" s="730"/>
      <c r="DB48" s="730"/>
      <c r="DC48" s="730"/>
      <c r="DD48" s="730"/>
      <c r="DE48" s="730"/>
      <c r="DF48" s="730"/>
      <c r="DG48" s="730"/>
      <c r="DH48" s="730"/>
      <c r="DI48" s="730"/>
      <c r="DJ48" s="730"/>
      <c r="DK48" s="730"/>
      <c r="DL48" s="730"/>
      <c r="DM48" s="730"/>
      <c r="DN48" s="730"/>
      <c r="DO48" s="730"/>
      <c r="DP48" s="730"/>
      <c r="DQ48" s="730"/>
      <c r="DR48" s="730"/>
      <c r="DS48" s="730"/>
      <c r="DT48" s="730"/>
      <c r="DU48" s="730"/>
      <c r="DV48" s="730"/>
      <c r="DW48" s="730"/>
      <c r="DX48" s="730"/>
      <c r="DY48" s="730"/>
      <c r="DZ48" s="730"/>
      <c r="EA48" s="730"/>
      <c r="EB48" s="730"/>
      <c r="EC48" s="730"/>
      <c r="ED48" s="730"/>
      <c r="EE48" s="730"/>
      <c r="EF48" s="730"/>
      <c r="EG48" s="730"/>
      <c r="EH48" s="730"/>
      <c r="EI48" s="730"/>
      <c r="EJ48" s="730"/>
      <c r="EK48" s="730"/>
      <c r="EL48" s="730"/>
      <c r="EM48" s="730"/>
      <c r="EN48" s="730"/>
      <c r="EO48" s="730"/>
      <c r="EP48" s="730"/>
      <c r="EQ48" s="730"/>
      <c r="ER48" s="730"/>
      <c r="ES48" s="730"/>
      <c r="ET48" s="730"/>
      <c r="EU48" s="730"/>
      <c r="EV48" s="730"/>
      <c r="EW48" s="730"/>
      <c r="EX48" s="730"/>
      <c r="EY48" s="730"/>
      <c r="EZ48" s="730"/>
      <c r="FA48" s="730"/>
      <c r="FB48" s="730"/>
      <c r="FC48" s="730"/>
      <c r="FD48" s="730"/>
      <c r="FE48" s="730"/>
      <c r="FF48" s="730"/>
      <c r="FG48" s="730"/>
      <c r="FH48" s="730"/>
      <c r="FI48" s="730"/>
      <c r="FJ48" s="730"/>
      <c r="FK48" s="730"/>
      <c r="FL48" s="730"/>
      <c r="FM48" s="730"/>
      <c r="FN48" s="730"/>
      <c r="FO48" s="730"/>
      <c r="FP48" s="730"/>
      <c r="FQ48" s="730"/>
      <c r="FR48" s="730"/>
      <c r="FS48" s="730"/>
      <c r="FT48" s="730"/>
      <c r="FU48" s="730"/>
      <c r="FV48" s="730"/>
      <c r="FW48" s="730"/>
      <c r="FX48" s="730"/>
      <c r="FY48" s="730"/>
      <c r="FZ48" s="730"/>
      <c r="GA48" s="730"/>
      <c r="GB48" s="730"/>
      <c r="GC48" s="730"/>
      <c r="GD48" s="730"/>
      <c r="GE48" s="730"/>
      <c r="GF48" s="730"/>
      <c r="GG48" s="730"/>
      <c r="GH48" s="730"/>
      <c r="GI48" s="730"/>
      <c r="GJ48" s="730"/>
      <c r="GK48" s="730"/>
      <c r="GL48" s="730"/>
      <c r="GM48" s="730"/>
      <c r="GN48" s="730"/>
      <c r="GO48" s="730"/>
      <c r="GP48" s="730"/>
      <c r="GQ48" s="730"/>
      <c r="GR48" s="730"/>
      <c r="GS48" s="730"/>
      <c r="GT48" s="730"/>
      <c r="GU48" s="730"/>
      <c r="GV48" s="730"/>
      <c r="GW48" s="730"/>
      <c r="GX48" s="730"/>
      <c r="GY48" s="730"/>
      <c r="GZ48" s="730"/>
      <c r="HA48" s="730"/>
      <c r="HB48" s="730"/>
      <c r="HC48" s="730"/>
      <c r="HD48" s="730"/>
      <c r="HE48" s="730"/>
      <c r="HF48" s="730"/>
      <c r="HG48" s="730"/>
      <c r="HH48" s="730"/>
      <c r="HI48" s="730"/>
      <c r="HJ48" s="730"/>
      <c r="HK48" s="730"/>
      <c r="HL48" s="730"/>
      <c r="HM48" s="730"/>
      <c r="HN48" s="730"/>
      <c r="HO48" s="730"/>
      <c r="HP48" s="730"/>
      <c r="HQ48" s="730"/>
      <c r="HR48" s="730"/>
      <c r="HS48" s="730"/>
      <c r="HT48" s="730"/>
      <c r="HU48" s="730"/>
      <c r="HV48" s="730"/>
      <c r="HW48" s="730"/>
      <c r="HX48" s="730"/>
      <c r="HY48" s="730"/>
      <c r="HZ48" s="730"/>
      <c r="IA48" s="730"/>
      <c r="IB48" s="730"/>
      <c r="IC48" s="730"/>
      <c r="ID48" s="730"/>
      <c r="IE48" s="730"/>
      <c r="IF48" s="730"/>
      <c r="IG48" s="730"/>
      <c r="IH48" s="730"/>
      <c r="II48" s="730"/>
      <c r="IJ48" s="730"/>
      <c r="IK48" s="730"/>
      <c r="IL48" s="730"/>
      <c r="IM48" s="730"/>
      <c r="IN48" s="730"/>
      <c r="IO48" s="730"/>
      <c r="IP48" s="730"/>
      <c r="IQ48" s="730"/>
      <c r="IR48" s="730"/>
      <c r="IS48" s="730"/>
      <c r="IT48" s="730"/>
      <c r="IU48" s="730"/>
      <c r="IV48" s="730"/>
    </row>
    <row r="49" spans="1:256" s="602" customFormat="1">
      <c r="A49" s="844">
        <f ca="1">$Q$42 *(2*4)</f>
        <v>640</v>
      </c>
      <c r="B49" s="730" t="s">
        <v>141</v>
      </c>
      <c r="C49" s="730"/>
      <c r="D49" s="730" t="s">
        <v>1058</v>
      </c>
      <c r="E49" s="730"/>
      <c r="F49" s="730"/>
      <c r="G49" s="731" t="s">
        <v>1059</v>
      </c>
      <c r="H49" s="732">
        <v>620</v>
      </c>
      <c r="I49" s="730" t="s">
        <v>702</v>
      </c>
      <c r="J49" s="730"/>
      <c r="K49" s="735" t="s">
        <v>7</v>
      </c>
      <c r="L49" s="730"/>
      <c r="M49" s="730"/>
      <c r="N49" s="730"/>
      <c r="O49" s="733">
        <v>2</v>
      </c>
      <c r="P49" s="734">
        <v>34669</v>
      </c>
      <c r="Q49" s="1210">
        <v>0.05</v>
      </c>
      <c r="R49" s="736">
        <f t="shared" ca="1" si="4"/>
        <v>32</v>
      </c>
      <c r="S49" s="735">
        <f>1.1 *(0.01)</f>
        <v>1.1000000000000001E-2</v>
      </c>
      <c r="T49" s="737">
        <f t="shared" ca="1" si="5"/>
        <v>7.0400000000000009</v>
      </c>
      <c r="U49" s="730"/>
      <c r="V49" s="730"/>
      <c r="W49" s="730"/>
      <c r="X49" s="730"/>
      <c r="Y49" s="730"/>
      <c r="Z49" s="730"/>
      <c r="AA49" s="730"/>
      <c r="AB49" s="730"/>
      <c r="AC49" s="730"/>
      <c r="AD49" s="730"/>
      <c r="AE49" s="730"/>
      <c r="AF49" s="730"/>
      <c r="AG49" s="730"/>
      <c r="AH49" s="730"/>
      <c r="AI49" s="730"/>
      <c r="AJ49" s="730"/>
      <c r="AK49" s="730"/>
      <c r="AL49" s="730"/>
      <c r="AM49" s="730"/>
      <c r="AN49" s="730"/>
      <c r="AO49" s="730"/>
      <c r="AP49" s="730"/>
      <c r="AQ49" s="730"/>
      <c r="AR49" s="730"/>
      <c r="AS49" s="730"/>
      <c r="AT49" s="730"/>
      <c r="AU49" s="730"/>
      <c r="AV49" s="730"/>
      <c r="AW49" s="730"/>
      <c r="AX49" s="730"/>
      <c r="AY49" s="730"/>
      <c r="AZ49" s="730"/>
      <c r="BA49" s="730"/>
      <c r="BB49" s="730"/>
      <c r="BC49" s="730"/>
      <c r="BD49" s="730"/>
      <c r="BE49" s="730"/>
      <c r="BF49" s="730"/>
      <c r="BG49" s="730"/>
      <c r="BH49" s="730"/>
      <c r="BI49" s="730"/>
      <c r="BJ49" s="730"/>
      <c r="BK49" s="730"/>
      <c r="BL49" s="730"/>
      <c r="BM49" s="730"/>
      <c r="BN49" s="730"/>
      <c r="BO49" s="730"/>
      <c r="BP49" s="730"/>
      <c r="BQ49" s="730"/>
      <c r="BR49" s="730"/>
      <c r="BS49" s="730"/>
      <c r="BT49" s="730"/>
      <c r="BU49" s="730"/>
      <c r="BV49" s="730"/>
      <c r="BW49" s="730"/>
      <c r="BX49" s="730"/>
      <c r="BY49" s="730"/>
      <c r="BZ49" s="730"/>
      <c r="CA49" s="730"/>
      <c r="CB49" s="730"/>
      <c r="CC49" s="730"/>
      <c r="CD49" s="730"/>
      <c r="CE49" s="730"/>
      <c r="CF49" s="730"/>
      <c r="CG49" s="730"/>
      <c r="CH49" s="730"/>
      <c r="CI49" s="730"/>
      <c r="CJ49" s="730"/>
      <c r="CK49" s="730"/>
      <c r="CL49" s="730"/>
      <c r="CM49" s="730"/>
      <c r="CN49" s="730"/>
      <c r="CO49" s="730"/>
      <c r="CP49" s="730"/>
      <c r="CQ49" s="730"/>
      <c r="CR49" s="730"/>
      <c r="CS49" s="730"/>
      <c r="CT49" s="730"/>
      <c r="CU49" s="730"/>
      <c r="CV49" s="730"/>
      <c r="CW49" s="730"/>
      <c r="CX49" s="730"/>
      <c r="CY49" s="730"/>
      <c r="CZ49" s="730"/>
      <c r="DA49" s="730"/>
      <c r="DB49" s="730"/>
      <c r="DC49" s="730"/>
      <c r="DD49" s="730"/>
      <c r="DE49" s="730"/>
      <c r="DF49" s="730"/>
      <c r="DG49" s="730"/>
      <c r="DH49" s="730"/>
      <c r="DI49" s="730"/>
      <c r="DJ49" s="730"/>
      <c r="DK49" s="730"/>
      <c r="DL49" s="730"/>
      <c r="DM49" s="730"/>
      <c r="DN49" s="730"/>
      <c r="DO49" s="730"/>
      <c r="DP49" s="730"/>
      <c r="DQ49" s="730"/>
      <c r="DR49" s="730"/>
      <c r="DS49" s="730"/>
      <c r="DT49" s="730"/>
      <c r="DU49" s="730"/>
      <c r="DV49" s="730"/>
      <c r="DW49" s="730"/>
      <c r="DX49" s="730"/>
      <c r="DY49" s="730"/>
      <c r="DZ49" s="730"/>
      <c r="EA49" s="730"/>
      <c r="EB49" s="730"/>
      <c r="EC49" s="730"/>
      <c r="ED49" s="730"/>
      <c r="EE49" s="730"/>
      <c r="EF49" s="730"/>
      <c r="EG49" s="730"/>
      <c r="EH49" s="730"/>
      <c r="EI49" s="730"/>
      <c r="EJ49" s="730"/>
      <c r="EK49" s="730"/>
      <c r="EL49" s="730"/>
      <c r="EM49" s="730"/>
      <c r="EN49" s="730"/>
      <c r="EO49" s="730"/>
      <c r="EP49" s="730"/>
      <c r="EQ49" s="730"/>
      <c r="ER49" s="730"/>
      <c r="ES49" s="730"/>
      <c r="ET49" s="730"/>
      <c r="EU49" s="730"/>
      <c r="EV49" s="730"/>
      <c r="EW49" s="730"/>
      <c r="EX49" s="730"/>
      <c r="EY49" s="730"/>
      <c r="EZ49" s="730"/>
      <c r="FA49" s="730"/>
      <c r="FB49" s="730"/>
      <c r="FC49" s="730"/>
      <c r="FD49" s="730"/>
      <c r="FE49" s="730"/>
      <c r="FF49" s="730"/>
      <c r="FG49" s="730"/>
      <c r="FH49" s="730"/>
      <c r="FI49" s="730"/>
      <c r="FJ49" s="730"/>
      <c r="FK49" s="730"/>
      <c r="FL49" s="730"/>
      <c r="FM49" s="730"/>
      <c r="FN49" s="730"/>
      <c r="FO49" s="730"/>
      <c r="FP49" s="730"/>
      <c r="FQ49" s="730"/>
      <c r="FR49" s="730"/>
      <c r="FS49" s="730"/>
      <c r="FT49" s="730"/>
      <c r="FU49" s="730"/>
      <c r="FV49" s="730"/>
      <c r="FW49" s="730"/>
      <c r="FX49" s="730"/>
      <c r="FY49" s="730"/>
      <c r="FZ49" s="730"/>
      <c r="GA49" s="730"/>
      <c r="GB49" s="730"/>
      <c r="GC49" s="730"/>
      <c r="GD49" s="730"/>
      <c r="GE49" s="730"/>
      <c r="GF49" s="730"/>
      <c r="GG49" s="730"/>
      <c r="GH49" s="730"/>
      <c r="GI49" s="730"/>
      <c r="GJ49" s="730"/>
      <c r="GK49" s="730"/>
      <c r="GL49" s="730"/>
      <c r="GM49" s="730"/>
      <c r="GN49" s="730"/>
      <c r="GO49" s="730"/>
      <c r="GP49" s="730"/>
      <c r="GQ49" s="730"/>
      <c r="GR49" s="730"/>
      <c r="GS49" s="730"/>
      <c r="GT49" s="730"/>
      <c r="GU49" s="730"/>
      <c r="GV49" s="730"/>
      <c r="GW49" s="730"/>
      <c r="GX49" s="730"/>
      <c r="GY49" s="730"/>
      <c r="GZ49" s="730"/>
      <c r="HA49" s="730"/>
      <c r="HB49" s="730"/>
      <c r="HC49" s="730"/>
      <c r="HD49" s="730"/>
      <c r="HE49" s="730"/>
      <c r="HF49" s="730"/>
      <c r="HG49" s="730"/>
      <c r="HH49" s="730"/>
      <c r="HI49" s="730"/>
      <c r="HJ49" s="730"/>
      <c r="HK49" s="730"/>
      <c r="HL49" s="730"/>
      <c r="HM49" s="730"/>
      <c r="HN49" s="730"/>
      <c r="HO49" s="730"/>
      <c r="HP49" s="730"/>
      <c r="HQ49" s="730"/>
      <c r="HR49" s="730"/>
      <c r="HS49" s="730"/>
      <c r="HT49" s="730"/>
      <c r="HU49" s="730"/>
      <c r="HV49" s="730"/>
      <c r="HW49" s="730"/>
      <c r="HX49" s="730"/>
      <c r="HY49" s="730"/>
      <c r="HZ49" s="730"/>
      <c r="IA49" s="730"/>
      <c r="IB49" s="730"/>
      <c r="IC49" s="730"/>
      <c r="ID49" s="730"/>
      <c r="IE49" s="730"/>
      <c r="IF49" s="730"/>
      <c r="IG49" s="730"/>
      <c r="IH49" s="730"/>
      <c r="II49" s="730"/>
      <c r="IJ49" s="730"/>
      <c r="IK49" s="730"/>
      <c r="IL49" s="730"/>
      <c r="IM49" s="730"/>
      <c r="IN49" s="730"/>
      <c r="IO49" s="730"/>
      <c r="IP49" s="730"/>
      <c r="IQ49" s="730"/>
      <c r="IR49" s="730"/>
      <c r="IS49" s="730"/>
      <c r="IT49" s="730"/>
      <c r="IU49" s="730"/>
      <c r="IV49" s="730"/>
    </row>
    <row r="50" spans="1:256" s="730" customFormat="1">
      <c r="A50" s="844">
        <f ca="1">$Q$42 *(1)</f>
        <v>80</v>
      </c>
      <c r="B50" s="730" t="s">
        <v>141</v>
      </c>
      <c r="D50" s="730" t="s">
        <v>1039</v>
      </c>
      <c r="F50" s="730" t="s">
        <v>1307</v>
      </c>
      <c r="G50" s="731" t="s">
        <v>1040</v>
      </c>
      <c r="H50" s="732">
        <v>900</v>
      </c>
      <c r="I50" s="730" t="s">
        <v>686</v>
      </c>
      <c r="K50" s="730" t="s">
        <v>7</v>
      </c>
      <c r="O50" s="733">
        <v>1</v>
      </c>
      <c r="P50" s="734"/>
      <c r="Q50" s="1201"/>
      <c r="R50" s="736">
        <f t="shared" ca="1" si="4"/>
        <v>0</v>
      </c>
      <c r="S50" s="735">
        <f>1.1 *(0.5)</f>
        <v>0.55000000000000004</v>
      </c>
      <c r="T50" s="737">
        <f t="shared" ca="1" si="5"/>
        <v>44</v>
      </c>
      <c r="U50" s="730" t="s">
        <v>913</v>
      </c>
    </row>
    <row r="51" spans="1:256" s="602" customFormat="1" ht="12" customHeight="1">
      <c r="A51" s="663"/>
      <c r="B51" s="3"/>
      <c r="C51" s="663" t="s">
        <v>183</v>
      </c>
      <c r="D51" s="3"/>
      <c r="E51" s="663"/>
      <c r="F51" s="664"/>
      <c r="G51" s="663"/>
      <c r="H51" s="663"/>
      <c r="I51" s="601"/>
      <c r="J51" s="663"/>
      <c r="K51" s="663"/>
      <c r="L51" s="663"/>
      <c r="M51" s="663"/>
      <c r="N51" s="663"/>
      <c r="O51" s="663"/>
      <c r="P51" s="663"/>
      <c r="Q51" s="601"/>
      <c r="R51" s="814">
        <f t="shared" si="4"/>
        <v>0</v>
      </c>
      <c r="S51" s="601"/>
      <c r="T51" s="681">
        <f t="shared" si="5"/>
        <v>0</v>
      </c>
    </row>
    <row r="52" spans="1:256" s="602" customFormat="1" ht="12.6" thickBot="1">
      <c r="A52" s="682" t="s">
        <v>145</v>
      </c>
      <c r="B52" s="683">
        <f>(R51+T51)</f>
        <v>0</v>
      </c>
      <c r="C52" s="684"/>
      <c r="D52" s="834" t="s">
        <v>184</v>
      </c>
      <c r="E52" s="545">
        <f ca="1">IF($B42=0,0,ROUND(ROUND(($R52*$S$2+($T52*$T$2))/$B42, 2)*$C$2,2))</f>
        <v>450.42</v>
      </c>
      <c r="F52" s="546">
        <f ca="1">ROUND($B42*$E52,2)</f>
        <v>36033.599999999999</v>
      </c>
      <c r="G52" s="684"/>
      <c r="H52" s="684"/>
      <c r="I52" s="686"/>
      <c r="J52" s="684"/>
      <c r="K52" s="835" t="s">
        <v>143</v>
      </c>
      <c r="L52" s="687" t="s">
        <v>143</v>
      </c>
      <c r="M52" s="687"/>
      <c r="N52" s="687"/>
      <c r="O52" s="687"/>
      <c r="P52" s="687"/>
      <c r="Q52" s="835"/>
      <c r="R52" s="836">
        <f ca="1">SUM(R43:R51)</f>
        <v>9672.7999999999993</v>
      </c>
      <c r="S52" s="837"/>
      <c r="T52" s="836">
        <f ca="1">SUM(T43:T51)</f>
        <v>645.92000000000007</v>
      </c>
      <c r="U52" s="611"/>
      <c r="V52" s="611"/>
      <c r="W52" s="611"/>
      <c r="X52" s="611"/>
      <c r="Y52" s="611"/>
      <c r="Z52" s="611"/>
      <c r="AA52" s="611"/>
      <c r="AB52" s="611"/>
    </row>
    <row r="53" spans="1:256" s="602" customFormat="1" ht="12" customHeight="1" thickTop="1">
      <c r="A53" s="63"/>
      <c r="B53" s="63"/>
      <c r="C53" s="63"/>
      <c r="D53" s="63"/>
      <c r="E53" s="63"/>
      <c r="F53" s="63"/>
      <c r="G53" s="63"/>
      <c r="H53" s="63"/>
      <c r="I53" s="63"/>
      <c r="J53" s="63"/>
      <c r="K53" s="63"/>
      <c r="L53" s="63"/>
      <c r="M53" s="63"/>
      <c r="N53" s="63"/>
      <c r="O53" s="64"/>
      <c r="P53" s="63"/>
      <c r="Q53" s="42" t="s">
        <v>180</v>
      </c>
      <c r="R53" s="63"/>
      <c r="S53" s="13"/>
      <c r="T53" s="63"/>
    </row>
    <row r="54" spans="1:256" s="602" customFormat="1" ht="12.6" thickBot="1">
      <c r="A54" s="824">
        <v>1</v>
      </c>
      <c r="B54" s="825">
        <f ca="1">Elec_Est!B1042</f>
        <v>20</v>
      </c>
      <c r="C54" s="826"/>
      <c r="D54" s="827" t="s">
        <v>1312</v>
      </c>
      <c r="E54" s="828"/>
      <c r="F54" s="828"/>
      <c r="G54" s="676"/>
      <c r="H54" s="676"/>
      <c r="I54" s="829"/>
      <c r="J54" s="676"/>
      <c r="K54" s="826" t="s">
        <v>181</v>
      </c>
      <c r="L54" s="830" t="s">
        <v>181</v>
      </c>
      <c r="M54" s="830"/>
      <c r="N54" s="830"/>
      <c r="O54" s="830"/>
      <c r="P54" s="830"/>
      <c r="Q54" s="831">
        <f ca="1">B54/A54</f>
        <v>20</v>
      </c>
      <c r="R54" s="832">
        <f ca="1">IF($B54=0,0,IF($S$1="R",ROUND(R64/$B54,2),R64/$B54))</f>
        <v>58.6</v>
      </c>
      <c r="S54" s="833"/>
      <c r="T54" s="832">
        <f ca="1">IF($B54=0,0,IF($S$1="R",ROUND(T64/$B54,2),T64/$B54))</f>
        <v>4.3899999999999997</v>
      </c>
    </row>
    <row r="55" spans="1:256" s="602" customFormat="1" ht="13.8" thickTop="1">
      <c r="A55" s="672"/>
      <c r="B55" s="3"/>
      <c r="C55" s="3"/>
      <c r="D55" s="157" t="s">
        <v>1311</v>
      </c>
      <c r="E55" s="3"/>
      <c r="F55" s="3"/>
      <c r="G55" s="3"/>
      <c r="H55" s="3"/>
      <c r="I55" s="3"/>
      <c r="J55" s="3"/>
      <c r="K55" s="3"/>
      <c r="L55" s="3"/>
      <c r="M55" s="3"/>
      <c r="N55" s="3"/>
      <c r="O55" s="158"/>
      <c r="P55" s="3"/>
      <c r="Q55" s="3"/>
      <c r="R55" s="3"/>
      <c r="S55" s="3"/>
      <c r="T55" s="3"/>
    </row>
    <row r="56" spans="1:256" s="730" customFormat="1">
      <c r="A56" s="840">
        <f ca="1">$Q$54 *(7)</f>
        <v>140</v>
      </c>
      <c r="B56" s="730" t="s">
        <v>326</v>
      </c>
      <c r="D56" s="730" t="s">
        <v>763</v>
      </c>
      <c r="G56" s="731" t="s">
        <v>764</v>
      </c>
      <c r="H56" s="732">
        <v>690</v>
      </c>
      <c r="I56" s="730" t="s">
        <v>765</v>
      </c>
      <c r="J56" s="730" t="s">
        <v>766</v>
      </c>
      <c r="K56" s="735" t="s">
        <v>7</v>
      </c>
      <c r="O56" s="733">
        <v>1</v>
      </c>
      <c r="P56" s="734">
        <v>34669</v>
      </c>
      <c r="Q56" s="1210">
        <v>3.66</v>
      </c>
      <c r="R56" s="736">
        <f t="shared" ref="R56:R63" ca="1" si="6">$A56*Q56</f>
        <v>512.4</v>
      </c>
      <c r="S56" s="735">
        <f>1.1 *(0.2)</f>
        <v>0.22000000000000003</v>
      </c>
      <c r="T56" s="737">
        <f t="shared" ref="T56:T63" ca="1" si="7">$A56*S56*$T$1</f>
        <v>30.800000000000004</v>
      </c>
    </row>
    <row r="57" spans="1:256" s="713" customFormat="1">
      <c r="A57" s="1211">
        <f ca="1">$Q$54 *(35)</f>
        <v>700</v>
      </c>
      <c r="B57" s="730" t="s">
        <v>326</v>
      </c>
      <c r="C57" s="730"/>
      <c r="D57" s="730" t="s">
        <v>1301</v>
      </c>
      <c r="E57" s="730"/>
      <c r="F57" s="1212"/>
      <c r="G57" s="731" t="s">
        <v>1302</v>
      </c>
      <c r="H57" s="732">
        <v>617</v>
      </c>
      <c r="I57" s="730" t="s">
        <v>1303</v>
      </c>
      <c r="J57" s="730" t="s">
        <v>1304</v>
      </c>
      <c r="K57" s="735" t="s">
        <v>7</v>
      </c>
      <c r="L57" s="730"/>
      <c r="M57" s="730"/>
      <c r="N57" s="730"/>
      <c r="O57" s="733">
        <v>2</v>
      </c>
      <c r="P57" s="734"/>
      <c r="Q57" s="735">
        <f>0.62*1.25</f>
        <v>0.77500000000000002</v>
      </c>
      <c r="R57" s="736">
        <f t="shared" ca="1" si="6"/>
        <v>542.5</v>
      </c>
      <c r="S57" s="735">
        <f>1.1 *(0.05)</f>
        <v>5.5000000000000007E-2</v>
      </c>
      <c r="T57" s="737">
        <f t="shared" ca="1" si="7"/>
        <v>38.500000000000007</v>
      </c>
      <c r="U57" s="730"/>
      <c r="V57" s="730"/>
      <c r="W57" s="730"/>
      <c r="X57" s="730"/>
      <c r="Y57" s="730"/>
      <c r="Z57" s="730"/>
      <c r="AA57" s="730"/>
      <c r="AB57" s="730"/>
      <c r="AC57" s="730"/>
      <c r="AD57" s="730"/>
      <c r="AE57" s="730"/>
      <c r="AF57" s="730"/>
      <c r="AG57" s="730"/>
      <c r="AH57" s="730"/>
      <c r="AI57" s="730"/>
      <c r="AJ57" s="730"/>
      <c r="AK57" s="730"/>
      <c r="AL57" s="730"/>
      <c r="AM57" s="730"/>
      <c r="AN57" s="730"/>
      <c r="AO57" s="730"/>
      <c r="AP57" s="730"/>
      <c r="AQ57" s="730"/>
      <c r="AR57" s="730"/>
      <c r="AS57" s="730"/>
      <c r="AT57" s="730"/>
      <c r="AU57" s="730"/>
      <c r="AV57" s="730"/>
      <c r="AW57" s="730"/>
      <c r="AX57" s="730"/>
      <c r="AY57" s="730"/>
      <c r="AZ57" s="730"/>
      <c r="BA57" s="730"/>
      <c r="BB57" s="730"/>
      <c r="BC57" s="730"/>
      <c r="BD57" s="730"/>
      <c r="BE57" s="730"/>
      <c r="BF57" s="730"/>
      <c r="BG57" s="730"/>
      <c r="BH57" s="730"/>
      <c r="BI57" s="730"/>
      <c r="BJ57" s="730"/>
      <c r="BK57" s="730"/>
      <c r="BL57" s="730"/>
      <c r="BM57" s="730"/>
      <c r="BN57" s="730"/>
      <c r="BO57" s="730"/>
      <c r="BP57" s="730"/>
      <c r="BQ57" s="730"/>
      <c r="BR57" s="730"/>
      <c r="BS57" s="730"/>
      <c r="BT57" s="730"/>
      <c r="BU57" s="730"/>
      <c r="BV57" s="730"/>
      <c r="BW57" s="730"/>
      <c r="BX57" s="730"/>
      <c r="BY57" s="730"/>
      <c r="BZ57" s="730"/>
      <c r="CA57" s="730"/>
      <c r="CB57" s="730"/>
      <c r="CC57" s="730"/>
      <c r="CD57" s="730"/>
      <c r="CE57" s="730"/>
      <c r="CF57" s="730"/>
      <c r="CG57" s="730"/>
      <c r="CH57" s="730"/>
      <c r="CI57" s="730"/>
      <c r="CJ57" s="730"/>
      <c r="CK57" s="730"/>
      <c r="CL57" s="730"/>
      <c r="CM57" s="730"/>
      <c r="CN57" s="730"/>
      <c r="CO57" s="730"/>
      <c r="CP57" s="730"/>
      <c r="CQ57" s="730"/>
      <c r="CR57" s="730"/>
      <c r="CS57" s="730"/>
      <c r="CT57" s="730"/>
      <c r="CU57" s="730"/>
      <c r="CV57" s="730"/>
      <c r="CW57" s="730"/>
      <c r="CX57" s="730"/>
      <c r="CY57" s="730"/>
      <c r="CZ57" s="730"/>
      <c r="DA57" s="730"/>
      <c r="DB57" s="730"/>
      <c r="DC57" s="730"/>
      <c r="DD57" s="730"/>
      <c r="DE57" s="730"/>
      <c r="DF57" s="730"/>
      <c r="DG57" s="730"/>
      <c r="DH57" s="730"/>
      <c r="DI57" s="730"/>
      <c r="DJ57" s="730"/>
      <c r="DK57" s="730"/>
      <c r="DL57" s="730"/>
      <c r="DM57" s="730"/>
      <c r="DN57" s="730"/>
      <c r="DO57" s="730"/>
      <c r="DP57" s="730"/>
      <c r="DQ57" s="730"/>
      <c r="DR57" s="730"/>
      <c r="DS57" s="730"/>
      <c r="DT57" s="730"/>
      <c r="DU57" s="730"/>
      <c r="DV57" s="730"/>
      <c r="DW57" s="730"/>
      <c r="DX57" s="730"/>
      <c r="DY57" s="730"/>
      <c r="DZ57" s="730"/>
      <c r="EA57" s="730"/>
      <c r="EB57" s="730"/>
      <c r="EC57" s="730"/>
      <c r="ED57" s="730"/>
      <c r="EE57" s="730"/>
      <c r="EF57" s="730"/>
      <c r="EG57" s="730"/>
      <c r="EH57" s="730"/>
      <c r="EI57" s="730"/>
      <c r="EJ57" s="730"/>
      <c r="EK57" s="730"/>
      <c r="EL57" s="730"/>
      <c r="EM57" s="730"/>
      <c r="EN57" s="730"/>
      <c r="EO57" s="730"/>
      <c r="EP57" s="730"/>
      <c r="EQ57" s="730"/>
      <c r="ER57" s="730"/>
      <c r="ES57" s="730"/>
      <c r="ET57" s="730"/>
      <c r="EU57" s="730"/>
      <c r="EV57" s="730"/>
      <c r="EW57" s="730"/>
      <c r="EX57" s="730"/>
      <c r="EY57" s="730"/>
      <c r="EZ57" s="730"/>
      <c r="FA57" s="730"/>
      <c r="FB57" s="730"/>
      <c r="FC57" s="730"/>
      <c r="FD57" s="730"/>
      <c r="FE57" s="730"/>
      <c r="FF57" s="730"/>
      <c r="FG57" s="730"/>
      <c r="FH57" s="730"/>
      <c r="FI57" s="730"/>
      <c r="FJ57" s="730"/>
      <c r="FK57" s="730"/>
      <c r="FL57" s="730"/>
      <c r="FM57" s="730"/>
      <c r="FN57" s="730"/>
      <c r="FO57" s="730"/>
      <c r="FP57" s="730"/>
      <c r="FQ57" s="730"/>
      <c r="FR57" s="730"/>
      <c r="FS57" s="730"/>
      <c r="FT57" s="730"/>
      <c r="FU57" s="730"/>
      <c r="FV57" s="730"/>
      <c r="FW57" s="730"/>
      <c r="FX57" s="730"/>
      <c r="FY57" s="730"/>
      <c r="FZ57" s="730"/>
      <c r="GA57" s="730"/>
      <c r="GB57" s="730"/>
      <c r="GC57" s="730"/>
      <c r="GD57" s="730"/>
      <c r="GE57" s="730"/>
      <c r="GF57" s="730"/>
      <c r="GG57" s="730"/>
      <c r="GH57" s="730"/>
      <c r="GI57" s="730"/>
      <c r="GJ57" s="730"/>
      <c r="GK57" s="730"/>
      <c r="GL57" s="730"/>
      <c r="GM57" s="730"/>
      <c r="GN57" s="730"/>
      <c r="GO57" s="730"/>
      <c r="GP57" s="730"/>
      <c r="GQ57" s="730"/>
      <c r="GR57" s="730"/>
      <c r="GS57" s="730"/>
      <c r="GT57" s="730"/>
      <c r="GU57" s="730"/>
      <c r="GV57" s="730"/>
      <c r="GW57" s="730"/>
      <c r="GX57" s="730"/>
      <c r="GY57" s="730"/>
      <c r="GZ57" s="730"/>
      <c r="HA57" s="730"/>
      <c r="HB57" s="730"/>
      <c r="HC57" s="730"/>
      <c r="HD57" s="730"/>
      <c r="HE57" s="730"/>
      <c r="HF57" s="730"/>
      <c r="HG57" s="730"/>
      <c r="HH57" s="730"/>
      <c r="HI57" s="730"/>
      <c r="HJ57" s="730"/>
      <c r="HK57" s="730"/>
      <c r="HL57" s="730"/>
      <c r="HM57" s="730"/>
      <c r="HN57" s="730"/>
      <c r="HO57" s="730"/>
      <c r="HP57" s="730"/>
      <c r="HQ57" s="730"/>
      <c r="HR57" s="730"/>
      <c r="HS57" s="730"/>
      <c r="HT57" s="730"/>
      <c r="HU57" s="730"/>
      <c r="HV57" s="730"/>
      <c r="HW57" s="730"/>
      <c r="HX57" s="730"/>
      <c r="HY57" s="730"/>
      <c r="HZ57" s="730"/>
      <c r="IA57" s="730"/>
      <c r="IB57" s="730"/>
      <c r="IC57" s="730"/>
      <c r="ID57" s="730"/>
      <c r="IE57" s="730"/>
      <c r="IF57" s="730"/>
      <c r="IG57" s="730"/>
      <c r="IH57" s="730"/>
      <c r="II57" s="730"/>
      <c r="IJ57" s="730"/>
      <c r="IK57" s="730"/>
      <c r="IL57" s="730"/>
      <c r="IM57" s="730"/>
      <c r="IN57" s="730"/>
      <c r="IO57" s="730"/>
      <c r="IP57" s="730"/>
      <c r="IQ57" s="730"/>
      <c r="IR57" s="730"/>
      <c r="IS57" s="730"/>
      <c r="IT57" s="730"/>
      <c r="IU57" s="730"/>
      <c r="IV57" s="730"/>
    </row>
    <row r="58" spans="1:256" s="602" customFormat="1">
      <c r="A58" s="1211">
        <f ca="1">$Q$54 *(35)</f>
        <v>700</v>
      </c>
      <c r="B58" s="730" t="s">
        <v>141</v>
      </c>
      <c r="C58" s="730"/>
      <c r="D58" s="730" t="s">
        <v>815</v>
      </c>
      <c r="E58" s="730"/>
      <c r="F58" s="730"/>
      <c r="G58" s="731" t="s">
        <v>816</v>
      </c>
      <c r="H58" s="732">
        <v>875</v>
      </c>
      <c r="I58" s="730" t="s">
        <v>674</v>
      </c>
      <c r="J58" s="730"/>
      <c r="K58" s="735" t="s">
        <v>7</v>
      </c>
      <c r="L58" s="730"/>
      <c r="M58" s="730"/>
      <c r="N58" s="730"/>
      <c r="O58" s="733">
        <v>1</v>
      </c>
      <c r="P58" s="734">
        <v>34669</v>
      </c>
      <c r="Q58" s="1210">
        <v>0.05</v>
      </c>
      <c r="R58" s="736">
        <f t="shared" ca="1" si="6"/>
        <v>35</v>
      </c>
      <c r="S58" s="735"/>
      <c r="T58" s="737">
        <f t="shared" ca="1" si="7"/>
        <v>0</v>
      </c>
      <c r="U58" s="730"/>
      <c r="V58" s="730"/>
      <c r="W58" s="730"/>
      <c r="X58" s="730"/>
      <c r="Y58" s="730"/>
      <c r="Z58" s="730"/>
      <c r="AA58" s="730"/>
      <c r="AB58" s="730"/>
      <c r="AC58" s="730"/>
      <c r="AD58" s="730"/>
      <c r="AE58" s="730"/>
      <c r="AF58" s="730"/>
      <c r="AG58" s="730"/>
      <c r="AH58" s="730"/>
      <c r="AI58" s="730"/>
      <c r="AJ58" s="730"/>
      <c r="AK58" s="730"/>
      <c r="AL58" s="730"/>
      <c r="AM58" s="730"/>
      <c r="AN58" s="730"/>
      <c r="AO58" s="730"/>
      <c r="AP58" s="730"/>
      <c r="AQ58" s="730"/>
      <c r="AR58" s="730"/>
      <c r="AS58" s="730"/>
      <c r="AT58" s="730"/>
      <c r="AU58" s="730"/>
      <c r="AV58" s="730"/>
      <c r="AW58" s="730"/>
      <c r="AX58" s="730"/>
      <c r="AY58" s="730"/>
      <c r="AZ58" s="730"/>
      <c r="BA58" s="730"/>
      <c r="BB58" s="730"/>
      <c r="BC58" s="730"/>
      <c r="BD58" s="730"/>
      <c r="BE58" s="730"/>
      <c r="BF58" s="730"/>
      <c r="BG58" s="730"/>
      <c r="BH58" s="730"/>
      <c r="BI58" s="730"/>
      <c r="BJ58" s="730"/>
      <c r="BK58" s="730"/>
      <c r="BL58" s="730"/>
      <c r="BM58" s="730"/>
      <c r="BN58" s="730"/>
      <c r="BO58" s="730"/>
      <c r="BP58" s="730"/>
      <c r="BQ58" s="730"/>
      <c r="BR58" s="730"/>
      <c r="BS58" s="730"/>
      <c r="BT58" s="730"/>
      <c r="BU58" s="730"/>
      <c r="BV58" s="730"/>
      <c r="BW58" s="730"/>
      <c r="BX58" s="730"/>
      <c r="BY58" s="730"/>
      <c r="BZ58" s="730"/>
      <c r="CA58" s="730"/>
      <c r="CB58" s="730"/>
      <c r="CC58" s="730"/>
      <c r="CD58" s="730"/>
      <c r="CE58" s="730"/>
      <c r="CF58" s="730"/>
      <c r="CG58" s="730"/>
      <c r="CH58" s="730"/>
      <c r="CI58" s="730"/>
      <c r="CJ58" s="730"/>
      <c r="CK58" s="730"/>
      <c r="CL58" s="730"/>
      <c r="CM58" s="730"/>
      <c r="CN58" s="730"/>
      <c r="CO58" s="730"/>
      <c r="CP58" s="730"/>
      <c r="CQ58" s="730"/>
      <c r="CR58" s="730"/>
      <c r="CS58" s="730"/>
      <c r="CT58" s="730"/>
      <c r="CU58" s="730"/>
      <c r="CV58" s="730"/>
      <c r="CW58" s="730"/>
      <c r="CX58" s="730"/>
      <c r="CY58" s="730"/>
      <c r="CZ58" s="730"/>
      <c r="DA58" s="730"/>
      <c r="DB58" s="730"/>
      <c r="DC58" s="730"/>
      <c r="DD58" s="730"/>
      <c r="DE58" s="730"/>
      <c r="DF58" s="730"/>
      <c r="DG58" s="730"/>
      <c r="DH58" s="730"/>
      <c r="DI58" s="730"/>
      <c r="DJ58" s="730"/>
      <c r="DK58" s="730"/>
      <c r="DL58" s="730"/>
      <c r="DM58" s="730"/>
      <c r="DN58" s="730"/>
      <c r="DO58" s="730"/>
      <c r="DP58" s="730"/>
      <c r="DQ58" s="730"/>
      <c r="DR58" s="730"/>
      <c r="DS58" s="730"/>
      <c r="DT58" s="730"/>
      <c r="DU58" s="730"/>
      <c r="DV58" s="730"/>
      <c r="DW58" s="730"/>
      <c r="DX58" s="730"/>
      <c r="DY58" s="730"/>
      <c r="DZ58" s="730"/>
      <c r="EA58" s="730"/>
      <c r="EB58" s="730"/>
      <c r="EC58" s="730"/>
      <c r="ED58" s="730"/>
      <c r="EE58" s="730"/>
      <c r="EF58" s="730"/>
      <c r="EG58" s="730"/>
      <c r="EH58" s="730"/>
      <c r="EI58" s="730"/>
      <c r="EJ58" s="730"/>
      <c r="EK58" s="730"/>
      <c r="EL58" s="730"/>
      <c r="EM58" s="730"/>
      <c r="EN58" s="730"/>
      <c r="EO58" s="730"/>
      <c r="EP58" s="730"/>
      <c r="EQ58" s="730"/>
      <c r="ER58" s="730"/>
      <c r="ES58" s="730"/>
      <c r="ET58" s="730"/>
      <c r="EU58" s="730"/>
      <c r="EV58" s="730"/>
      <c r="EW58" s="730"/>
      <c r="EX58" s="730"/>
      <c r="EY58" s="730"/>
      <c r="EZ58" s="730"/>
      <c r="FA58" s="730"/>
      <c r="FB58" s="730"/>
      <c r="FC58" s="730"/>
      <c r="FD58" s="730"/>
      <c r="FE58" s="730"/>
      <c r="FF58" s="730"/>
      <c r="FG58" s="730"/>
      <c r="FH58" s="730"/>
      <c r="FI58" s="730"/>
      <c r="FJ58" s="730"/>
      <c r="FK58" s="730"/>
      <c r="FL58" s="730"/>
      <c r="FM58" s="730"/>
      <c r="FN58" s="730"/>
      <c r="FO58" s="730"/>
      <c r="FP58" s="730"/>
      <c r="FQ58" s="730"/>
      <c r="FR58" s="730"/>
      <c r="FS58" s="730"/>
      <c r="FT58" s="730"/>
      <c r="FU58" s="730"/>
      <c r="FV58" s="730"/>
      <c r="FW58" s="730"/>
      <c r="FX58" s="730"/>
      <c r="FY58" s="730"/>
      <c r="FZ58" s="730"/>
      <c r="GA58" s="730"/>
      <c r="GB58" s="730"/>
      <c r="GC58" s="730"/>
      <c r="GD58" s="730"/>
      <c r="GE58" s="730"/>
      <c r="GF58" s="730"/>
      <c r="GG58" s="730"/>
      <c r="GH58" s="730"/>
      <c r="GI58" s="730"/>
      <c r="GJ58" s="730"/>
      <c r="GK58" s="730"/>
      <c r="GL58" s="730"/>
      <c r="GM58" s="730"/>
      <c r="GN58" s="730"/>
      <c r="GO58" s="730"/>
      <c r="GP58" s="730"/>
      <c r="GQ58" s="730"/>
      <c r="GR58" s="730"/>
      <c r="GS58" s="730"/>
      <c r="GT58" s="730"/>
      <c r="GU58" s="730"/>
      <c r="GV58" s="730"/>
      <c r="GW58" s="730"/>
      <c r="GX58" s="730"/>
      <c r="GY58" s="730"/>
      <c r="GZ58" s="730"/>
      <c r="HA58" s="730"/>
      <c r="HB58" s="730"/>
      <c r="HC58" s="730"/>
      <c r="HD58" s="730"/>
      <c r="HE58" s="730"/>
      <c r="HF58" s="730"/>
      <c r="HG58" s="730"/>
      <c r="HH58" s="730"/>
      <c r="HI58" s="730"/>
      <c r="HJ58" s="730"/>
      <c r="HK58" s="730"/>
      <c r="HL58" s="730"/>
      <c r="HM58" s="730"/>
      <c r="HN58" s="730"/>
      <c r="HO58" s="730"/>
      <c r="HP58" s="730"/>
      <c r="HQ58" s="730"/>
      <c r="HR58" s="730"/>
      <c r="HS58" s="730"/>
      <c r="HT58" s="730"/>
      <c r="HU58" s="730"/>
      <c r="HV58" s="730"/>
      <c r="HW58" s="730"/>
      <c r="HX58" s="730"/>
      <c r="HY58" s="730"/>
      <c r="HZ58" s="730"/>
      <c r="IA58" s="730"/>
      <c r="IB58" s="730"/>
      <c r="IC58" s="730"/>
      <c r="ID58" s="730"/>
      <c r="IE58" s="730"/>
      <c r="IF58" s="730"/>
      <c r="IG58" s="730"/>
      <c r="IH58" s="730"/>
      <c r="II58" s="730"/>
      <c r="IJ58" s="730"/>
      <c r="IK58" s="730"/>
      <c r="IL58" s="730"/>
      <c r="IM58" s="730"/>
      <c r="IN58" s="730"/>
      <c r="IO58" s="730"/>
      <c r="IP58" s="730"/>
      <c r="IQ58" s="730"/>
      <c r="IR58" s="730"/>
      <c r="IS58" s="730"/>
      <c r="IT58" s="730"/>
      <c r="IU58" s="730"/>
      <c r="IV58" s="730"/>
    </row>
    <row r="59" spans="1:256" s="602" customFormat="1">
      <c r="A59" s="844">
        <f ca="1">$Q$54 *(2)</f>
        <v>40</v>
      </c>
      <c r="B59" s="730" t="s">
        <v>141</v>
      </c>
      <c r="C59" s="730"/>
      <c r="D59" s="730" t="s">
        <v>1305</v>
      </c>
      <c r="E59" s="730"/>
      <c r="F59" s="730"/>
      <c r="G59" s="731" t="s">
        <v>1306</v>
      </c>
      <c r="H59" s="732">
        <v>620</v>
      </c>
      <c r="I59" s="730" t="s">
        <v>674</v>
      </c>
      <c r="J59" s="730"/>
      <c r="K59" s="735" t="s">
        <v>7</v>
      </c>
      <c r="L59" s="730"/>
      <c r="M59" s="730"/>
      <c r="N59" s="730"/>
      <c r="O59" s="733">
        <v>2</v>
      </c>
      <c r="P59" s="734">
        <v>38148</v>
      </c>
      <c r="Q59" s="735">
        <f>1.1*1.5</f>
        <v>1.6500000000000001</v>
      </c>
      <c r="R59" s="736">
        <f t="shared" ca="1" si="6"/>
        <v>66</v>
      </c>
      <c r="S59" s="735">
        <f>1.1 *(0.1)</f>
        <v>0.11000000000000001</v>
      </c>
      <c r="T59" s="737">
        <f t="shared" ca="1" si="7"/>
        <v>4.4000000000000004</v>
      </c>
      <c r="U59" s="730"/>
      <c r="V59" s="730"/>
      <c r="W59" s="730"/>
      <c r="X59" s="730"/>
      <c r="Y59" s="730"/>
      <c r="Z59" s="730"/>
      <c r="AA59" s="730"/>
      <c r="AB59" s="730"/>
      <c r="AC59" s="730"/>
      <c r="AD59" s="730"/>
      <c r="AE59" s="730"/>
      <c r="AF59" s="730"/>
      <c r="AG59" s="730"/>
      <c r="AH59" s="730"/>
      <c r="AI59" s="730"/>
      <c r="AJ59" s="730"/>
      <c r="AK59" s="730"/>
      <c r="AL59" s="730"/>
      <c r="AM59" s="730"/>
      <c r="AN59" s="730"/>
      <c r="AO59" s="730"/>
      <c r="AP59" s="730"/>
      <c r="AQ59" s="730"/>
      <c r="AR59" s="730"/>
      <c r="AS59" s="730"/>
      <c r="AT59" s="730"/>
      <c r="AU59" s="730"/>
      <c r="AV59" s="730"/>
      <c r="AW59" s="730"/>
      <c r="AX59" s="730"/>
      <c r="AY59" s="730"/>
      <c r="AZ59" s="730"/>
      <c r="BA59" s="730"/>
      <c r="BB59" s="730"/>
      <c r="BC59" s="730"/>
      <c r="BD59" s="730"/>
      <c r="BE59" s="730"/>
      <c r="BF59" s="730"/>
      <c r="BG59" s="730"/>
      <c r="BH59" s="730"/>
      <c r="BI59" s="730"/>
      <c r="BJ59" s="730"/>
      <c r="BK59" s="730"/>
      <c r="BL59" s="730"/>
      <c r="BM59" s="730"/>
      <c r="BN59" s="730"/>
      <c r="BO59" s="730"/>
      <c r="BP59" s="730"/>
      <c r="BQ59" s="730"/>
      <c r="BR59" s="730"/>
      <c r="BS59" s="730"/>
      <c r="BT59" s="730"/>
      <c r="BU59" s="730"/>
      <c r="BV59" s="730"/>
      <c r="BW59" s="730"/>
      <c r="BX59" s="730"/>
      <c r="BY59" s="730"/>
      <c r="BZ59" s="730"/>
      <c r="CA59" s="730"/>
      <c r="CB59" s="730"/>
      <c r="CC59" s="730"/>
      <c r="CD59" s="730"/>
      <c r="CE59" s="730"/>
      <c r="CF59" s="730"/>
      <c r="CG59" s="730"/>
      <c r="CH59" s="730"/>
      <c r="CI59" s="730"/>
      <c r="CJ59" s="730"/>
      <c r="CK59" s="730"/>
      <c r="CL59" s="730"/>
      <c r="CM59" s="730"/>
      <c r="CN59" s="730"/>
      <c r="CO59" s="730"/>
      <c r="CP59" s="730"/>
      <c r="CQ59" s="730"/>
      <c r="CR59" s="730"/>
      <c r="CS59" s="730"/>
      <c r="CT59" s="730"/>
      <c r="CU59" s="730"/>
      <c r="CV59" s="730"/>
      <c r="CW59" s="730"/>
      <c r="CX59" s="730"/>
      <c r="CY59" s="730"/>
      <c r="CZ59" s="730"/>
      <c r="DA59" s="730"/>
      <c r="DB59" s="730"/>
      <c r="DC59" s="730"/>
      <c r="DD59" s="730"/>
      <c r="DE59" s="730"/>
      <c r="DF59" s="730"/>
      <c r="DG59" s="730"/>
      <c r="DH59" s="730"/>
      <c r="DI59" s="730"/>
      <c r="DJ59" s="730"/>
      <c r="DK59" s="730"/>
      <c r="DL59" s="730"/>
      <c r="DM59" s="730"/>
      <c r="DN59" s="730"/>
      <c r="DO59" s="730"/>
      <c r="DP59" s="730"/>
      <c r="DQ59" s="730"/>
      <c r="DR59" s="730"/>
      <c r="DS59" s="730"/>
      <c r="DT59" s="730"/>
      <c r="DU59" s="730"/>
      <c r="DV59" s="730"/>
      <c r="DW59" s="730"/>
      <c r="DX59" s="730"/>
      <c r="DY59" s="730"/>
      <c r="DZ59" s="730"/>
      <c r="EA59" s="730"/>
      <c r="EB59" s="730"/>
      <c r="EC59" s="730"/>
      <c r="ED59" s="730"/>
      <c r="EE59" s="730"/>
      <c r="EF59" s="730"/>
      <c r="EG59" s="730"/>
      <c r="EH59" s="730"/>
      <c r="EI59" s="730"/>
      <c r="EJ59" s="730"/>
      <c r="EK59" s="730"/>
      <c r="EL59" s="730"/>
      <c r="EM59" s="730"/>
      <c r="EN59" s="730"/>
      <c r="EO59" s="730"/>
      <c r="EP59" s="730"/>
      <c r="EQ59" s="730"/>
      <c r="ER59" s="730"/>
      <c r="ES59" s="730"/>
      <c r="ET59" s="730"/>
      <c r="EU59" s="730"/>
      <c r="EV59" s="730"/>
      <c r="EW59" s="730"/>
      <c r="EX59" s="730"/>
      <c r="EY59" s="730"/>
      <c r="EZ59" s="730"/>
      <c r="FA59" s="730"/>
      <c r="FB59" s="730"/>
      <c r="FC59" s="730"/>
      <c r="FD59" s="730"/>
      <c r="FE59" s="730"/>
      <c r="FF59" s="730"/>
      <c r="FG59" s="730"/>
      <c r="FH59" s="730"/>
      <c r="FI59" s="730"/>
      <c r="FJ59" s="730"/>
      <c r="FK59" s="730"/>
      <c r="FL59" s="730"/>
      <c r="FM59" s="730"/>
      <c r="FN59" s="730"/>
      <c r="FO59" s="730"/>
      <c r="FP59" s="730"/>
      <c r="FQ59" s="730"/>
      <c r="FR59" s="730"/>
      <c r="FS59" s="730"/>
      <c r="FT59" s="730"/>
      <c r="FU59" s="730"/>
      <c r="FV59" s="730"/>
      <c r="FW59" s="730"/>
      <c r="FX59" s="730"/>
      <c r="FY59" s="730"/>
      <c r="FZ59" s="730"/>
      <c r="GA59" s="730"/>
      <c r="GB59" s="730"/>
      <c r="GC59" s="730"/>
      <c r="GD59" s="730"/>
      <c r="GE59" s="730"/>
      <c r="GF59" s="730"/>
      <c r="GG59" s="730"/>
      <c r="GH59" s="730"/>
      <c r="GI59" s="730"/>
      <c r="GJ59" s="730"/>
      <c r="GK59" s="730"/>
      <c r="GL59" s="730"/>
      <c r="GM59" s="730"/>
      <c r="GN59" s="730"/>
      <c r="GO59" s="730"/>
      <c r="GP59" s="730"/>
      <c r="GQ59" s="730"/>
      <c r="GR59" s="730"/>
      <c r="GS59" s="730"/>
      <c r="GT59" s="730"/>
      <c r="GU59" s="730"/>
      <c r="GV59" s="730"/>
      <c r="GW59" s="730"/>
      <c r="GX59" s="730"/>
      <c r="GY59" s="730"/>
      <c r="GZ59" s="730"/>
      <c r="HA59" s="730"/>
      <c r="HB59" s="730"/>
      <c r="HC59" s="730"/>
      <c r="HD59" s="730"/>
      <c r="HE59" s="730"/>
      <c r="HF59" s="730"/>
      <c r="HG59" s="730"/>
      <c r="HH59" s="730"/>
      <c r="HI59" s="730"/>
      <c r="HJ59" s="730"/>
      <c r="HK59" s="730"/>
      <c r="HL59" s="730"/>
      <c r="HM59" s="730"/>
      <c r="HN59" s="730"/>
      <c r="HO59" s="730"/>
      <c r="HP59" s="730"/>
      <c r="HQ59" s="730"/>
      <c r="HR59" s="730"/>
      <c r="HS59" s="730"/>
      <c r="HT59" s="730"/>
      <c r="HU59" s="730"/>
      <c r="HV59" s="730"/>
      <c r="HW59" s="730"/>
      <c r="HX59" s="730"/>
      <c r="HY59" s="730"/>
      <c r="HZ59" s="730"/>
      <c r="IA59" s="730"/>
      <c r="IB59" s="730"/>
      <c r="IC59" s="730"/>
      <c r="ID59" s="730"/>
      <c r="IE59" s="730"/>
      <c r="IF59" s="730"/>
      <c r="IG59" s="730"/>
      <c r="IH59" s="730"/>
      <c r="II59" s="730"/>
      <c r="IJ59" s="730"/>
      <c r="IK59" s="730"/>
      <c r="IL59" s="730"/>
      <c r="IM59" s="730"/>
      <c r="IN59" s="730"/>
      <c r="IO59" s="730"/>
      <c r="IP59" s="730"/>
      <c r="IQ59" s="730"/>
      <c r="IR59" s="730"/>
      <c r="IS59" s="730"/>
      <c r="IT59" s="730"/>
      <c r="IU59" s="730"/>
      <c r="IV59" s="730"/>
    </row>
    <row r="60" spans="1:256" s="602" customFormat="1">
      <c r="A60" s="844">
        <f ca="1">$Q$54 *(2)</f>
        <v>40</v>
      </c>
      <c r="B60" s="730" t="s">
        <v>141</v>
      </c>
      <c r="C60" s="730"/>
      <c r="D60" s="730" t="s">
        <v>1054</v>
      </c>
      <c r="E60" s="730"/>
      <c r="F60" s="730"/>
      <c r="G60" s="731" t="s">
        <v>1055</v>
      </c>
      <c r="H60" s="732">
        <v>620</v>
      </c>
      <c r="I60" s="730" t="s">
        <v>674</v>
      </c>
      <c r="J60" s="730"/>
      <c r="K60" s="735" t="s">
        <v>7</v>
      </c>
      <c r="L60" s="730"/>
      <c r="M60" s="730"/>
      <c r="N60" s="730"/>
      <c r="O60" s="733">
        <v>2</v>
      </c>
      <c r="P60" s="734"/>
      <c r="Q60" s="1210">
        <v>0.2</v>
      </c>
      <c r="R60" s="736">
        <f t="shared" ca="1" si="6"/>
        <v>8</v>
      </c>
      <c r="S60" s="735">
        <f>1.1 *(0.03)</f>
        <v>3.3000000000000002E-2</v>
      </c>
      <c r="T60" s="737">
        <f t="shared" ca="1" si="7"/>
        <v>1.32</v>
      </c>
      <c r="U60" s="730"/>
      <c r="V60" s="730"/>
      <c r="W60" s="730"/>
      <c r="X60" s="730"/>
      <c r="Y60" s="730"/>
      <c r="Z60" s="730"/>
      <c r="AA60" s="730"/>
      <c r="AB60" s="730"/>
      <c r="AC60" s="730"/>
      <c r="AD60" s="730"/>
      <c r="AE60" s="730"/>
      <c r="AF60" s="730"/>
      <c r="AG60" s="730"/>
      <c r="AH60" s="730"/>
      <c r="AI60" s="730"/>
      <c r="AJ60" s="730"/>
      <c r="AK60" s="730"/>
      <c r="AL60" s="730"/>
      <c r="AM60" s="730"/>
      <c r="AN60" s="730"/>
      <c r="AO60" s="730"/>
      <c r="AP60" s="730"/>
      <c r="AQ60" s="730"/>
      <c r="AR60" s="730"/>
      <c r="AS60" s="730"/>
      <c r="AT60" s="730"/>
      <c r="AU60" s="730"/>
      <c r="AV60" s="730"/>
      <c r="AW60" s="730"/>
      <c r="AX60" s="730"/>
      <c r="AY60" s="730"/>
      <c r="AZ60" s="730"/>
      <c r="BA60" s="730"/>
      <c r="BB60" s="730"/>
      <c r="BC60" s="730"/>
      <c r="BD60" s="730"/>
      <c r="BE60" s="730"/>
      <c r="BF60" s="730"/>
      <c r="BG60" s="730"/>
      <c r="BH60" s="730"/>
      <c r="BI60" s="730"/>
      <c r="BJ60" s="730"/>
      <c r="BK60" s="730"/>
      <c r="BL60" s="730"/>
      <c r="BM60" s="730"/>
      <c r="BN60" s="730"/>
      <c r="BO60" s="730"/>
      <c r="BP60" s="730"/>
      <c r="BQ60" s="730"/>
      <c r="BR60" s="730"/>
      <c r="BS60" s="730"/>
      <c r="BT60" s="730"/>
      <c r="BU60" s="730"/>
      <c r="BV60" s="730"/>
      <c r="BW60" s="730"/>
      <c r="BX60" s="730"/>
      <c r="BY60" s="730"/>
      <c r="BZ60" s="730"/>
      <c r="CA60" s="730"/>
      <c r="CB60" s="730"/>
      <c r="CC60" s="730"/>
      <c r="CD60" s="730"/>
      <c r="CE60" s="730"/>
      <c r="CF60" s="730"/>
      <c r="CG60" s="730"/>
      <c r="CH60" s="730"/>
      <c r="CI60" s="730"/>
      <c r="CJ60" s="730"/>
      <c r="CK60" s="730"/>
      <c r="CL60" s="730"/>
      <c r="CM60" s="730"/>
      <c r="CN60" s="730"/>
      <c r="CO60" s="730"/>
      <c r="CP60" s="730"/>
      <c r="CQ60" s="730"/>
      <c r="CR60" s="730"/>
      <c r="CS60" s="730"/>
      <c r="CT60" s="730"/>
      <c r="CU60" s="730"/>
      <c r="CV60" s="730"/>
      <c r="CW60" s="730"/>
      <c r="CX60" s="730"/>
      <c r="CY60" s="730"/>
      <c r="CZ60" s="730"/>
      <c r="DA60" s="730"/>
      <c r="DB60" s="730"/>
      <c r="DC60" s="730"/>
      <c r="DD60" s="730"/>
      <c r="DE60" s="730"/>
      <c r="DF60" s="730"/>
      <c r="DG60" s="730"/>
      <c r="DH60" s="730"/>
      <c r="DI60" s="730"/>
      <c r="DJ60" s="730"/>
      <c r="DK60" s="730"/>
      <c r="DL60" s="730"/>
      <c r="DM60" s="730"/>
      <c r="DN60" s="730"/>
      <c r="DO60" s="730"/>
      <c r="DP60" s="730"/>
      <c r="DQ60" s="730"/>
      <c r="DR60" s="730"/>
      <c r="DS60" s="730"/>
      <c r="DT60" s="730"/>
      <c r="DU60" s="730"/>
      <c r="DV60" s="730"/>
      <c r="DW60" s="730"/>
      <c r="DX60" s="730"/>
      <c r="DY60" s="730"/>
      <c r="DZ60" s="730"/>
      <c r="EA60" s="730"/>
      <c r="EB60" s="730"/>
      <c r="EC60" s="730"/>
      <c r="ED60" s="730"/>
      <c r="EE60" s="730"/>
      <c r="EF60" s="730"/>
      <c r="EG60" s="730"/>
      <c r="EH60" s="730"/>
      <c r="EI60" s="730"/>
      <c r="EJ60" s="730"/>
      <c r="EK60" s="730"/>
      <c r="EL60" s="730"/>
      <c r="EM60" s="730"/>
      <c r="EN60" s="730"/>
      <c r="EO60" s="730"/>
      <c r="EP60" s="730"/>
      <c r="EQ60" s="730"/>
      <c r="ER60" s="730"/>
      <c r="ES60" s="730"/>
      <c r="ET60" s="730"/>
      <c r="EU60" s="730"/>
      <c r="EV60" s="730"/>
      <c r="EW60" s="730"/>
      <c r="EX60" s="730"/>
      <c r="EY60" s="730"/>
      <c r="EZ60" s="730"/>
      <c r="FA60" s="730"/>
      <c r="FB60" s="730"/>
      <c r="FC60" s="730"/>
      <c r="FD60" s="730"/>
      <c r="FE60" s="730"/>
      <c r="FF60" s="730"/>
      <c r="FG60" s="730"/>
      <c r="FH60" s="730"/>
      <c r="FI60" s="730"/>
      <c r="FJ60" s="730"/>
      <c r="FK60" s="730"/>
      <c r="FL60" s="730"/>
      <c r="FM60" s="730"/>
      <c r="FN60" s="730"/>
      <c r="FO60" s="730"/>
      <c r="FP60" s="730"/>
      <c r="FQ60" s="730"/>
      <c r="FR60" s="730"/>
      <c r="FS60" s="730"/>
      <c r="FT60" s="730"/>
      <c r="FU60" s="730"/>
      <c r="FV60" s="730"/>
      <c r="FW60" s="730"/>
      <c r="FX60" s="730"/>
      <c r="FY60" s="730"/>
      <c r="FZ60" s="730"/>
      <c r="GA60" s="730"/>
      <c r="GB60" s="730"/>
      <c r="GC60" s="730"/>
      <c r="GD60" s="730"/>
      <c r="GE60" s="730"/>
      <c r="GF60" s="730"/>
      <c r="GG60" s="730"/>
      <c r="GH60" s="730"/>
      <c r="GI60" s="730"/>
      <c r="GJ60" s="730"/>
      <c r="GK60" s="730"/>
      <c r="GL60" s="730"/>
      <c r="GM60" s="730"/>
      <c r="GN60" s="730"/>
      <c r="GO60" s="730"/>
      <c r="GP60" s="730"/>
      <c r="GQ60" s="730"/>
      <c r="GR60" s="730"/>
      <c r="GS60" s="730"/>
      <c r="GT60" s="730"/>
      <c r="GU60" s="730"/>
      <c r="GV60" s="730"/>
      <c r="GW60" s="730"/>
      <c r="GX60" s="730"/>
      <c r="GY60" s="730"/>
      <c r="GZ60" s="730"/>
      <c r="HA60" s="730"/>
      <c r="HB60" s="730"/>
      <c r="HC60" s="730"/>
      <c r="HD60" s="730"/>
      <c r="HE60" s="730"/>
      <c r="HF60" s="730"/>
      <c r="HG60" s="730"/>
      <c r="HH60" s="730"/>
      <c r="HI60" s="730"/>
      <c r="HJ60" s="730"/>
      <c r="HK60" s="730"/>
      <c r="HL60" s="730"/>
      <c r="HM60" s="730"/>
      <c r="HN60" s="730"/>
      <c r="HO60" s="730"/>
      <c r="HP60" s="730"/>
      <c r="HQ60" s="730"/>
      <c r="HR60" s="730"/>
      <c r="HS60" s="730"/>
      <c r="HT60" s="730"/>
      <c r="HU60" s="730"/>
      <c r="HV60" s="730"/>
      <c r="HW60" s="730"/>
      <c r="HX60" s="730"/>
      <c r="HY60" s="730"/>
      <c r="HZ60" s="730"/>
      <c r="IA60" s="730"/>
      <c r="IB60" s="730"/>
      <c r="IC60" s="730"/>
      <c r="ID60" s="730"/>
      <c r="IE60" s="730"/>
      <c r="IF60" s="730"/>
      <c r="IG60" s="730"/>
      <c r="IH60" s="730"/>
      <c r="II60" s="730"/>
      <c r="IJ60" s="730"/>
      <c r="IK60" s="730"/>
      <c r="IL60" s="730"/>
      <c r="IM60" s="730"/>
      <c r="IN60" s="730"/>
      <c r="IO60" s="730"/>
      <c r="IP60" s="730"/>
      <c r="IQ60" s="730"/>
      <c r="IR60" s="730"/>
      <c r="IS60" s="730"/>
      <c r="IT60" s="730"/>
      <c r="IU60" s="730"/>
      <c r="IV60" s="730"/>
    </row>
    <row r="61" spans="1:256" s="602" customFormat="1">
      <c r="A61" s="844">
        <f ca="1">$Q$54 *(2*4)</f>
        <v>160</v>
      </c>
      <c r="B61" s="730" t="s">
        <v>141</v>
      </c>
      <c r="C61" s="730"/>
      <c r="D61" s="730" t="s">
        <v>1058</v>
      </c>
      <c r="E61" s="730"/>
      <c r="F61" s="730"/>
      <c r="G61" s="731" t="s">
        <v>1059</v>
      </c>
      <c r="H61" s="732">
        <v>620</v>
      </c>
      <c r="I61" s="730" t="s">
        <v>702</v>
      </c>
      <c r="J61" s="730"/>
      <c r="K61" s="735" t="s">
        <v>7</v>
      </c>
      <c r="L61" s="730"/>
      <c r="M61" s="730"/>
      <c r="N61" s="730"/>
      <c r="O61" s="733">
        <v>2</v>
      </c>
      <c r="P61" s="734">
        <v>34669</v>
      </c>
      <c r="Q61" s="1210">
        <v>0.05</v>
      </c>
      <c r="R61" s="736">
        <f t="shared" ca="1" si="6"/>
        <v>8</v>
      </c>
      <c r="S61" s="735">
        <f>1.1 *(0.01)</f>
        <v>1.1000000000000001E-2</v>
      </c>
      <c r="T61" s="737">
        <f t="shared" ca="1" si="7"/>
        <v>1.7600000000000002</v>
      </c>
      <c r="U61" s="730"/>
      <c r="V61" s="730"/>
      <c r="W61" s="730"/>
      <c r="X61" s="730"/>
      <c r="Y61" s="730"/>
      <c r="Z61" s="730"/>
      <c r="AA61" s="730"/>
      <c r="AB61" s="730"/>
      <c r="AC61" s="730"/>
      <c r="AD61" s="730"/>
      <c r="AE61" s="730"/>
      <c r="AF61" s="730"/>
      <c r="AG61" s="730"/>
      <c r="AH61" s="730"/>
      <c r="AI61" s="730"/>
      <c r="AJ61" s="730"/>
      <c r="AK61" s="730"/>
      <c r="AL61" s="730"/>
      <c r="AM61" s="730"/>
      <c r="AN61" s="730"/>
      <c r="AO61" s="730"/>
      <c r="AP61" s="730"/>
      <c r="AQ61" s="730"/>
      <c r="AR61" s="730"/>
      <c r="AS61" s="730"/>
      <c r="AT61" s="730"/>
      <c r="AU61" s="730"/>
      <c r="AV61" s="730"/>
      <c r="AW61" s="730"/>
      <c r="AX61" s="730"/>
      <c r="AY61" s="730"/>
      <c r="AZ61" s="730"/>
      <c r="BA61" s="730"/>
      <c r="BB61" s="730"/>
      <c r="BC61" s="730"/>
      <c r="BD61" s="730"/>
      <c r="BE61" s="730"/>
      <c r="BF61" s="730"/>
      <c r="BG61" s="730"/>
      <c r="BH61" s="730"/>
      <c r="BI61" s="730"/>
      <c r="BJ61" s="730"/>
      <c r="BK61" s="730"/>
      <c r="BL61" s="730"/>
      <c r="BM61" s="730"/>
      <c r="BN61" s="730"/>
      <c r="BO61" s="730"/>
      <c r="BP61" s="730"/>
      <c r="BQ61" s="730"/>
      <c r="BR61" s="730"/>
      <c r="BS61" s="730"/>
      <c r="BT61" s="730"/>
      <c r="BU61" s="730"/>
      <c r="BV61" s="730"/>
      <c r="BW61" s="730"/>
      <c r="BX61" s="730"/>
      <c r="BY61" s="730"/>
      <c r="BZ61" s="730"/>
      <c r="CA61" s="730"/>
      <c r="CB61" s="730"/>
      <c r="CC61" s="730"/>
      <c r="CD61" s="730"/>
      <c r="CE61" s="730"/>
      <c r="CF61" s="730"/>
      <c r="CG61" s="730"/>
      <c r="CH61" s="730"/>
      <c r="CI61" s="730"/>
      <c r="CJ61" s="730"/>
      <c r="CK61" s="730"/>
      <c r="CL61" s="730"/>
      <c r="CM61" s="730"/>
      <c r="CN61" s="730"/>
      <c r="CO61" s="730"/>
      <c r="CP61" s="730"/>
      <c r="CQ61" s="730"/>
      <c r="CR61" s="730"/>
      <c r="CS61" s="730"/>
      <c r="CT61" s="730"/>
      <c r="CU61" s="730"/>
      <c r="CV61" s="730"/>
      <c r="CW61" s="730"/>
      <c r="CX61" s="730"/>
      <c r="CY61" s="730"/>
      <c r="CZ61" s="730"/>
      <c r="DA61" s="730"/>
      <c r="DB61" s="730"/>
      <c r="DC61" s="730"/>
      <c r="DD61" s="730"/>
      <c r="DE61" s="730"/>
      <c r="DF61" s="730"/>
      <c r="DG61" s="730"/>
      <c r="DH61" s="730"/>
      <c r="DI61" s="730"/>
      <c r="DJ61" s="730"/>
      <c r="DK61" s="730"/>
      <c r="DL61" s="730"/>
      <c r="DM61" s="730"/>
      <c r="DN61" s="730"/>
      <c r="DO61" s="730"/>
      <c r="DP61" s="730"/>
      <c r="DQ61" s="730"/>
      <c r="DR61" s="730"/>
      <c r="DS61" s="730"/>
      <c r="DT61" s="730"/>
      <c r="DU61" s="730"/>
      <c r="DV61" s="730"/>
      <c r="DW61" s="730"/>
      <c r="DX61" s="730"/>
      <c r="DY61" s="730"/>
      <c r="DZ61" s="730"/>
      <c r="EA61" s="730"/>
      <c r="EB61" s="730"/>
      <c r="EC61" s="730"/>
      <c r="ED61" s="730"/>
      <c r="EE61" s="730"/>
      <c r="EF61" s="730"/>
      <c r="EG61" s="730"/>
      <c r="EH61" s="730"/>
      <c r="EI61" s="730"/>
      <c r="EJ61" s="730"/>
      <c r="EK61" s="730"/>
      <c r="EL61" s="730"/>
      <c r="EM61" s="730"/>
      <c r="EN61" s="730"/>
      <c r="EO61" s="730"/>
      <c r="EP61" s="730"/>
      <c r="EQ61" s="730"/>
      <c r="ER61" s="730"/>
      <c r="ES61" s="730"/>
      <c r="ET61" s="730"/>
      <c r="EU61" s="730"/>
      <c r="EV61" s="730"/>
      <c r="EW61" s="730"/>
      <c r="EX61" s="730"/>
      <c r="EY61" s="730"/>
      <c r="EZ61" s="730"/>
      <c r="FA61" s="730"/>
      <c r="FB61" s="730"/>
      <c r="FC61" s="730"/>
      <c r="FD61" s="730"/>
      <c r="FE61" s="730"/>
      <c r="FF61" s="730"/>
      <c r="FG61" s="730"/>
      <c r="FH61" s="730"/>
      <c r="FI61" s="730"/>
      <c r="FJ61" s="730"/>
      <c r="FK61" s="730"/>
      <c r="FL61" s="730"/>
      <c r="FM61" s="730"/>
      <c r="FN61" s="730"/>
      <c r="FO61" s="730"/>
      <c r="FP61" s="730"/>
      <c r="FQ61" s="730"/>
      <c r="FR61" s="730"/>
      <c r="FS61" s="730"/>
      <c r="FT61" s="730"/>
      <c r="FU61" s="730"/>
      <c r="FV61" s="730"/>
      <c r="FW61" s="730"/>
      <c r="FX61" s="730"/>
      <c r="FY61" s="730"/>
      <c r="FZ61" s="730"/>
      <c r="GA61" s="730"/>
      <c r="GB61" s="730"/>
      <c r="GC61" s="730"/>
      <c r="GD61" s="730"/>
      <c r="GE61" s="730"/>
      <c r="GF61" s="730"/>
      <c r="GG61" s="730"/>
      <c r="GH61" s="730"/>
      <c r="GI61" s="730"/>
      <c r="GJ61" s="730"/>
      <c r="GK61" s="730"/>
      <c r="GL61" s="730"/>
      <c r="GM61" s="730"/>
      <c r="GN61" s="730"/>
      <c r="GO61" s="730"/>
      <c r="GP61" s="730"/>
      <c r="GQ61" s="730"/>
      <c r="GR61" s="730"/>
      <c r="GS61" s="730"/>
      <c r="GT61" s="730"/>
      <c r="GU61" s="730"/>
      <c r="GV61" s="730"/>
      <c r="GW61" s="730"/>
      <c r="GX61" s="730"/>
      <c r="GY61" s="730"/>
      <c r="GZ61" s="730"/>
      <c r="HA61" s="730"/>
      <c r="HB61" s="730"/>
      <c r="HC61" s="730"/>
      <c r="HD61" s="730"/>
      <c r="HE61" s="730"/>
      <c r="HF61" s="730"/>
      <c r="HG61" s="730"/>
      <c r="HH61" s="730"/>
      <c r="HI61" s="730"/>
      <c r="HJ61" s="730"/>
      <c r="HK61" s="730"/>
      <c r="HL61" s="730"/>
      <c r="HM61" s="730"/>
      <c r="HN61" s="730"/>
      <c r="HO61" s="730"/>
      <c r="HP61" s="730"/>
      <c r="HQ61" s="730"/>
      <c r="HR61" s="730"/>
      <c r="HS61" s="730"/>
      <c r="HT61" s="730"/>
      <c r="HU61" s="730"/>
      <c r="HV61" s="730"/>
      <c r="HW61" s="730"/>
      <c r="HX61" s="730"/>
      <c r="HY61" s="730"/>
      <c r="HZ61" s="730"/>
      <c r="IA61" s="730"/>
      <c r="IB61" s="730"/>
      <c r="IC61" s="730"/>
      <c r="ID61" s="730"/>
      <c r="IE61" s="730"/>
      <c r="IF61" s="730"/>
      <c r="IG61" s="730"/>
      <c r="IH61" s="730"/>
      <c r="II61" s="730"/>
      <c r="IJ61" s="730"/>
      <c r="IK61" s="730"/>
      <c r="IL61" s="730"/>
      <c r="IM61" s="730"/>
      <c r="IN61" s="730"/>
      <c r="IO61" s="730"/>
      <c r="IP61" s="730"/>
      <c r="IQ61" s="730"/>
      <c r="IR61" s="730"/>
      <c r="IS61" s="730"/>
      <c r="IT61" s="730"/>
      <c r="IU61" s="730"/>
      <c r="IV61" s="730"/>
    </row>
    <row r="62" spans="1:256" s="730" customFormat="1">
      <c r="A62" s="844">
        <f ca="1">$Q$54 *(1)</f>
        <v>20</v>
      </c>
      <c r="B62" s="730" t="s">
        <v>141</v>
      </c>
      <c r="D62" s="730" t="s">
        <v>1039</v>
      </c>
      <c r="F62" s="730" t="s">
        <v>1307</v>
      </c>
      <c r="G62" s="731" t="s">
        <v>1040</v>
      </c>
      <c r="H62" s="732">
        <v>900</v>
      </c>
      <c r="I62" s="730" t="s">
        <v>686</v>
      </c>
      <c r="K62" s="730" t="s">
        <v>7</v>
      </c>
      <c r="O62" s="733">
        <v>1</v>
      </c>
      <c r="P62" s="734"/>
      <c r="Q62" s="1201"/>
      <c r="R62" s="736">
        <f t="shared" ca="1" si="6"/>
        <v>0</v>
      </c>
      <c r="S62" s="735">
        <f>1.1 *(0.5)</f>
        <v>0.55000000000000004</v>
      </c>
      <c r="T62" s="737">
        <f t="shared" ca="1" si="7"/>
        <v>11</v>
      </c>
      <c r="U62" s="730" t="s">
        <v>913</v>
      </c>
    </row>
    <row r="63" spans="1:256" s="602" customFormat="1" ht="12" customHeight="1">
      <c r="A63" s="663"/>
      <c r="B63" s="3"/>
      <c r="C63" s="663" t="s">
        <v>183</v>
      </c>
      <c r="D63" s="3"/>
      <c r="E63" s="663"/>
      <c r="F63" s="664"/>
      <c r="G63" s="663"/>
      <c r="H63" s="663"/>
      <c r="I63" s="601"/>
      <c r="J63" s="663"/>
      <c r="K63" s="663"/>
      <c r="L63" s="663"/>
      <c r="M63" s="663"/>
      <c r="N63" s="663"/>
      <c r="O63" s="663"/>
      <c r="P63" s="663"/>
      <c r="Q63" s="601"/>
      <c r="R63" s="814">
        <f t="shared" si="6"/>
        <v>0</v>
      </c>
      <c r="S63" s="601"/>
      <c r="T63" s="681">
        <f t="shared" si="7"/>
        <v>0</v>
      </c>
    </row>
    <row r="64" spans="1:256" s="602" customFormat="1" ht="12.6" thickBot="1">
      <c r="A64" s="682" t="s">
        <v>145</v>
      </c>
      <c r="B64" s="683">
        <f>(R63+T63)</f>
        <v>0</v>
      </c>
      <c r="C64" s="684"/>
      <c r="D64" s="834" t="s">
        <v>184</v>
      </c>
      <c r="E64" s="545">
        <f ca="1">IF($B54=0,0,ROUND(ROUND(($R64*$S$2+($T64*$T$2))/$B54, 2)*$C$2,2))</f>
        <v>235.47</v>
      </c>
      <c r="F64" s="546">
        <f ca="1">ROUND($B54*$E64,2)</f>
        <v>4709.3999999999996</v>
      </c>
      <c r="G64" s="684"/>
      <c r="H64" s="684"/>
      <c r="I64" s="686"/>
      <c r="J64" s="684"/>
      <c r="K64" s="835" t="s">
        <v>143</v>
      </c>
      <c r="L64" s="687" t="s">
        <v>143</v>
      </c>
      <c r="M64" s="687"/>
      <c r="N64" s="687"/>
      <c r="O64" s="687"/>
      <c r="P64" s="687"/>
      <c r="Q64" s="835"/>
      <c r="R64" s="836">
        <f ca="1">SUM(R55:R63)</f>
        <v>1171.9000000000001</v>
      </c>
      <c r="S64" s="837"/>
      <c r="T64" s="836">
        <f ca="1">SUM(T55:T63)</f>
        <v>87.780000000000015</v>
      </c>
      <c r="U64" s="611"/>
      <c r="V64" s="611"/>
      <c r="W64" s="611"/>
      <c r="X64" s="611"/>
      <c r="Y64" s="611"/>
      <c r="Z64" s="611"/>
      <c r="AA64" s="611"/>
      <c r="AB64" s="611"/>
    </row>
    <row r="65" spans="1:256" s="602" customFormat="1" ht="12" thickTop="1">
      <c r="A65" s="63"/>
      <c r="B65" s="63"/>
      <c r="C65" s="63"/>
      <c r="D65" s="63"/>
      <c r="E65" s="63"/>
      <c r="F65" s="63"/>
      <c r="G65" s="63"/>
      <c r="H65" s="63"/>
      <c r="I65" s="63"/>
      <c r="J65" s="63"/>
      <c r="K65" s="63"/>
      <c r="L65" s="63"/>
      <c r="M65" s="63"/>
      <c r="N65" s="63"/>
      <c r="O65" s="64"/>
      <c r="P65" s="63"/>
      <c r="Q65" s="42" t="s">
        <v>180</v>
      </c>
      <c r="R65" s="63"/>
      <c r="S65" s="13"/>
      <c r="T65" s="63"/>
    </row>
    <row r="66" spans="1:256" s="602" customFormat="1" ht="12.6" thickBot="1">
      <c r="A66" s="824">
        <v>1</v>
      </c>
      <c r="B66" s="825">
        <f ca="1">Elec_Est!B1043</f>
        <v>20</v>
      </c>
      <c r="C66" s="826"/>
      <c r="D66" s="827" t="s">
        <v>1313</v>
      </c>
      <c r="E66" s="828"/>
      <c r="F66" s="828"/>
      <c r="G66" s="676"/>
      <c r="H66" s="676"/>
      <c r="I66" s="829"/>
      <c r="J66" s="676"/>
      <c r="K66" s="826" t="s">
        <v>181</v>
      </c>
      <c r="L66" s="830" t="s">
        <v>181</v>
      </c>
      <c r="M66" s="830"/>
      <c r="N66" s="830"/>
      <c r="O66" s="830"/>
      <c r="P66" s="830"/>
      <c r="Q66" s="831">
        <f ca="1">B66/A66</f>
        <v>20</v>
      </c>
      <c r="R66" s="832">
        <f ca="1">IF($B66=0,0,IF($S$1="R",ROUND(R76/$B66,2),R76/$B66))</f>
        <v>19.07</v>
      </c>
      <c r="S66" s="833"/>
      <c r="T66" s="832">
        <f ca="1">IF($B66=0,0,IF($S$1="R",ROUND(T76/$B66,2),T76/$B66))</f>
        <v>2.37</v>
      </c>
    </row>
    <row r="67" spans="1:256" s="602" customFormat="1" ht="13.8" thickTop="1">
      <c r="A67" s="672"/>
      <c r="B67" s="3"/>
      <c r="C67" s="3"/>
      <c r="D67" s="157" t="s">
        <v>1311</v>
      </c>
      <c r="E67" s="3"/>
      <c r="F67" s="3"/>
      <c r="G67" s="3"/>
      <c r="H67" s="3"/>
      <c r="I67" s="3"/>
      <c r="J67" s="3"/>
      <c r="K67" s="3"/>
      <c r="L67" s="3"/>
      <c r="M67" s="3"/>
      <c r="N67" s="3"/>
      <c r="O67" s="158"/>
      <c r="P67" s="3"/>
      <c r="Q67" s="3"/>
      <c r="R67" s="3"/>
      <c r="S67" s="3"/>
      <c r="T67" s="3"/>
    </row>
    <row r="68" spans="1:256" s="730" customFormat="1">
      <c r="A68" s="840">
        <f ca="1">$Q$66 *(5)</f>
        <v>100</v>
      </c>
      <c r="B68" s="730" t="s">
        <v>326</v>
      </c>
      <c r="D68" s="730" t="s">
        <v>763</v>
      </c>
      <c r="G68" s="731" t="s">
        <v>764</v>
      </c>
      <c r="H68" s="732">
        <v>690</v>
      </c>
      <c r="I68" s="730" t="s">
        <v>765</v>
      </c>
      <c r="J68" s="730" t="s">
        <v>766</v>
      </c>
      <c r="K68" s="735" t="s">
        <v>7</v>
      </c>
      <c r="O68" s="733">
        <v>1</v>
      </c>
      <c r="P68" s="734">
        <v>34669</v>
      </c>
      <c r="Q68" s="1210">
        <f>1.2 *(1.7)</f>
        <v>2.04</v>
      </c>
      <c r="R68" s="736">
        <f t="shared" ref="R68:R75" ca="1" si="8">$A68*Q68</f>
        <v>204</v>
      </c>
      <c r="S68" s="735">
        <f>1.1 *(0.2)</f>
        <v>0.22000000000000003</v>
      </c>
      <c r="T68" s="737">
        <f t="shared" ref="T68:T75" ca="1" si="9">$A68*S68*$T$1</f>
        <v>22.000000000000004</v>
      </c>
    </row>
    <row r="69" spans="1:256" s="713" customFormat="1">
      <c r="A69" s="1213">
        <f ca="1">$Q$66 *(5)</f>
        <v>100</v>
      </c>
      <c r="B69" s="730" t="s">
        <v>326</v>
      </c>
      <c r="C69" s="3">
        <f>3000*1.1</f>
        <v>3300.0000000000005</v>
      </c>
      <c r="D69" s="730" t="s">
        <v>1309</v>
      </c>
      <c r="E69" s="730"/>
      <c r="F69" s="1214"/>
      <c r="G69" s="1215" t="s">
        <v>1302</v>
      </c>
      <c r="H69" s="1216">
        <v>617</v>
      </c>
      <c r="I69" s="1217" t="s">
        <v>1303</v>
      </c>
      <c r="J69" s="1217" t="s">
        <v>1304</v>
      </c>
      <c r="K69" s="1210" t="s">
        <v>7</v>
      </c>
      <c r="L69" s="1217"/>
      <c r="M69" s="1217"/>
      <c r="N69" s="1217"/>
      <c r="O69" s="1218">
        <v>2</v>
      </c>
      <c r="P69" s="1219"/>
      <c r="Q69" s="735">
        <f>228/305*1.25</f>
        <v>0.93442622950819676</v>
      </c>
      <c r="R69" s="736">
        <f t="shared" ca="1" si="8"/>
        <v>93.442622950819683</v>
      </c>
      <c r="S69" s="1210">
        <f>1.1 *(0.05)</f>
        <v>5.5000000000000007E-2</v>
      </c>
      <c r="T69" s="737">
        <f t="shared" ca="1" si="9"/>
        <v>5.5000000000000009</v>
      </c>
      <c r="U69" s="602"/>
      <c r="V69" s="730"/>
      <c r="W69" s="730"/>
      <c r="X69" s="730"/>
      <c r="Y69" s="730"/>
      <c r="Z69" s="730"/>
      <c r="AA69" s="730"/>
      <c r="AB69" s="730"/>
      <c r="AC69" s="730"/>
      <c r="AD69" s="730"/>
      <c r="AE69" s="730"/>
      <c r="AF69" s="730"/>
      <c r="AG69" s="730"/>
      <c r="AH69" s="730"/>
      <c r="AI69" s="730"/>
      <c r="AJ69" s="730"/>
      <c r="AK69" s="730"/>
      <c r="AL69" s="730"/>
      <c r="AM69" s="730"/>
      <c r="AN69" s="730"/>
      <c r="AO69" s="730"/>
      <c r="AP69" s="730"/>
      <c r="AQ69" s="730"/>
      <c r="AR69" s="730"/>
      <c r="AS69" s="730"/>
      <c r="AT69" s="730"/>
      <c r="AU69" s="730"/>
      <c r="AV69" s="730"/>
      <c r="AW69" s="730"/>
      <c r="AX69" s="730"/>
      <c r="AY69" s="730"/>
      <c r="AZ69" s="730"/>
      <c r="BA69" s="730"/>
      <c r="BB69" s="730"/>
      <c r="BC69" s="730"/>
      <c r="BD69" s="730"/>
      <c r="BE69" s="730"/>
      <c r="BF69" s="730"/>
      <c r="BG69" s="730"/>
      <c r="BH69" s="730"/>
      <c r="BI69" s="730"/>
      <c r="BJ69" s="730"/>
      <c r="BK69" s="730"/>
      <c r="BL69" s="730"/>
      <c r="BM69" s="730"/>
      <c r="BN69" s="730"/>
      <c r="BO69" s="730"/>
      <c r="BP69" s="730"/>
      <c r="BQ69" s="730"/>
      <c r="BR69" s="730"/>
      <c r="BS69" s="730"/>
      <c r="BT69" s="730"/>
      <c r="BU69" s="730"/>
      <c r="BV69" s="730"/>
      <c r="BW69" s="730"/>
      <c r="BX69" s="730"/>
      <c r="BY69" s="730"/>
      <c r="BZ69" s="730"/>
      <c r="CA69" s="730"/>
      <c r="CB69" s="730"/>
      <c r="CC69" s="730"/>
      <c r="CD69" s="730"/>
      <c r="CE69" s="730"/>
      <c r="CF69" s="730"/>
      <c r="CG69" s="730"/>
      <c r="CH69" s="730"/>
      <c r="CI69" s="730"/>
      <c r="CJ69" s="730"/>
      <c r="CK69" s="730"/>
      <c r="CL69" s="730"/>
      <c r="CM69" s="730"/>
      <c r="CN69" s="730"/>
      <c r="CO69" s="730"/>
      <c r="CP69" s="730"/>
      <c r="CQ69" s="730"/>
      <c r="CR69" s="730"/>
      <c r="CS69" s="730"/>
      <c r="CT69" s="730"/>
      <c r="CU69" s="730"/>
      <c r="CV69" s="730"/>
      <c r="CW69" s="730"/>
      <c r="CX69" s="730"/>
      <c r="CY69" s="730"/>
      <c r="CZ69" s="730"/>
      <c r="DA69" s="730"/>
      <c r="DB69" s="730"/>
      <c r="DC69" s="730"/>
      <c r="DD69" s="730"/>
      <c r="DE69" s="730"/>
      <c r="DF69" s="730"/>
      <c r="DG69" s="730"/>
      <c r="DH69" s="730"/>
      <c r="DI69" s="730"/>
      <c r="DJ69" s="730"/>
      <c r="DK69" s="730"/>
      <c r="DL69" s="730"/>
      <c r="DM69" s="730"/>
      <c r="DN69" s="730"/>
      <c r="DO69" s="730"/>
      <c r="DP69" s="730"/>
      <c r="DQ69" s="730"/>
      <c r="DR69" s="730"/>
      <c r="DS69" s="730"/>
      <c r="DT69" s="730"/>
      <c r="DU69" s="730"/>
      <c r="DV69" s="730"/>
      <c r="DW69" s="730"/>
      <c r="DX69" s="730"/>
      <c r="DY69" s="730"/>
      <c r="DZ69" s="730"/>
      <c r="EA69" s="730"/>
      <c r="EB69" s="730"/>
      <c r="EC69" s="730"/>
      <c r="ED69" s="730"/>
      <c r="EE69" s="730"/>
      <c r="EF69" s="730"/>
      <c r="EG69" s="730"/>
      <c r="EH69" s="730"/>
      <c r="EI69" s="730"/>
      <c r="EJ69" s="730"/>
      <c r="EK69" s="730"/>
      <c r="EL69" s="730"/>
      <c r="EM69" s="730"/>
      <c r="EN69" s="730"/>
      <c r="EO69" s="730"/>
      <c r="EP69" s="730"/>
      <c r="EQ69" s="730"/>
      <c r="ER69" s="730"/>
      <c r="ES69" s="730"/>
      <c r="ET69" s="730"/>
      <c r="EU69" s="730"/>
      <c r="EV69" s="730"/>
      <c r="EW69" s="730"/>
      <c r="EX69" s="730"/>
      <c r="EY69" s="730"/>
      <c r="EZ69" s="730"/>
      <c r="FA69" s="730"/>
      <c r="FB69" s="730"/>
      <c r="FC69" s="730"/>
      <c r="FD69" s="730"/>
      <c r="FE69" s="730"/>
      <c r="FF69" s="730"/>
      <c r="FG69" s="730"/>
      <c r="FH69" s="730"/>
      <c r="FI69" s="730"/>
      <c r="FJ69" s="730"/>
      <c r="FK69" s="730"/>
      <c r="FL69" s="730"/>
      <c r="FM69" s="730"/>
      <c r="FN69" s="730"/>
      <c r="FO69" s="730"/>
      <c r="FP69" s="730"/>
      <c r="FQ69" s="730"/>
      <c r="FR69" s="730"/>
      <c r="FS69" s="730"/>
      <c r="FT69" s="730"/>
      <c r="FU69" s="730"/>
      <c r="FV69" s="730"/>
      <c r="FW69" s="730"/>
      <c r="FX69" s="730"/>
      <c r="FY69" s="730"/>
      <c r="FZ69" s="730"/>
      <c r="GA69" s="730"/>
      <c r="GB69" s="730"/>
      <c r="GC69" s="730"/>
      <c r="GD69" s="730"/>
      <c r="GE69" s="730"/>
      <c r="GF69" s="730"/>
      <c r="GG69" s="730"/>
      <c r="GH69" s="730"/>
      <c r="GI69" s="730"/>
      <c r="GJ69" s="730"/>
      <c r="GK69" s="730"/>
      <c r="GL69" s="730"/>
      <c r="GM69" s="730"/>
      <c r="GN69" s="730"/>
      <c r="GO69" s="730"/>
      <c r="GP69" s="730"/>
      <c r="GQ69" s="730"/>
      <c r="GR69" s="730"/>
      <c r="GS69" s="730"/>
      <c r="GT69" s="730"/>
      <c r="GU69" s="730"/>
      <c r="GV69" s="730"/>
      <c r="GW69" s="730"/>
      <c r="GX69" s="730"/>
      <c r="GY69" s="730"/>
      <c r="GZ69" s="730"/>
      <c r="HA69" s="730"/>
      <c r="HB69" s="730"/>
      <c r="HC69" s="730"/>
      <c r="HD69" s="730"/>
      <c r="HE69" s="730"/>
      <c r="HF69" s="730"/>
      <c r="HG69" s="730"/>
      <c r="HH69" s="730"/>
      <c r="HI69" s="730"/>
      <c r="HJ69" s="730"/>
      <c r="HK69" s="730"/>
      <c r="HL69" s="730"/>
      <c r="HM69" s="730"/>
      <c r="HN69" s="730"/>
      <c r="HO69" s="730"/>
      <c r="HP69" s="730"/>
      <c r="HQ69" s="730"/>
      <c r="HR69" s="730"/>
      <c r="HS69" s="730"/>
      <c r="HT69" s="730"/>
      <c r="HU69" s="730"/>
      <c r="HV69" s="730"/>
      <c r="HW69" s="730"/>
      <c r="HX69" s="730"/>
      <c r="HY69" s="730"/>
      <c r="HZ69" s="730"/>
      <c r="IA69" s="730"/>
      <c r="IB69" s="730"/>
      <c r="IC69" s="730"/>
      <c r="ID69" s="730"/>
      <c r="IE69" s="730"/>
      <c r="IF69" s="730"/>
      <c r="IG69" s="730"/>
      <c r="IH69" s="730"/>
      <c r="II69" s="730"/>
      <c r="IJ69" s="730"/>
      <c r="IK69" s="730"/>
      <c r="IL69" s="730"/>
      <c r="IM69" s="730"/>
      <c r="IN69" s="730"/>
      <c r="IO69" s="730"/>
      <c r="IP69" s="730"/>
      <c r="IQ69" s="730"/>
      <c r="IR69" s="730"/>
      <c r="IS69" s="730"/>
      <c r="IT69" s="730"/>
      <c r="IU69" s="730"/>
      <c r="IV69" s="730"/>
    </row>
    <row r="70" spans="1:256" s="602" customFormat="1">
      <c r="A70" s="1213">
        <f ca="1">$Q$66 *(5*1.2)</f>
        <v>120</v>
      </c>
      <c r="B70" s="730" t="s">
        <v>141</v>
      </c>
      <c r="C70" s="730"/>
      <c r="D70" s="730" t="s">
        <v>815</v>
      </c>
      <c r="E70" s="730"/>
      <c r="F70" s="730"/>
      <c r="G70" s="731" t="s">
        <v>816</v>
      </c>
      <c r="H70" s="732">
        <v>875</v>
      </c>
      <c r="I70" s="730" t="s">
        <v>674</v>
      </c>
      <c r="J70" s="730"/>
      <c r="K70" s="735" t="s">
        <v>7</v>
      </c>
      <c r="L70" s="730"/>
      <c r="M70" s="730"/>
      <c r="N70" s="730"/>
      <c r="O70" s="733">
        <v>1</v>
      </c>
      <c r="P70" s="734">
        <v>34669</v>
      </c>
      <c r="Q70" s="1210">
        <v>0.05</v>
      </c>
      <c r="R70" s="736">
        <f t="shared" ca="1" si="8"/>
        <v>6</v>
      </c>
      <c r="S70" s="735"/>
      <c r="T70" s="737">
        <f t="shared" ca="1" si="9"/>
        <v>0</v>
      </c>
      <c r="U70" s="730"/>
      <c r="V70" s="730"/>
      <c r="W70" s="730"/>
      <c r="X70" s="730"/>
      <c r="Y70" s="730"/>
      <c r="Z70" s="730"/>
      <c r="AA70" s="730"/>
      <c r="AB70" s="730"/>
      <c r="AC70" s="730"/>
      <c r="AD70" s="730"/>
      <c r="AE70" s="730"/>
      <c r="AF70" s="730"/>
      <c r="AG70" s="730"/>
      <c r="AH70" s="730"/>
      <c r="AI70" s="730"/>
      <c r="AJ70" s="730"/>
      <c r="AK70" s="730"/>
      <c r="AL70" s="730"/>
      <c r="AM70" s="730"/>
      <c r="AN70" s="730"/>
      <c r="AO70" s="730"/>
      <c r="AP70" s="730"/>
      <c r="AQ70" s="730"/>
      <c r="AR70" s="730"/>
      <c r="AS70" s="730"/>
      <c r="AT70" s="730"/>
      <c r="AU70" s="730"/>
      <c r="AV70" s="730"/>
      <c r="AW70" s="730"/>
      <c r="AX70" s="730"/>
      <c r="AY70" s="730"/>
      <c r="AZ70" s="730"/>
      <c r="BA70" s="730"/>
      <c r="BB70" s="730"/>
      <c r="BC70" s="730"/>
      <c r="BD70" s="730"/>
      <c r="BE70" s="730"/>
      <c r="BF70" s="730"/>
      <c r="BG70" s="730"/>
      <c r="BH70" s="730"/>
      <c r="BI70" s="730"/>
      <c r="BJ70" s="730"/>
      <c r="BK70" s="730"/>
      <c r="BL70" s="730"/>
      <c r="BM70" s="730"/>
      <c r="BN70" s="730"/>
      <c r="BO70" s="730"/>
      <c r="BP70" s="730"/>
      <c r="BQ70" s="730"/>
      <c r="BR70" s="730"/>
      <c r="BS70" s="730"/>
      <c r="BT70" s="730"/>
      <c r="BU70" s="730"/>
      <c r="BV70" s="730"/>
      <c r="BW70" s="730"/>
      <c r="BX70" s="730"/>
      <c r="BY70" s="730"/>
      <c r="BZ70" s="730"/>
      <c r="CA70" s="730"/>
      <c r="CB70" s="730"/>
      <c r="CC70" s="730"/>
      <c r="CD70" s="730"/>
      <c r="CE70" s="730"/>
      <c r="CF70" s="730"/>
      <c r="CG70" s="730"/>
      <c r="CH70" s="730"/>
      <c r="CI70" s="730"/>
      <c r="CJ70" s="730"/>
      <c r="CK70" s="730"/>
      <c r="CL70" s="730"/>
      <c r="CM70" s="730"/>
      <c r="CN70" s="730"/>
      <c r="CO70" s="730"/>
      <c r="CP70" s="730"/>
      <c r="CQ70" s="730"/>
      <c r="CR70" s="730"/>
      <c r="CS70" s="730"/>
      <c r="CT70" s="730"/>
      <c r="CU70" s="730"/>
      <c r="CV70" s="730"/>
      <c r="CW70" s="730"/>
      <c r="CX70" s="730"/>
      <c r="CY70" s="730"/>
      <c r="CZ70" s="730"/>
      <c r="DA70" s="730"/>
      <c r="DB70" s="730"/>
      <c r="DC70" s="730"/>
      <c r="DD70" s="730"/>
      <c r="DE70" s="730"/>
      <c r="DF70" s="730"/>
      <c r="DG70" s="730"/>
      <c r="DH70" s="730"/>
      <c r="DI70" s="730"/>
      <c r="DJ70" s="730"/>
      <c r="DK70" s="730"/>
      <c r="DL70" s="730"/>
      <c r="DM70" s="730"/>
      <c r="DN70" s="730"/>
      <c r="DO70" s="730"/>
      <c r="DP70" s="730"/>
      <c r="DQ70" s="730"/>
      <c r="DR70" s="730"/>
      <c r="DS70" s="730"/>
      <c r="DT70" s="730"/>
      <c r="DU70" s="730"/>
      <c r="DV70" s="730"/>
      <c r="DW70" s="730"/>
      <c r="DX70" s="730"/>
      <c r="DY70" s="730"/>
      <c r="DZ70" s="730"/>
      <c r="EA70" s="730"/>
      <c r="EB70" s="730"/>
      <c r="EC70" s="730"/>
      <c r="ED70" s="730"/>
      <c r="EE70" s="730"/>
      <c r="EF70" s="730"/>
      <c r="EG70" s="730"/>
      <c r="EH70" s="730"/>
      <c r="EI70" s="730"/>
      <c r="EJ70" s="730"/>
      <c r="EK70" s="730"/>
      <c r="EL70" s="730"/>
      <c r="EM70" s="730"/>
      <c r="EN70" s="730"/>
      <c r="EO70" s="730"/>
      <c r="EP70" s="730"/>
      <c r="EQ70" s="730"/>
      <c r="ER70" s="730"/>
      <c r="ES70" s="730"/>
      <c r="ET70" s="730"/>
      <c r="EU70" s="730"/>
      <c r="EV70" s="730"/>
      <c r="EW70" s="730"/>
      <c r="EX70" s="730"/>
      <c r="EY70" s="730"/>
      <c r="EZ70" s="730"/>
      <c r="FA70" s="730"/>
      <c r="FB70" s="730"/>
      <c r="FC70" s="730"/>
      <c r="FD70" s="730"/>
      <c r="FE70" s="730"/>
      <c r="FF70" s="730"/>
      <c r="FG70" s="730"/>
      <c r="FH70" s="730"/>
      <c r="FI70" s="730"/>
      <c r="FJ70" s="730"/>
      <c r="FK70" s="730"/>
      <c r="FL70" s="730"/>
      <c r="FM70" s="730"/>
      <c r="FN70" s="730"/>
      <c r="FO70" s="730"/>
      <c r="FP70" s="730"/>
      <c r="FQ70" s="730"/>
      <c r="FR70" s="730"/>
      <c r="FS70" s="730"/>
      <c r="FT70" s="730"/>
      <c r="FU70" s="730"/>
      <c r="FV70" s="730"/>
      <c r="FW70" s="730"/>
      <c r="FX70" s="730"/>
      <c r="FY70" s="730"/>
      <c r="FZ70" s="730"/>
      <c r="GA70" s="730"/>
      <c r="GB70" s="730"/>
      <c r="GC70" s="730"/>
      <c r="GD70" s="730"/>
      <c r="GE70" s="730"/>
      <c r="GF70" s="730"/>
      <c r="GG70" s="730"/>
      <c r="GH70" s="730"/>
      <c r="GI70" s="730"/>
      <c r="GJ70" s="730"/>
      <c r="GK70" s="730"/>
      <c r="GL70" s="730"/>
      <c r="GM70" s="730"/>
      <c r="GN70" s="730"/>
      <c r="GO70" s="730"/>
      <c r="GP70" s="730"/>
      <c r="GQ70" s="730"/>
      <c r="GR70" s="730"/>
      <c r="GS70" s="730"/>
      <c r="GT70" s="730"/>
      <c r="GU70" s="730"/>
      <c r="GV70" s="730"/>
      <c r="GW70" s="730"/>
      <c r="GX70" s="730"/>
      <c r="GY70" s="730"/>
      <c r="GZ70" s="730"/>
      <c r="HA70" s="730"/>
      <c r="HB70" s="730"/>
      <c r="HC70" s="730"/>
      <c r="HD70" s="730"/>
      <c r="HE70" s="730"/>
      <c r="HF70" s="730"/>
      <c r="HG70" s="730"/>
      <c r="HH70" s="730"/>
      <c r="HI70" s="730"/>
      <c r="HJ70" s="730"/>
      <c r="HK70" s="730"/>
      <c r="HL70" s="730"/>
      <c r="HM70" s="730"/>
      <c r="HN70" s="730"/>
      <c r="HO70" s="730"/>
      <c r="HP70" s="730"/>
      <c r="HQ70" s="730"/>
      <c r="HR70" s="730"/>
      <c r="HS70" s="730"/>
      <c r="HT70" s="730"/>
      <c r="HU70" s="730"/>
      <c r="HV70" s="730"/>
      <c r="HW70" s="730"/>
      <c r="HX70" s="730"/>
      <c r="HY70" s="730"/>
      <c r="HZ70" s="730"/>
      <c r="IA70" s="730"/>
      <c r="IB70" s="730"/>
      <c r="IC70" s="730"/>
      <c r="ID70" s="730"/>
      <c r="IE70" s="730"/>
      <c r="IF70" s="730"/>
      <c r="IG70" s="730"/>
      <c r="IH70" s="730"/>
      <c r="II70" s="730"/>
      <c r="IJ70" s="730"/>
      <c r="IK70" s="730"/>
      <c r="IL70" s="730"/>
      <c r="IM70" s="730"/>
      <c r="IN70" s="730"/>
      <c r="IO70" s="730"/>
      <c r="IP70" s="730"/>
      <c r="IQ70" s="730"/>
      <c r="IR70" s="730"/>
      <c r="IS70" s="730"/>
      <c r="IT70" s="730"/>
      <c r="IU70" s="730"/>
      <c r="IV70" s="730"/>
    </row>
    <row r="71" spans="1:256" s="602" customFormat="1">
      <c r="A71" s="1211">
        <f ca="1">$Q$66 *(2)</f>
        <v>40</v>
      </c>
      <c r="B71" s="730" t="s">
        <v>141</v>
      </c>
      <c r="C71" s="730"/>
      <c r="D71" s="730" t="s">
        <v>1305</v>
      </c>
      <c r="E71" s="730"/>
      <c r="F71" s="730"/>
      <c r="G71" s="731" t="s">
        <v>1306</v>
      </c>
      <c r="H71" s="732">
        <v>620</v>
      </c>
      <c r="I71" s="730" t="s">
        <v>674</v>
      </c>
      <c r="J71" s="730"/>
      <c r="K71" s="735" t="s">
        <v>7</v>
      </c>
      <c r="L71" s="730"/>
      <c r="M71" s="730"/>
      <c r="N71" s="730"/>
      <c r="O71" s="733">
        <v>2</v>
      </c>
      <c r="P71" s="734">
        <v>38148</v>
      </c>
      <c r="Q71" s="735">
        <f>1.1*1.5</f>
        <v>1.6500000000000001</v>
      </c>
      <c r="R71" s="736">
        <f t="shared" ca="1" si="8"/>
        <v>66</v>
      </c>
      <c r="S71" s="735">
        <f>1.1 *(0.15)</f>
        <v>0.16500000000000001</v>
      </c>
      <c r="T71" s="737">
        <f t="shared" ca="1" si="9"/>
        <v>6.6000000000000005</v>
      </c>
      <c r="U71" s="730"/>
      <c r="V71" s="730"/>
      <c r="W71" s="730"/>
      <c r="X71" s="730"/>
      <c r="Y71" s="730"/>
      <c r="Z71" s="730"/>
      <c r="AA71" s="730"/>
      <c r="AB71" s="730"/>
      <c r="AC71" s="730"/>
      <c r="AD71" s="730"/>
      <c r="AE71" s="730"/>
      <c r="AF71" s="730"/>
      <c r="AG71" s="730"/>
      <c r="AH71" s="730"/>
      <c r="AI71" s="730"/>
      <c r="AJ71" s="730"/>
      <c r="AK71" s="730"/>
      <c r="AL71" s="730"/>
      <c r="AM71" s="730"/>
      <c r="AN71" s="730"/>
      <c r="AO71" s="730"/>
      <c r="AP71" s="730"/>
      <c r="AQ71" s="730"/>
      <c r="AR71" s="730"/>
      <c r="AS71" s="730"/>
      <c r="AT71" s="730"/>
      <c r="AU71" s="730"/>
      <c r="AV71" s="730"/>
      <c r="AW71" s="730"/>
      <c r="AX71" s="730"/>
      <c r="AY71" s="730"/>
      <c r="AZ71" s="730"/>
      <c r="BA71" s="730"/>
      <c r="BB71" s="730"/>
      <c r="BC71" s="730"/>
      <c r="BD71" s="730"/>
      <c r="BE71" s="730"/>
      <c r="BF71" s="730"/>
      <c r="BG71" s="730"/>
      <c r="BH71" s="730"/>
      <c r="BI71" s="730"/>
      <c r="BJ71" s="730"/>
      <c r="BK71" s="730"/>
      <c r="BL71" s="730"/>
      <c r="BM71" s="730"/>
      <c r="BN71" s="730"/>
      <c r="BO71" s="730"/>
      <c r="BP71" s="730"/>
      <c r="BQ71" s="730"/>
      <c r="BR71" s="730"/>
      <c r="BS71" s="730"/>
      <c r="BT71" s="730"/>
      <c r="BU71" s="730"/>
      <c r="BV71" s="730"/>
      <c r="BW71" s="730"/>
      <c r="BX71" s="730"/>
      <c r="BY71" s="730"/>
      <c r="BZ71" s="730"/>
      <c r="CA71" s="730"/>
      <c r="CB71" s="730"/>
      <c r="CC71" s="730"/>
      <c r="CD71" s="730"/>
      <c r="CE71" s="730"/>
      <c r="CF71" s="730"/>
      <c r="CG71" s="730"/>
      <c r="CH71" s="730"/>
      <c r="CI71" s="730"/>
      <c r="CJ71" s="730"/>
      <c r="CK71" s="730"/>
      <c r="CL71" s="730"/>
      <c r="CM71" s="730"/>
      <c r="CN71" s="730"/>
      <c r="CO71" s="730"/>
      <c r="CP71" s="730"/>
      <c r="CQ71" s="730"/>
      <c r="CR71" s="730"/>
      <c r="CS71" s="730"/>
      <c r="CT71" s="730"/>
      <c r="CU71" s="730"/>
      <c r="CV71" s="730"/>
      <c r="CW71" s="730"/>
      <c r="CX71" s="730"/>
      <c r="CY71" s="730"/>
      <c r="CZ71" s="730"/>
      <c r="DA71" s="730"/>
      <c r="DB71" s="730"/>
      <c r="DC71" s="730"/>
      <c r="DD71" s="730"/>
      <c r="DE71" s="730"/>
      <c r="DF71" s="730"/>
      <c r="DG71" s="730"/>
      <c r="DH71" s="730"/>
      <c r="DI71" s="730"/>
      <c r="DJ71" s="730"/>
      <c r="DK71" s="730"/>
      <c r="DL71" s="730"/>
      <c r="DM71" s="730"/>
      <c r="DN71" s="730"/>
      <c r="DO71" s="730"/>
      <c r="DP71" s="730"/>
      <c r="DQ71" s="730"/>
      <c r="DR71" s="730"/>
      <c r="DS71" s="730"/>
      <c r="DT71" s="730"/>
      <c r="DU71" s="730"/>
      <c r="DV71" s="730"/>
      <c r="DW71" s="730"/>
      <c r="DX71" s="730"/>
      <c r="DY71" s="730"/>
      <c r="DZ71" s="730"/>
      <c r="EA71" s="730"/>
      <c r="EB71" s="730"/>
      <c r="EC71" s="730"/>
      <c r="ED71" s="730"/>
      <c r="EE71" s="730"/>
      <c r="EF71" s="730"/>
      <c r="EG71" s="730"/>
      <c r="EH71" s="730"/>
      <c r="EI71" s="730"/>
      <c r="EJ71" s="730"/>
      <c r="EK71" s="730"/>
      <c r="EL71" s="730"/>
      <c r="EM71" s="730"/>
      <c r="EN71" s="730"/>
      <c r="EO71" s="730"/>
      <c r="EP71" s="730"/>
      <c r="EQ71" s="730"/>
      <c r="ER71" s="730"/>
      <c r="ES71" s="730"/>
      <c r="ET71" s="730"/>
      <c r="EU71" s="730"/>
      <c r="EV71" s="730"/>
      <c r="EW71" s="730"/>
      <c r="EX71" s="730"/>
      <c r="EY71" s="730"/>
      <c r="EZ71" s="730"/>
      <c r="FA71" s="730"/>
      <c r="FB71" s="730"/>
      <c r="FC71" s="730"/>
      <c r="FD71" s="730"/>
      <c r="FE71" s="730"/>
      <c r="FF71" s="730"/>
      <c r="FG71" s="730"/>
      <c r="FH71" s="730"/>
      <c r="FI71" s="730"/>
      <c r="FJ71" s="730"/>
      <c r="FK71" s="730"/>
      <c r="FL71" s="730"/>
      <c r="FM71" s="730"/>
      <c r="FN71" s="730"/>
      <c r="FO71" s="730"/>
      <c r="FP71" s="730"/>
      <c r="FQ71" s="730"/>
      <c r="FR71" s="730"/>
      <c r="FS71" s="730"/>
      <c r="FT71" s="730"/>
      <c r="FU71" s="730"/>
      <c r="FV71" s="730"/>
      <c r="FW71" s="730"/>
      <c r="FX71" s="730"/>
      <c r="FY71" s="730"/>
      <c r="FZ71" s="730"/>
      <c r="GA71" s="730"/>
      <c r="GB71" s="730"/>
      <c r="GC71" s="730"/>
      <c r="GD71" s="730"/>
      <c r="GE71" s="730"/>
      <c r="GF71" s="730"/>
      <c r="GG71" s="730"/>
      <c r="GH71" s="730"/>
      <c r="GI71" s="730"/>
      <c r="GJ71" s="730"/>
      <c r="GK71" s="730"/>
      <c r="GL71" s="730"/>
      <c r="GM71" s="730"/>
      <c r="GN71" s="730"/>
      <c r="GO71" s="730"/>
      <c r="GP71" s="730"/>
      <c r="GQ71" s="730"/>
      <c r="GR71" s="730"/>
      <c r="GS71" s="730"/>
      <c r="GT71" s="730"/>
      <c r="GU71" s="730"/>
      <c r="GV71" s="730"/>
      <c r="GW71" s="730"/>
      <c r="GX71" s="730"/>
      <c r="GY71" s="730"/>
      <c r="GZ71" s="730"/>
      <c r="HA71" s="730"/>
      <c r="HB71" s="730"/>
      <c r="HC71" s="730"/>
      <c r="HD71" s="730"/>
      <c r="HE71" s="730"/>
      <c r="HF71" s="730"/>
      <c r="HG71" s="730"/>
      <c r="HH71" s="730"/>
      <c r="HI71" s="730"/>
      <c r="HJ71" s="730"/>
      <c r="HK71" s="730"/>
      <c r="HL71" s="730"/>
      <c r="HM71" s="730"/>
      <c r="HN71" s="730"/>
      <c r="HO71" s="730"/>
      <c r="HP71" s="730"/>
      <c r="HQ71" s="730"/>
      <c r="HR71" s="730"/>
      <c r="HS71" s="730"/>
      <c r="HT71" s="730"/>
      <c r="HU71" s="730"/>
      <c r="HV71" s="730"/>
      <c r="HW71" s="730"/>
      <c r="HX71" s="730"/>
      <c r="HY71" s="730"/>
      <c r="HZ71" s="730"/>
      <c r="IA71" s="730"/>
      <c r="IB71" s="730"/>
      <c r="IC71" s="730"/>
      <c r="ID71" s="730"/>
      <c r="IE71" s="730"/>
      <c r="IF71" s="730"/>
      <c r="IG71" s="730"/>
      <c r="IH71" s="730"/>
      <c r="II71" s="730"/>
      <c r="IJ71" s="730"/>
      <c r="IK71" s="730"/>
      <c r="IL71" s="730"/>
      <c r="IM71" s="730"/>
      <c r="IN71" s="730"/>
      <c r="IO71" s="730"/>
      <c r="IP71" s="730"/>
      <c r="IQ71" s="730"/>
      <c r="IR71" s="730"/>
      <c r="IS71" s="730"/>
      <c r="IT71" s="730"/>
      <c r="IU71" s="730"/>
      <c r="IV71" s="730"/>
    </row>
    <row r="72" spans="1:256" s="602" customFormat="1">
      <c r="A72" s="1211">
        <f ca="1">$Q$66 *(2)</f>
        <v>40</v>
      </c>
      <c r="B72" s="730" t="s">
        <v>141</v>
      </c>
      <c r="C72" s="730"/>
      <c r="D72" s="730" t="s">
        <v>1054</v>
      </c>
      <c r="E72" s="730"/>
      <c r="F72" s="730"/>
      <c r="G72" s="731" t="s">
        <v>1055</v>
      </c>
      <c r="H72" s="732">
        <v>620</v>
      </c>
      <c r="I72" s="730" t="s">
        <v>674</v>
      </c>
      <c r="J72" s="730"/>
      <c r="K72" s="735" t="s">
        <v>7</v>
      </c>
      <c r="L72" s="730"/>
      <c r="M72" s="730"/>
      <c r="N72" s="730"/>
      <c r="O72" s="733">
        <v>2</v>
      </c>
      <c r="P72" s="734"/>
      <c r="Q72" s="1210">
        <v>0.2</v>
      </c>
      <c r="R72" s="736">
        <f t="shared" ca="1" si="8"/>
        <v>8</v>
      </c>
      <c r="S72" s="735">
        <f>1.1 *(0.03)</f>
        <v>3.3000000000000002E-2</v>
      </c>
      <c r="T72" s="737">
        <f t="shared" ca="1" si="9"/>
        <v>1.32</v>
      </c>
      <c r="U72" s="730"/>
      <c r="V72" s="730"/>
      <c r="W72" s="730"/>
      <c r="X72" s="730"/>
      <c r="Y72" s="730"/>
      <c r="Z72" s="730"/>
      <c r="AA72" s="730"/>
      <c r="AB72" s="730"/>
      <c r="AC72" s="730"/>
      <c r="AD72" s="730"/>
      <c r="AE72" s="730"/>
      <c r="AF72" s="730"/>
      <c r="AG72" s="730"/>
      <c r="AH72" s="730"/>
      <c r="AI72" s="730"/>
      <c r="AJ72" s="730"/>
      <c r="AK72" s="730"/>
      <c r="AL72" s="730"/>
      <c r="AM72" s="730"/>
      <c r="AN72" s="730"/>
      <c r="AO72" s="730"/>
      <c r="AP72" s="730"/>
      <c r="AQ72" s="730"/>
      <c r="AR72" s="730"/>
      <c r="AS72" s="730"/>
      <c r="AT72" s="730"/>
      <c r="AU72" s="730"/>
      <c r="AV72" s="730"/>
      <c r="AW72" s="730"/>
      <c r="AX72" s="730"/>
      <c r="AY72" s="730"/>
      <c r="AZ72" s="730"/>
      <c r="BA72" s="730"/>
      <c r="BB72" s="730"/>
      <c r="BC72" s="730"/>
      <c r="BD72" s="730"/>
      <c r="BE72" s="730"/>
      <c r="BF72" s="730"/>
      <c r="BG72" s="730"/>
      <c r="BH72" s="730"/>
      <c r="BI72" s="730"/>
      <c r="BJ72" s="730"/>
      <c r="BK72" s="730"/>
      <c r="BL72" s="730"/>
      <c r="BM72" s="730"/>
      <c r="BN72" s="730"/>
      <c r="BO72" s="730"/>
      <c r="BP72" s="730"/>
      <c r="BQ72" s="730"/>
      <c r="BR72" s="730"/>
      <c r="BS72" s="730"/>
      <c r="BT72" s="730"/>
      <c r="BU72" s="730"/>
      <c r="BV72" s="730"/>
      <c r="BW72" s="730"/>
      <c r="BX72" s="730"/>
      <c r="BY72" s="730"/>
      <c r="BZ72" s="730"/>
      <c r="CA72" s="730"/>
      <c r="CB72" s="730"/>
      <c r="CC72" s="730"/>
      <c r="CD72" s="730"/>
      <c r="CE72" s="730"/>
      <c r="CF72" s="730"/>
      <c r="CG72" s="730"/>
      <c r="CH72" s="730"/>
      <c r="CI72" s="730"/>
      <c r="CJ72" s="730"/>
      <c r="CK72" s="730"/>
      <c r="CL72" s="730"/>
      <c r="CM72" s="730"/>
      <c r="CN72" s="730"/>
      <c r="CO72" s="730"/>
      <c r="CP72" s="730"/>
      <c r="CQ72" s="730"/>
      <c r="CR72" s="730"/>
      <c r="CS72" s="730"/>
      <c r="CT72" s="730"/>
      <c r="CU72" s="730"/>
      <c r="CV72" s="730"/>
      <c r="CW72" s="730"/>
      <c r="CX72" s="730"/>
      <c r="CY72" s="730"/>
      <c r="CZ72" s="730"/>
      <c r="DA72" s="730"/>
      <c r="DB72" s="730"/>
      <c r="DC72" s="730"/>
      <c r="DD72" s="730"/>
      <c r="DE72" s="730"/>
      <c r="DF72" s="730"/>
      <c r="DG72" s="730"/>
      <c r="DH72" s="730"/>
      <c r="DI72" s="730"/>
      <c r="DJ72" s="730"/>
      <c r="DK72" s="730"/>
      <c r="DL72" s="730"/>
      <c r="DM72" s="730"/>
      <c r="DN72" s="730"/>
      <c r="DO72" s="730"/>
      <c r="DP72" s="730"/>
      <c r="DQ72" s="730"/>
      <c r="DR72" s="730"/>
      <c r="DS72" s="730"/>
      <c r="DT72" s="730"/>
      <c r="DU72" s="730"/>
      <c r="DV72" s="730"/>
      <c r="DW72" s="730"/>
      <c r="DX72" s="730"/>
      <c r="DY72" s="730"/>
      <c r="DZ72" s="730"/>
      <c r="EA72" s="730"/>
      <c r="EB72" s="730"/>
      <c r="EC72" s="730"/>
      <c r="ED72" s="730"/>
      <c r="EE72" s="730"/>
      <c r="EF72" s="730"/>
      <c r="EG72" s="730"/>
      <c r="EH72" s="730"/>
      <c r="EI72" s="730"/>
      <c r="EJ72" s="730"/>
      <c r="EK72" s="730"/>
      <c r="EL72" s="730"/>
      <c r="EM72" s="730"/>
      <c r="EN72" s="730"/>
      <c r="EO72" s="730"/>
      <c r="EP72" s="730"/>
      <c r="EQ72" s="730"/>
      <c r="ER72" s="730"/>
      <c r="ES72" s="730"/>
      <c r="ET72" s="730"/>
      <c r="EU72" s="730"/>
      <c r="EV72" s="730"/>
      <c r="EW72" s="730"/>
      <c r="EX72" s="730"/>
      <c r="EY72" s="730"/>
      <c r="EZ72" s="730"/>
      <c r="FA72" s="730"/>
      <c r="FB72" s="730"/>
      <c r="FC72" s="730"/>
      <c r="FD72" s="730"/>
      <c r="FE72" s="730"/>
      <c r="FF72" s="730"/>
      <c r="FG72" s="730"/>
      <c r="FH72" s="730"/>
      <c r="FI72" s="730"/>
      <c r="FJ72" s="730"/>
      <c r="FK72" s="730"/>
      <c r="FL72" s="730"/>
      <c r="FM72" s="730"/>
      <c r="FN72" s="730"/>
      <c r="FO72" s="730"/>
      <c r="FP72" s="730"/>
      <c r="FQ72" s="730"/>
      <c r="FR72" s="730"/>
      <c r="FS72" s="730"/>
      <c r="FT72" s="730"/>
      <c r="FU72" s="730"/>
      <c r="FV72" s="730"/>
      <c r="FW72" s="730"/>
      <c r="FX72" s="730"/>
      <c r="FY72" s="730"/>
      <c r="FZ72" s="730"/>
      <c r="GA72" s="730"/>
      <c r="GB72" s="730"/>
      <c r="GC72" s="730"/>
      <c r="GD72" s="730"/>
      <c r="GE72" s="730"/>
      <c r="GF72" s="730"/>
      <c r="GG72" s="730"/>
      <c r="GH72" s="730"/>
      <c r="GI72" s="730"/>
      <c r="GJ72" s="730"/>
      <c r="GK72" s="730"/>
      <c r="GL72" s="730"/>
      <c r="GM72" s="730"/>
      <c r="GN72" s="730"/>
      <c r="GO72" s="730"/>
      <c r="GP72" s="730"/>
      <c r="GQ72" s="730"/>
      <c r="GR72" s="730"/>
      <c r="GS72" s="730"/>
      <c r="GT72" s="730"/>
      <c r="GU72" s="730"/>
      <c r="GV72" s="730"/>
      <c r="GW72" s="730"/>
      <c r="GX72" s="730"/>
      <c r="GY72" s="730"/>
      <c r="GZ72" s="730"/>
      <c r="HA72" s="730"/>
      <c r="HB72" s="730"/>
      <c r="HC72" s="730"/>
      <c r="HD72" s="730"/>
      <c r="HE72" s="730"/>
      <c r="HF72" s="730"/>
      <c r="HG72" s="730"/>
      <c r="HH72" s="730"/>
      <c r="HI72" s="730"/>
      <c r="HJ72" s="730"/>
      <c r="HK72" s="730"/>
      <c r="HL72" s="730"/>
      <c r="HM72" s="730"/>
      <c r="HN72" s="730"/>
      <c r="HO72" s="730"/>
      <c r="HP72" s="730"/>
      <c r="HQ72" s="730"/>
      <c r="HR72" s="730"/>
      <c r="HS72" s="730"/>
      <c r="HT72" s="730"/>
      <c r="HU72" s="730"/>
      <c r="HV72" s="730"/>
      <c r="HW72" s="730"/>
      <c r="HX72" s="730"/>
      <c r="HY72" s="730"/>
      <c r="HZ72" s="730"/>
      <c r="IA72" s="730"/>
      <c r="IB72" s="730"/>
      <c r="IC72" s="730"/>
      <c r="ID72" s="730"/>
      <c r="IE72" s="730"/>
      <c r="IF72" s="730"/>
      <c r="IG72" s="730"/>
      <c r="IH72" s="730"/>
      <c r="II72" s="730"/>
      <c r="IJ72" s="730"/>
      <c r="IK72" s="730"/>
      <c r="IL72" s="730"/>
      <c r="IM72" s="730"/>
      <c r="IN72" s="730"/>
      <c r="IO72" s="730"/>
      <c r="IP72" s="730"/>
      <c r="IQ72" s="730"/>
      <c r="IR72" s="730"/>
      <c r="IS72" s="730"/>
      <c r="IT72" s="730"/>
      <c r="IU72" s="730"/>
      <c r="IV72" s="730"/>
    </row>
    <row r="73" spans="1:256" s="602" customFormat="1">
      <c r="A73" s="1211">
        <f ca="1">$Q$66 *(4)</f>
        <v>80</v>
      </c>
      <c r="B73" s="730" t="s">
        <v>141</v>
      </c>
      <c r="C73" s="730"/>
      <c r="D73" s="730" t="s">
        <v>1058</v>
      </c>
      <c r="E73" s="730"/>
      <c r="F73" s="730"/>
      <c r="G73" s="731" t="s">
        <v>1059</v>
      </c>
      <c r="H73" s="732">
        <v>620</v>
      </c>
      <c r="I73" s="730" t="s">
        <v>702</v>
      </c>
      <c r="J73" s="730"/>
      <c r="K73" s="735" t="s">
        <v>7</v>
      </c>
      <c r="L73" s="730"/>
      <c r="M73" s="730"/>
      <c r="N73" s="730"/>
      <c r="O73" s="733">
        <v>2</v>
      </c>
      <c r="P73" s="734">
        <v>34669</v>
      </c>
      <c r="Q73" s="1210">
        <v>0.05</v>
      </c>
      <c r="R73" s="736">
        <f t="shared" ca="1" si="8"/>
        <v>4</v>
      </c>
      <c r="S73" s="735">
        <f>1.1 *(0.01)</f>
        <v>1.1000000000000001E-2</v>
      </c>
      <c r="T73" s="737">
        <f t="shared" ca="1" si="9"/>
        <v>0.88000000000000012</v>
      </c>
      <c r="U73" s="730"/>
      <c r="V73" s="730"/>
      <c r="W73" s="730"/>
      <c r="X73" s="730"/>
      <c r="Y73" s="730"/>
      <c r="Z73" s="730"/>
      <c r="AA73" s="730"/>
      <c r="AB73" s="730"/>
      <c r="AC73" s="730"/>
      <c r="AD73" s="730"/>
      <c r="AE73" s="730"/>
      <c r="AF73" s="730"/>
      <c r="AG73" s="730"/>
      <c r="AH73" s="730"/>
      <c r="AI73" s="730"/>
      <c r="AJ73" s="730"/>
      <c r="AK73" s="730"/>
      <c r="AL73" s="730"/>
      <c r="AM73" s="730"/>
      <c r="AN73" s="730"/>
      <c r="AO73" s="730"/>
      <c r="AP73" s="730"/>
      <c r="AQ73" s="730"/>
      <c r="AR73" s="730"/>
      <c r="AS73" s="730"/>
      <c r="AT73" s="730"/>
      <c r="AU73" s="730"/>
      <c r="AV73" s="730"/>
      <c r="AW73" s="730"/>
      <c r="AX73" s="730"/>
      <c r="AY73" s="730"/>
      <c r="AZ73" s="730"/>
      <c r="BA73" s="730"/>
      <c r="BB73" s="730"/>
      <c r="BC73" s="730"/>
      <c r="BD73" s="730"/>
      <c r="BE73" s="730"/>
      <c r="BF73" s="730"/>
      <c r="BG73" s="730"/>
      <c r="BH73" s="730"/>
      <c r="BI73" s="730"/>
      <c r="BJ73" s="730"/>
      <c r="BK73" s="730"/>
      <c r="BL73" s="730"/>
      <c r="BM73" s="730"/>
      <c r="BN73" s="730"/>
      <c r="BO73" s="730"/>
      <c r="BP73" s="730"/>
      <c r="BQ73" s="730"/>
      <c r="BR73" s="730"/>
      <c r="BS73" s="730"/>
      <c r="BT73" s="730"/>
      <c r="BU73" s="730"/>
      <c r="BV73" s="730"/>
      <c r="BW73" s="730"/>
      <c r="BX73" s="730"/>
      <c r="BY73" s="730"/>
      <c r="BZ73" s="730"/>
      <c r="CA73" s="730"/>
      <c r="CB73" s="730"/>
      <c r="CC73" s="730"/>
      <c r="CD73" s="730"/>
      <c r="CE73" s="730"/>
      <c r="CF73" s="730"/>
      <c r="CG73" s="730"/>
      <c r="CH73" s="730"/>
      <c r="CI73" s="730"/>
      <c r="CJ73" s="730"/>
      <c r="CK73" s="730"/>
      <c r="CL73" s="730"/>
      <c r="CM73" s="730"/>
      <c r="CN73" s="730"/>
      <c r="CO73" s="730"/>
      <c r="CP73" s="730"/>
      <c r="CQ73" s="730"/>
      <c r="CR73" s="730"/>
      <c r="CS73" s="730"/>
      <c r="CT73" s="730"/>
      <c r="CU73" s="730"/>
      <c r="CV73" s="730"/>
      <c r="CW73" s="730"/>
      <c r="CX73" s="730"/>
      <c r="CY73" s="730"/>
      <c r="CZ73" s="730"/>
      <c r="DA73" s="730"/>
      <c r="DB73" s="730"/>
      <c r="DC73" s="730"/>
      <c r="DD73" s="730"/>
      <c r="DE73" s="730"/>
      <c r="DF73" s="730"/>
      <c r="DG73" s="730"/>
      <c r="DH73" s="730"/>
      <c r="DI73" s="730"/>
      <c r="DJ73" s="730"/>
      <c r="DK73" s="730"/>
      <c r="DL73" s="730"/>
      <c r="DM73" s="730"/>
      <c r="DN73" s="730"/>
      <c r="DO73" s="730"/>
      <c r="DP73" s="730"/>
      <c r="DQ73" s="730"/>
      <c r="DR73" s="730"/>
      <c r="DS73" s="730"/>
      <c r="DT73" s="730"/>
      <c r="DU73" s="730"/>
      <c r="DV73" s="730"/>
      <c r="DW73" s="730"/>
      <c r="DX73" s="730"/>
      <c r="DY73" s="730"/>
      <c r="DZ73" s="730"/>
      <c r="EA73" s="730"/>
      <c r="EB73" s="730"/>
      <c r="EC73" s="730"/>
      <c r="ED73" s="730"/>
      <c r="EE73" s="730"/>
      <c r="EF73" s="730"/>
      <c r="EG73" s="730"/>
      <c r="EH73" s="730"/>
      <c r="EI73" s="730"/>
      <c r="EJ73" s="730"/>
      <c r="EK73" s="730"/>
      <c r="EL73" s="730"/>
      <c r="EM73" s="730"/>
      <c r="EN73" s="730"/>
      <c r="EO73" s="730"/>
      <c r="EP73" s="730"/>
      <c r="EQ73" s="730"/>
      <c r="ER73" s="730"/>
      <c r="ES73" s="730"/>
      <c r="ET73" s="730"/>
      <c r="EU73" s="730"/>
      <c r="EV73" s="730"/>
      <c r="EW73" s="730"/>
      <c r="EX73" s="730"/>
      <c r="EY73" s="730"/>
      <c r="EZ73" s="730"/>
      <c r="FA73" s="730"/>
      <c r="FB73" s="730"/>
      <c r="FC73" s="730"/>
      <c r="FD73" s="730"/>
      <c r="FE73" s="730"/>
      <c r="FF73" s="730"/>
      <c r="FG73" s="730"/>
      <c r="FH73" s="730"/>
      <c r="FI73" s="730"/>
      <c r="FJ73" s="730"/>
      <c r="FK73" s="730"/>
      <c r="FL73" s="730"/>
      <c r="FM73" s="730"/>
      <c r="FN73" s="730"/>
      <c r="FO73" s="730"/>
      <c r="FP73" s="730"/>
      <c r="FQ73" s="730"/>
      <c r="FR73" s="730"/>
      <c r="FS73" s="730"/>
      <c r="FT73" s="730"/>
      <c r="FU73" s="730"/>
      <c r="FV73" s="730"/>
      <c r="FW73" s="730"/>
      <c r="FX73" s="730"/>
      <c r="FY73" s="730"/>
      <c r="FZ73" s="730"/>
      <c r="GA73" s="730"/>
      <c r="GB73" s="730"/>
      <c r="GC73" s="730"/>
      <c r="GD73" s="730"/>
      <c r="GE73" s="730"/>
      <c r="GF73" s="730"/>
      <c r="GG73" s="730"/>
      <c r="GH73" s="730"/>
      <c r="GI73" s="730"/>
      <c r="GJ73" s="730"/>
      <c r="GK73" s="730"/>
      <c r="GL73" s="730"/>
      <c r="GM73" s="730"/>
      <c r="GN73" s="730"/>
      <c r="GO73" s="730"/>
      <c r="GP73" s="730"/>
      <c r="GQ73" s="730"/>
      <c r="GR73" s="730"/>
      <c r="GS73" s="730"/>
      <c r="GT73" s="730"/>
      <c r="GU73" s="730"/>
      <c r="GV73" s="730"/>
      <c r="GW73" s="730"/>
      <c r="GX73" s="730"/>
      <c r="GY73" s="730"/>
      <c r="GZ73" s="730"/>
      <c r="HA73" s="730"/>
      <c r="HB73" s="730"/>
      <c r="HC73" s="730"/>
      <c r="HD73" s="730"/>
      <c r="HE73" s="730"/>
      <c r="HF73" s="730"/>
      <c r="HG73" s="730"/>
      <c r="HH73" s="730"/>
      <c r="HI73" s="730"/>
      <c r="HJ73" s="730"/>
      <c r="HK73" s="730"/>
      <c r="HL73" s="730"/>
      <c r="HM73" s="730"/>
      <c r="HN73" s="730"/>
      <c r="HO73" s="730"/>
      <c r="HP73" s="730"/>
      <c r="HQ73" s="730"/>
      <c r="HR73" s="730"/>
      <c r="HS73" s="730"/>
      <c r="HT73" s="730"/>
      <c r="HU73" s="730"/>
      <c r="HV73" s="730"/>
      <c r="HW73" s="730"/>
      <c r="HX73" s="730"/>
      <c r="HY73" s="730"/>
      <c r="HZ73" s="730"/>
      <c r="IA73" s="730"/>
      <c r="IB73" s="730"/>
      <c r="IC73" s="730"/>
      <c r="ID73" s="730"/>
      <c r="IE73" s="730"/>
      <c r="IF73" s="730"/>
      <c r="IG73" s="730"/>
      <c r="IH73" s="730"/>
      <c r="II73" s="730"/>
      <c r="IJ73" s="730"/>
      <c r="IK73" s="730"/>
      <c r="IL73" s="730"/>
      <c r="IM73" s="730"/>
      <c r="IN73" s="730"/>
      <c r="IO73" s="730"/>
      <c r="IP73" s="730"/>
      <c r="IQ73" s="730"/>
      <c r="IR73" s="730"/>
      <c r="IS73" s="730"/>
      <c r="IT73" s="730"/>
      <c r="IU73" s="730"/>
      <c r="IV73" s="730"/>
    </row>
    <row r="74" spans="1:256" s="730" customFormat="1">
      <c r="A74" s="1213">
        <f ca="1">$Q$66 *(1)</f>
        <v>20</v>
      </c>
      <c r="B74" s="730" t="s">
        <v>141</v>
      </c>
      <c r="D74" s="730" t="s">
        <v>1039</v>
      </c>
      <c r="F74" s="730" t="s">
        <v>1307</v>
      </c>
      <c r="G74" s="731" t="s">
        <v>1040</v>
      </c>
      <c r="H74" s="732">
        <v>900</v>
      </c>
      <c r="I74" s="730" t="s">
        <v>686</v>
      </c>
      <c r="K74" s="730" t="s">
        <v>7</v>
      </c>
      <c r="O74" s="733">
        <v>1</v>
      </c>
      <c r="P74" s="734"/>
      <c r="Q74" s="1201"/>
      <c r="R74" s="736">
        <f t="shared" ca="1" si="8"/>
        <v>0</v>
      </c>
      <c r="S74" s="735">
        <f>1.1 *(0.5)</f>
        <v>0.55000000000000004</v>
      </c>
      <c r="T74" s="737">
        <f t="shared" ca="1" si="9"/>
        <v>11</v>
      </c>
      <c r="U74" s="730" t="s">
        <v>913</v>
      </c>
    </row>
    <row r="75" spans="1:256" s="602" customFormat="1" ht="12" customHeight="1">
      <c r="A75" s="663"/>
      <c r="B75" s="3"/>
      <c r="C75" s="663" t="s">
        <v>183</v>
      </c>
      <c r="D75" s="3"/>
      <c r="E75" s="663"/>
      <c r="F75" s="664"/>
      <c r="G75" s="663"/>
      <c r="H75" s="663"/>
      <c r="I75" s="601"/>
      <c r="J75" s="663"/>
      <c r="K75" s="663"/>
      <c r="L75" s="663"/>
      <c r="M75" s="663"/>
      <c r="N75" s="663"/>
      <c r="O75" s="663"/>
      <c r="P75" s="663"/>
      <c r="Q75" s="601"/>
      <c r="R75" s="814">
        <f t="shared" si="8"/>
        <v>0</v>
      </c>
      <c r="S75" s="601"/>
      <c r="T75" s="681">
        <f t="shared" si="9"/>
        <v>0</v>
      </c>
    </row>
    <row r="76" spans="1:256" s="602" customFormat="1" ht="12.6" thickBot="1">
      <c r="A76" s="682" t="s">
        <v>145</v>
      </c>
      <c r="B76" s="683">
        <f>(R75+T75)</f>
        <v>0</v>
      </c>
      <c r="C76" s="684"/>
      <c r="D76" s="834" t="s">
        <v>184</v>
      </c>
      <c r="E76" s="545">
        <f ca="1">IF($B66=0,0,ROUND(ROUND(($R76*$S$2+($T76*$T$2))/$B66, 2)*$C$2,2))</f>
        <v>110.45</v>
      </c>
      <c r="F76" s="546">
        <f ca="1">ROUND($B66*$E76,2)</f>
        <v>2209</v>
      </c>
      <c r="G76" s="684"/>
      <c r="H76" s="684"/>
      <c r="I76" s="686"/>
      <c r="J76" s="684"/>
      <c r="K76" s="835" t="s">
        <v>143</v>
      </c>
      <c r="L76" s="687" t="s">
        <v>143</v>
      </c>
      <c r="M76" s="687"/>
      <c r="N76" s="687"/>
      <c r="O76" s="687"/>
      <c r="P76" s="687"/>
      <c r="Q76" s="835"/>
      <c r="R76" s="836">
        <f ca="1">SUM(R67:R75)</f>
        <v>381.44262295081967</v>
      </c>
      <c r="S76" s="837"/>
      <c r="T76" s="836">
        <f ca="1">SUM(T67:T75)</f>
        <v>47.300000000000004</v>
      </c>
      <c r="U76" s="611"/>
      <c r="V76" s="611"/>
      <c r="W76" s="611"/>
      <c r="X76" s="611"/>
      <c r="Y76" s="611"/>
      <c r="Z76" s="611"/>
      <c r="AA76" s="611"/>
      <c r="AB76" s="611"/>
    </row>
    <row r="77" spans="1:256" s="602" customFormat="1" ht="12" thickTop="1">
      <c r="A77" s="63"/>
      <c r="B77" s="63"/>
      <c r="C77" s="63"/>
      <c r="D77" s="63"/>
      <c r="E77" s="63"/>
      <c r="F77" s="63"/>
      <c r="G77" s="63"/>
      <c r="H77" s="63"/>
      <c r="I77" s="63"/>
      <c r="J77" s="63"/>
      <c r="K77" s="63"/>
      <c r="L77" s="63"/>
      <c r="M77" s="63"/>
      <c r="N77" s="63"/>
      <c r="O77" s="64"/>
      <c r="P77" s="63"/>
      <c r="Q77" s="42" t="s">
        <v>180</v>
      </c>
      <c r="R77" s="63"/>
      <c r="S77" s="13"/>
      <c r="T77" s="63"/>
    </row>
    <row r="78" spans="1:256" s="602" customFormat="1" ht="12.6" thickBot="1">
      <c r="A78" s="824">
        <v>1</v>
      </c>
      <c r="B78" s="825">
        <f ca="1">Elec_Est!B1044</f>
        <v>26</v>
      </c>
      <c r="C78" s="826"/>
      <c r="D78" s="827" t="s">
        <v>1314</v>
      </c>
      <c r="E78" s="828"/>
      <c r="F78" s="828"/>
      <c r="G78" s="676"/>
      <c r="H78" s="676"/>
      <c r="I78" s="829"/>
      <c r="J78" s="676"/>
      <c r="K78" s="826" t="s">
        <v>181</v>
      </c>
      <c r="L78" s="830" t="s">
        <v>181</v>
      </c>
      <c r="M78" s="830"/>
      <c r="N78" s="830"/>
      <c r="O78" s="830"/>
      <c r="P78" s="830"/>
      <c r="Q78" s="831">
        <f ca="1">B78/A78</f>
        <v>26</v>
      </c>
      <c r="R78" s="832">
        <f ca="1">IF($B78=0,0,IF($S$1="R",ROUND(R88/$B78,2),R88/$B78))</f>
        <v>143.53</v>
      </c>
      <c r="S78" s="833"/>
      <c r="T78" s="832">
        <f ca="1">IF($B78=0,0,IF($S$1="R",ROUND(T88/$B78,2),T88/$B78))</f>
        <v>9.24</v>
      </c>
    </row>
    <row r="79" spans="1:256" s="602" customFormat="1" ht="13.8" thickTop="1">
      <c r="A79" s="672"/>
      <c r="B79" s="3"/>
      <c r="C79" s="3"/>
      <c r="D79" s="157" t="s">
        <v>1311</v>
      </c>
      <c r="E79" s="3"/>
      <c r="F79" s="3"/>
      <c r="G79" s="3"/>
      <c r="H79" s="3"/>
      <c r="I79" s="3"/>
      <c r="J79" s="3"/>
      <c r="K79" s="3"/>
      <c r="L79" s="3"/>
      <c r="M79" s="3"/>
      <c r="N79" s="3"/>
      <c r="O79" s="158"/>
      <c r="P79" s="3"/>
      <c r="Q79" s="3"/>
      <c r="R79" s="3"/>
      <c r="S79" s="3"/>
      <c r="T79" s="3"/>
    </row>
    <row r="80" spans="1:256" s="730" customFormat="1">
      <c r="A80" s="840">
        <f ca="1">$Q$78 *(30)</f>
        <v>780</v>
      </c>
      <c r="B80" s="730" t="s">
        <v>326</v>
      </c>
      <c r="D80" s="730" t="s">
        <v>763</v>
      </c>
      <c r="G80" s="731" t="s">
        <v>764</v>
      </c>
      <c r="H80" s="732">
        <v>690</v>
      </c>
      <c r="I80" s="730" t="s">
        <v>765</v>
      </c>
      <c r="J80" s="730" t="s">
        <v>766</v>
      </c>
      <c r="K80" s="735" t="s">
        <v>7</v>
      </c>
      <c r="O80" s="733">
        <v>1</v>
      </c>
      <c r="P80" s="734">
        <v>34669</v>
      </c>
      <c r="Q80" s="1210">
        <v>3.66</v>
      </c>
      <c r="R80" s="736">
        <f t="shared" ref="R80:R87" ca="1" si="10">$A80*Q80</f>
        <v>2854.8</v>
      </c>
      <c r="S80" s="735">
        <f>1.1 *(0.2)</f>
        <v>0.22000000000000003</v>
      </c>
      <c r="T80" s="737">
        <f t="shared" ref="T80:T87" ca="1" si="11">$A80*S80*$T$1</f>
        <v>171.60000000000002</v>
      </c>
    </row>
    <row r="81" spans="1:256" s="713" customFormat="1">
      <c r="A81" s="1213">
        <f ca="1">$Q$78 *(30)</f>
        <v>780</v>
      </c>
      <c r="B81" s="730" t="s">
        <v>326</v>
      </c>
      <c r="C81" s="3">
        <f>3000*1.1</f>
        <v>3300.0000000000005</v>
      </c>
      <c r="D81" s="730" t="s">
        <v>1309</v>
      </c>
      <c r="E81" s="730"/>
      <c r="F81" s="1214"/>
      <c r="G81" s="1215" t="s">
        <v>1302</v>
      </c>
      <c r="H81" s="1216">
        <v>617</v>
      </c>
      <c r="I81" s="1217" t="s">
        <v>1303</v>
      </c>
      <c r="J81" s="1217" t="s">
        <v>1304</v>
      </c>
      <c r="K81" s="1210" t="s">
        <v>7</v>
      </c>
      <c r="L81" s="1217"/>
      <c r="M81" s="1217"/>
      <c r="N81" s="1217"/>
      <c r="O81" s="1218">
        <v>2</v>
      </c>
      <c r="P81" s="1219"/>
      <c r="Q81" s="735">
        <f>228/305*1.25</f>
        <v>0.93442622950819676</v>
      </c>
      <c r="R81" s="736">
        <f t="shared" ca="1" si="10"/>
        <v>728.85245901639348</v>
      </c>
      <c r="S81" s="1210">
        <f>1.1 *(0.05)</f>
        <v>5.5000000000000007E-2</v>
      </c>
      <c r="T81" s="737">
        <f t="shared" ca="1" si="11"/>
        <v>42.900000000000006</v>
      </c>
      <c r="U81" s="602"/>
      <c r="V81" s="730"/>
      <c r="W81" s="730"/>
      <c r="X81" s="730"/>
      <c r="Y81" s="730"/>
      <c r="Z81" s="730"/>
      <c r="AA81" s="730"/>
      <c r="AB81" s="730"/>
      <c r="AC81" s="730"/>
      <c r="AD81" s="730"/>
      <c r="AE81" s="730"/>
      <c r="AF81" s="730"/>
      <c r="AG81" s="730"/>
      <c r="AH81" s="730"/>
      <c r="AI81" s="730"/>
      <c r="AJ81" s="730"/>
      <c r="AK81" s="730"/>
      <c r="AL81" s="730"/>
      <c r="AM81" s="730"/>
      <c r="AN81" s="730"/>
      <c r="AO81" s="730"/>
      <c r="AP81" s="730"/>
      <c r="AQ81" s="730"/>
      <c r="AR81" s="730"/>
      <c r="AS81" s="730"/>
      <c r="AT81" s="730"/>
      <c r="AU81" s="730"/>
      <c r="AV81" s="730"/>
      <c r="AW81" s="730"/>
      <c r="AX81" s="730"/>
      <c r="AY81" s="730"/>
      <c r="AZ81" s="730"/>
      <c r="BA81" s="730"/>
      <c r="BB81" s="730"/>
      <c r="BC81" s="730"/>
      <c r="BD81" s="730"/>
      <c r="BE81" s="730"/>
      <c r="BF81" s="730"/>
      <c r="BG81" s="730"/>
      <c r="BH81" s="730"/>
      <c r="BI81" s="730"/>
      <c r="BJ81" s="730"/>
      <c r="BK81" s="730"/>
      <c r="BL81" s="730"/>
      <c r="BM81" s="730"/>
      <c r="BN81" s="730"/>
      <c r="BO81" s="730"/>
      <c r="BP81" s="730"/>
      <c r="BQ81" s="730"/>
      <c r="BR81" s="730"/>
      <c r="BS81" s="730"/>
      <c r="BT81" s="730"/>
      <c r="BU81" s="730"/>
      <c r="BV81" s="730"/>
      <c r="BW81" s="730"/>
      <c r="BX81" s="730"/>
      <c r="BY81" s="730"/>
      <c r="BZ81" s="730"/>
      <c r="CA81" s="730"/>
      <c r="CB81" s="730"/>
      <c r="CC81" s="730"/>
      <c r="CD81" s="730"/>
      <c r="CE81" s="730"/>
      <c r="CF81" s="730"/>
      <c r="CG81" s="730"/>
      <c r="CH81" s="730"/>
      <c r="CI81" s="730"/>
      <c r="CJ81" s="730"/>
      <c r="CK81" s="730"/>
      <c r="CL81" s="730"/>
      <c r="CM81" s="730"/>
      <c r="CN81" s="730"/>
      <c r="CO81" s="730"/>
      <c r="CP81" s="730"/>
      <c r="CQ81" s="730"/>
      <c r="CR81" s="730"/>
      <c r="CS81" s="730"/>
      <c r="CT81" s="730"/>
      <c r="CU81" s="730"/>
      <c r="CV81" s="730"/>
      <c r="CW81" s="730"/>
      <c r="CX81" s="730"/>
      <c r="CY81" s="730"/>
      <c r="CZ81" s="730"/>
      <c r="DA81" s="730"/>
      <c r="DB81" s="730"/>
      <c r="DC81" s="730"/>
      <c r="DD81" s="730"/>
      <c r="DE81" s="730"/>
      <c r="DF81" s="730"/>
      <c r="DG81" s="730"/>
      <c r="DH81" s="730"/>
      <c r="DI81" s="730"/>
      <c r="DJ81" s="730"/>
      <c r="DK81" s="730"/>
      <c r="DL81" s="730"/>
      <c r="DM81" s="730"/>
      <c r="DN81" s="730"/>
      <c r="DO81" s="730"/>
      <c r="DP81" s="730"/>
      <c r="DQ81" s="730"/>
      <c r="DR81" s="730"/>
      <c r="DS81" s="730"/>
      <c r="DT81" s="730"/>
      <c r="DU81" s="730"/>
      <c r="DV81" s="730"/>
      <c r="DW81" s="730"/>
      <c r="DX81" s="730"/>
      <c r="DY81" s="730"/>
      <c r="DZ81" s="730"/>
      <c r="EA81" s="730"/>
      <c r="EB81" s="730"/>
      <c r="EC81" s="730"/>
      <c r="ED81" s="730"/>
      <c r="EE81" s="730"/>
      <c r="EF81" s="730"/>
      <c r="EG81" s="730"/>
      <c r="EH81" s="730"/>
      <c r="EI81" s="730"/>
      <c r="EJ81" s="730"/>
      <c r="EK81" s="730"/>
      <c r="EL81" s="730"/>
      <c r="EM81" s="730"/>
      <c r="EN81" s="730"/>
      <c r="EO81" s="730"/>
      <c r="EP81" s="730"/>
      <c r="EQ81" s="730"/>
      <c r="ER81" s="730"/>
      <c r="ES81" s="730"/>
      <c r="ET81" s="730"/>
      <c r="EU81" s="730"/>
      <c r="EV81" s="730"/>
      <c r="EW81" s="730"/>
      <c r="EX81" s="730"/>
      <c r="EY81" s="730"/>
      <c r="EZ81" s="730"/>
      <c r="FA81" s="730"/>
      <c r="FB81" s="730"/>
      <c r="FC81" s="730"/>
      <c r="FD81" s="730"/>
      <c r="FE81" s="730"/>
      <c r="FF81" s="730"/>
      <c r="FG81" s="730"/>
      <c r="FH81" s="730"/>
      <c r="FI81" s="730"/>
      <c r="FJ81" s="730"/>
      <c r="FK81" s="730"/>
      <c r="FL81" s="730"/>
      <c r="FM81" s="730"/>
      <c r="FN81" s="730"/>
      <c r="FO81" s="730"/>
      <c r="FP81" s="730"/>
      <c r="FQ81" s="730"/>
      <c r="FR81" s="730"/>
      <c r="FS81" s="730"/>
      <c r="FT81" s="730"/>
      <c r="FU81" s="730"/>
      <c r="FV81" s="730"/>
      <c r="FW81" s="730"/>
      <c r="FX81" s="730"/>
      <c r="FY81" s="730"/>
      <c r="FZ81" s="730"/>
      <c r="GA81" s="730"/>
      <c r="GB81" s="730"/>
      <c r="GC81" s="730"/>
      <c r="GD81" s="730"/>
      <c r="GE81" s="730"/>
      <c r="GF81" s="730"/>
      <c r="GG81" s="730"/>
      <c r="GH81" s="730"/>
      <c r="GI81" s="730"/>
      <c r="GJ81" s="730"/>
      <c r="GK81" s="730"/>
      <c r="GL81" s="730"/>
      <c r="GM81" s="730"/>
      <c r="GN81" s="730"/>
      <c r="GO81" s="730"/>
      <c r="GP81" s="730"/>
      <c r="GQ81" s="730"/>
      <c r="GR81" s="730"/>
      <c r="GS81" s="730"/>
      <c r="GT81" s="730"/>
      <c r="GU81" s="730"/>
      <c r="GV81" s="730"/>
      <c r="GW81" s="730"/>
      <c r="GX81" s="730"/>
      <c r="GY81" s="730"/>
      <c r="GZ81" s="730"/>
      <c r="HA81" s="730"/>
      <c r="HB81" s="730"/>
      <c r="HC81" s="730"/>
      <c r="HD81" s="730"/>
      <c r="HE81" s="730"/>
      <c r="HF81" s="730"/>
      <c r="HG81" s="730"/>
      <c r="HH81" s="730"/>
      <c r="HI81" s="730"/>
      <c r="HJ81" s="730"/>
      <c r="HK81" s="730"/>
      <c r="HL81" s="730"/>
      <c r="HM81" s="730"/>
      <c r="HN81" s="730"/>
      <c r="HO81" s="730"/>
      <c r="HP81" s="730"/>
      <c r="HQ81" s="730"/>
      <c r="HR81" s="730"/>
      <c r="HS81" s="730"/>
      <c r="HT81" s="730"/>
      <c r="HU81" s="730"/>
      <c r="HV81" s="730"/>
      <c r="HW81" s="730"/>
      <c r="HX81" s="730"/>
      <c r="HY81" s="730"/>
      <c r="HZ81" s="730"/>
      <c r="IA81" s="730"/>
      <c r="IB81" s="730"/>
      <c r="IC81" s="730"/>
      <c r="ID81" s="730"/>
      <c r="IE81" s="730"/>
      <c r="IF81" s="730"/>
      <c r="IG81" s="730"/>
      <c r="IH81" s="730"/>
      <c r="II81" s="730"/>
      <c r="IJ81" s="730"/>
      <c r="IK81" s="730"/>
      <c r="IL81" s="730"/>
      <c r="IM81" s="730"/>
      <c r="IN81" s="730"/>
      <c r="IO81" s="730"/>
      <c r="IP81" s="730"/>
      <c r="IQ81" s="730"/>
      <c r="IR81" s="730"/>
      <c r="IS81" s="730"/>
      <c r="IT81" s="730"/>
      <c r="IU81" s="730"/>
      <c r="IV81" s="730"/>
    </row>
    <row r="82" spans="1:256" s="602" customFormat="1">
      <c r="A82" s="1213">
        <f ca="1">$Q$78 *(30*1.2)</f>
        <v>936</v>
      </c>
      <c r="B82" s="730" t="s">
        <v>141</v>
      </c>
      <c r="C82" s="730"/>
      <c r="D82" s="730" t="s">
        <v>815</v>
      </c>
      <c r="E82" s="730"/>
      <c r="F82" s="730"/>
      <c r="G82" s="731" t="s">
        <v>816</v>
      </c>
      <c r="H82" s="732">
        <v>875</v>
      </c>
      <c r="I82" s="730" t="s">
        <v>674</v>
      </c>
      <c r="J82" s="730"/>
      <c r="K82" s="735" t="s">
        <v>7</v>
      </c>
      <c r="L82" s="730"/>
      <c r="M82" s="730"/>
      <c r="N82" s="730"/>
      <c r="O82" s="733">
        <v>1</v>
      </c>
      <c r="P82" s="734">
        <v>34669</v>
      </c>
      <c r="Q82" s="1210">
        <v>0.05</v>
      </c>
      <c r="R82" s="736">
        <f t="shared" ca="1" si="10"/>
        <v>46.800000000000004</v>
      </c>
      <c r="S82" s="735"/>
      <c r="T82" s="737">
        <f t="shared" ca="1" si="11"/>
        <v>0</v>
      </c>
      <c r="U82" s="730"/>
      <c r="V82" s="730"/>
      <c r="W82" s="730"/>
      <c r="X82" s="730"/>
      <c r="Y82" s="730"/>
      <c r="Z82" s="730"/>
      <c r="AA82" s="730"/>
      <c r="AB82" s="730"/>
      <c r="AC82" s="730"/>
      <c r="AD82" s="730"/>
      <c r="AE82" s="730"/>
      <c r="AF82" s="730"/>
      <c r="AG82" s="730"/>
      <c r="AH82" s="730"/>
      <c r="AI82" s="730"/>
      <c r="AJ82" s="730"/>
      <c r="AK82" s="730"/>
      <c r="AL82" s="730"/>
      <c r="AM82" s="730"/>
      <c r="AN82" s="730"/>
      <c r="AO82" s="730"/>
      <c r="AP82" s="730"/>
      <c r="AQ82" s="730"/>
      <c r="AR82" s="730"/>
      <c r="AS82" s="730"/>
      <c r="AT82" s="730"/>
      <c r="AU82" s="730"/>
      <c r="AV82" s="730"/>
      <c r="AW82" s="730"/>
      <c r="AX82" s="730"/>
      <c r="AY82" s="730"/>
      <c r="AZ82" s="730"/>
      <c r="BA82" s="730"/>
      <c r="BB82" s="730"/>
      <c r="BC82" s="730"/>
      <c r="BD82" s="730"/>
      <c r="BE82" s="730"/>
      <c r="BF82" s="730"/>
      <c r="BG82" s="730"/>
      <c r="BH82" s="730"/>
      <c r="BI82" s="730"/>
      <c r="BJ82" s="730"/>
      <c r="BK82" s="730"/>
      <c r="BL82" s="730"/>
      <c r="BM82" s="730"/>
      <c r="BN82" s="730"/>
      <c r="BO82" s="730"/>
      <c r="BP82" s="730"/>
      <c r="BQ82" s="730"/>
      <c r="BR82" s="730"/>
      <c r="BS82" s="730"/>
      <c r="BT82" s="730"/>
      <c r="BU82" s="730"/>
      <c r="BV82" s="730"/>
      <c r="BW82" s="730"/>
      <c r="BX82" s="730"/>
      <c r="BY82" s="730"/>
      <c r="BZ82" s="730"/>
      <c r="CA82" s="730"/>
      <c r="CB82" s="730"/>
      <c r="CC82" s="730"/>
      <c r="CD82" s="730"/>
      <c r="CE82" s="730"/>
      <c r="CF82" s="730"/>
      <c r="CG82" s="730"/>
      <c r="CH82" s="730"/>
      <c r="CI82" s="730"/>
      <c r="CJ82" s="730"/>
      <c r="CK82" s="730"/>
      <c r="CL82" s="730"/>
      <c r="CM82" s="730"/>
      <c r="CN82" s="730"/>
      <c r="CO82" s="730"/>
      <c r="CP82" s="730"/>
      <c r="CQ82" s="730"/>
      <c r="CR82" s="730"/>
      <c r="CS82" s="730"/>
      <c r="CT82" s="730"/>
      <c r="CU82" s="730"/>
      <c r="CV82" s="730"/>
      <c r="CW82" s="730"/>
      <c r="CX82" s="730"/>
      <c r="CY82" s="730"/>
      <c r="CZ82" s="730"/>
      <c r="DA82" s="730"/>
      <c r="DB82" s="730"/>
      <c r="DC82" s="730"/>
      <c r="DD82" s="730"/>
      <c r="DE82" s="730"/>
      <c r="DF82" s="730"/>
      <c r="DG82" s="730"/>
      <c r="DH82" s="730"/>
      <c r="DI82" s="730"/>
      <c r="DJ82" s="730"/>
      <c r="DK82" s="730"/>
      <c r="DL82" s="730"/>
      <c r="DM82" s="730"/>
      <c r="DN82" s="730"/>
      <c r="DO82" s="730"/>
      <c r="DP82" s="730"/>
      <c r="DQ82" s="730"/>
      <c r="DR82" s="730"/>
      <c r="DS82" s="730"/>
      <c r="DT82" s="730"/>
      <c r="DU82" s="730"/>
      <c r="DV82" s="730"/>
      <c r="DW82" s="730"/>
      <c r="DX82" s="730"/>
      <c r="DY82" s="730"/>
      <c r="DZ82" s="730"/>
      <c r="EA82" s="730"/>
      <c r="EB82" s="730"/>
      <c r="EC82" s="730"/>
      <c r="ED82" s="730"/>
      <c r="EE82" s="730"/>
      <c r="EF82" s="730"/>
      <c r="EG82" s="730"/>
      <c r="EH82" s="730"/>
      <c r="EI82" s="730"/>
      <c r="EJ82" s="730"/>
      <c r="EK82" s="730"/>
      <c r="EL82" s="730"/>
      <c r="EM82" s="730"/>
      <c r="EN82" s="730"/>
      <c r="EO82" s="730"/>
      <c r="EP82" s="730"/>
      <c r="EQ82" s="730"/>
      <c r="ER82" s="730"/>
      <c r="ES82" s="730"/>
      <c r="ET82" s="730"/>
      <c r="EU82" s="730"/>
      <c r="EV82" s="730"/>
      <c r="EW82" s="730"/>
      <c r="EX82" s="730"/>
      <c r="EY82" s="730"/>
      <c r="EZ82" s="730"/>
      <c r="FA82" s="730"/>
      <c r="FB82" s="730"/>
      <c r="FC82" s="730"/>
      <c r="FD82" s="730"/>
      <c r="FE82" s="730"/>
      <c r="FF82" s="730"/>
      <c r="FG82" s="730"/>
      <c r="FH82" s="730"/>
      <c r="FI82" s="730"/>
      <c r="FJ82" s="730"/>
      <c r="FK82" s="730"/>
      <c r="FL82" s="730"/>
      <c r="FM82" s="730"/>
      <c r="FN82" s="730"/>
      <c r="FO82" s="730"/>
      <c r="FP82" s="730"/>
      <c r="FQ82" s="730"/>
      <c r="FR82" s="730"/>
      <c r="FS82" s="730"/>
      <c r="FT82" s="730"/>
      <c r="FU82" s="730"/>
      <c r="FV82" s="730"/>
      <c r="FW82" s="730"/>
      <c r="FX82" s="730"/>
      <c r="FY82" s="730"/>
      <c r="FZ82" s="730"/>
      <c r="GA82" s="730"/>
      <c r="GB82" s="730"/>
      <c r="GC82" s="730"/>
      <c r="GD82" s="730"/>
      <c r="GE82" s="730"/>
      <c r="GF82" s="730"/>
      <c r="GG82" s="730"/>
      <c r="GH82" s="730"/>
      <c r="GI82" s="730"/>
      <c r="GJ82" s="730"/>
      <c r="GK82" s="730"/>
      <c r="GL82" s="730"/>
      <c r="GM82" s="730"/>
      <c r="GN82" s="730"/>
      <c r="GO82" s="730"/>
      <c r="GP82" s="730"/>
      <c r="GQ82" s="730"/>
      <c r="GR82" s="730"/>
      <c r="GS82" s="730"/>
      <c r="GT82" s="730"/>
      <c r="GU82" s="730"/>
      <c r="GV82" s="730"/>
      <c r="GW82" s="730"/>
      <c r="GX82" s="730"/>
      <c r="GY82" s="730"/>
      <c r="GZ82" s="730"/>
      <c r="HA82" s="730"/>
      <c r="HB82" s="730"/>
      <c r="HC82" s="730"/>
      <c r="HD82" s="730"/>
      <c r="HE82" s="730"/>
      <c r="HF82" s="730"/>
      <c r="HG82" s="730"/>
      <c r="HH82" s="730"/>
      <c r="HI82" s="730"/>
      <c r="HJ82" s="730"/>
      <c r="HK82" s="730"/>
      <c r="HL82" s="730"/>
      <c r="HM82" s="730"/>
      <c r="HN82" s="730"/>
      <c r="HO82" s="730"/>
      <c r="HP82" s="730"/>
      <c r="HQ82" s="730"/>
      <c r="HR82" s="730"/>
      <c r="HS82" s="730"/>
      <c r="HT82" s="730"/>
      <c r="HU82" s="730"/>
      <c r="HV82" s="730"/>
      <c r="HW82" s="730"/>
      <c r="HX82" s="730"/>
      <c r="HY82" s="730"/>
      <c r="HZ82" s="730"/>
      <c r="IA82" s="730"/>
      <c r="IB82" s="730"/>
      <c r="IC82" s="730"/>
      <c r="ID82" s="730"/>
      <c r="IE82" s="730"/>
      <c r="IF82" s="730"/>
      <c r="IG82" s="730"/>
      <c r="IH82" s="730"/>
      <c r="II82" s="730"/>
      <c r="IJ82" s="730"/>
      <c r="IK82" s="730"/>
      <c r="IL82" s="730"/>
      <c r="IM82" s="730"/>
      <c r="IN82" s="730"/>
      <c r="IO82" s="730"/>
      <c r="IP82" s="730"/>
      <c r="IQ82" s="730"/>
      <c r="IR82" s="730"/>
      <c r="IS82" s="730"/>
      <c r="IT82" s="730"/>
      <c r="IU82" s="730"/>
      <c r="IV82" s="730"/>
    </row>
    <row r="83" spans="1:256" s="602" customFormat="1">
      <c r="A83" s="1211">
        <f ca="1">$Q$78 *(2)</f>
        <v>52</v>
      </c>
      <c r="B83" s="730" t="s">
        <v>141</v>
      </c>
      <c r="C83" s="730"/>
      <c r="D83" s="730" t="s">
        <v>1305</v>
      </c>
      <c r="E83" s="730"/>
      <c r="F83" s="730"/>
      <c r="G83" s="731" t="s">
        <v>1306</v>
      </c>
      <c r="H83" s="732">
        <v>620</v>
      </c>
      <c r="I83" s="730" t="s">
        <v>674</v>
      </c>
      <c r="J83" s="730"/>
      <c r="K83" s="735" t="s">
        <v>7</v>
      </c>
      <c r="L83" s="730"/>
      <c r="M83" s="730"/>
      <c r="N83" s="730"/>
      <c r="O83" s="733">
        <v>2</v>
      </c>
      <c r="P83" s="734">
        <v>38148</v>
      </c>
      <c r="Q83" s="735">
        <f>1.1*1.5</f>
        <v>1.6500000000000001</v>
      </c>
      <c r="R83" s="736">
        <f t="shared" ca="1" si="10"/>
        <v>85.800000000000011</v>
      </c>
      <c r="S83" s="735">
        <f>1.1 *(0.15)</f>
        <v>0.16500000000000001</v>
      </c>
      <c r="T83" s="737">
        <f t="shared" ca="1" si="11"/>
        <v>8.58</v>
      </c>
      <c r="U83" s="730"/>
      <c r="V83" s="730"/>
      <c r="W83" s="730"/>
      <c r="X83" s="730"/>
      <c r="Y83" s="730"/>
      <c r="Z83" s="730"/>
      <c r="AA83" s="730"/>
      <c r="AB83" s="730"/>
      <c r="AC83" s="730"/>
      <c r="AD83" s="730"/>
      <c r="AE83" s="730"/>
      <c r="AF83" s="730"/>
      <c r="AG83" s="730"/>
      <c r="AH83" s="730"/>
      <c r="AI83" s="730"/>
      <c r="AJ83" s="730"/>
      <c r="AK83" s="730"/>
      <c r="AL83" s="730"/>
      <c r="AM83" s="730"/>
      <c r="AN83" s="730"/>
      <c r="AO83" s="730"/>
      <c r="AP83" s="730"/>
      <c r="AQ83" s="730"/>
      <c r="AR83" s="730"/>
      <c r="AS83" s="730"/>
      <c r="AT83" s="730"/>
      <c r="AU83" s="730"/>
      <c r="AV83" s="730"/>
      <c r="AW83" s="730"/>
      <c r="AX83" s="730"/>
      <c r="AY83" s="730"/>
      <c r="AZ83" s="730"/>
      <c r="BA83" s="730"/>
      <c r="BB83" s="730"/>
      <c r="BC83" s="730"/>
      <c r="BD83" s="730"/>
      <c r="BE83" s="730"/>
      <c r="BF83" s="730"/>
      <c r="BG83" s="730"/>
      <c r="BH83" s="730"/>
      <c r="BI83" s="730"/>
      <c r="BJ83" s="730"/>
      <c r="BK83" s="730"/>
      <c r="BL83" s="730"/>
      <c r="BM83" s="730"/>
      <c r="BN83" s="730"/>
      <c r="BO83" s="730"/>
      <c r="BP83" s="730"/>
      <c r="BQ83" s="730"/>
      <c r="BR83" s="730"/>
      <c r="BS83" s="730"/>
      <c r="BT83" s="730"/>
      <c r="BU83" s="730"/>
      <c r="BV83" s="730"/>
      <c r="BW83" s="730"/>
      <c r="BX83" s="730"/>
      <c r="BY83" s="730"/>
      <c r="BZ83" s="730"/>
      <c r="CA83" s="730"/>
      <c r="CB83" s="730"/>
      <c r="CC83" s="730"/>
      <c r="CD83" s="730"/>
      <c r="CE83" s="730"/>
      <c r="CF83" s="730"/>
      <c r="CG83" s="730"/>
      <c r="CH83" s="730"/>
      <c r="CI83" s="730"/>
      <c r="CJ83" s="730"/>
      <c r="CK83" s="730"/>
      <c r="CL83" s="730"/>
      <c r="CM83" s="730"/>
      <c r="CN83" s="730"/>
      <c r="CO83" s="730"/>
      <c r="CP83" s="730"/>
      <c r="CQ83" s="730"/>
      <c r="CR83" s="730"/>
      <c r="CS83" s="730"/>
      <c r="CT83" s="730"/>
      <c r="CU83" s="730"/>
      <c r="CV83" s="730"/>
      <c r="CW83" s="730"/>
      <c r="CX83" s="730"/>
      <c r="CY83" s="730"/>
      <c r="CZ83" s="730"/>
      <c r="DA83" s="730"/>
      <c r="DB83" s="730"/>
      <c r="DC83" s="730"/>
      <c r="DD83" s="730"/>
      <c r="DE83" s="730"/>
      <c r="DF83" s="730"/>
      <c r="DG83" s="730"/>
      <c r="DH83" s="730"/>
      <c r="DI83" s="730"/>
      <c r="DJ83" s="730"/>
      <c r="DK83" s="730"/>
      <c r="DL83" s="730"/>
      <c r="DM83" s="730"/>
      <c r="DN83" s="730"/>
      <c r="DO83" s="730"/>
      <c r="DP83" s="730"/>
      <c r="DQ83" s="730"/>
      <c r="DR83" s="730"/>
      <c r="DS83" s="730"/>
      <c r="DT83" s="730"/>
      <c r="DU83" s="730"/>
      <c r="DV83" s="730"/>
      <c r="DW83" s="730"/>
      <c r="DX83" s="730"/>
      <c r="DY83" s="730"/>
      <c r="DZ83" s="730"/>
      <c r="EA83" s="730"/>
      <c r="EB83" s="730"/>
      <c r="EC83" s="730"/>
      <c r="ED83" s="730"/>
      <c r="EE83" s="730"/>
      <c r="EF83" s="730"/>
      <c r="EG83" s="730"/>
      <c r="EH83" s="730"/>
      <c r="EI83" s="730"/>
      <c r="EJ83" s="730"/>
      <c r="EK83" s="730"/>
      <c r="EL83" s="730"/>
      <c r="EM83" s="730"/>
      <c r="EN83" s="730"/>
      <c r="EO83" s="730"/>
      <c r="EP83" s="730"/>
      <c r="EQ83" s="730"/>
      <c r="ER83" s="730"/>
      <c r="ES83" s="730"/>
      <c r="ET83" s="730"/>
      <c r="EU83" s="730"/>
      <c r="EV83" s="730"/>
      <c r="EW83" s="730"/>
      <c r="EX83" s="730"/>
      <c r="EY83" s="730"/>
      <c r="EZ83" s="730"/>
      <c r="FA83" s="730"/>
      <c r="FB83" s="730"/>
      <c r="FC83" s="730"/>
      <c r="FD83" s="730"/>
      <c r="FE83" s="730"/>
      <c r="FF83" s="730"/>
      <c r="FG83" s="730"/>
      <c r="FH83" s="730"/>
      <c r="FI83" s="730"/>
      <c r="FJ83" s="730"/>
      <c r="FK83" s="730"/>
      <c r="FL83" s="730"/>
      <c r="FM83" s="730"/>
      <c r="FN83" s="730"/>
      <c r="FO83" s="730"/>
      <c r="FP83" s="730"/>
      <c r="FQ83" s="730"/>
      <c r="FR83" s="730"/>
      <c r="FS83" s="730"/>
      <c r="FT83" s="730"/>
      <c r="FU83" s="730"/>
      <c r="FV83" s="730"/>
      <c r="FW83" s="730"/>
      <c r="FX83" s="730"/>
      <c r="FY83" s="730"/>
      <c r="FZ83" s="730"/>
      <c r="GA83" s="730"/>
      <c r="GB83" s="730"/>
      <c r="GC83" s="730"/>
      <c r="GD83" s="730"/>
      <c r="GE83" s="730"/>
      <c r="GF83" s="730"/>
      <c r="GG83" s="730"/>
      <c r="GH83" s="730"/>
      <c r="GI83" s="730"/>
      <c r="GJ83" s="730"/>
      <c r="GK83" s="730"/>
      <c r="GL83" s="730"/>
      <c r="GM83" s="730"/>
      <c r="GN83" s="730"/>
      <c r="GO83" s="730"/>
      <c r="GP83" s="730"/>
      <c r="GQ83" s="730"/>
      <c r="GR83" s="730"/>
      <c r="GS83" s="730"/>
      <c r="GT83" s="730"/>
      <c r="GU83" s="730"/>
      <c r="GV83" s="730"/>
      <c r="GW83" s="730"/>
      <c r="GX83" s="730"/>
      <c r="GY83" s="730"/>
      <c r="GZ83" s="730"/>
      <c r="HA83" s="730"/>
      <c r="HB83" s="730"/>
      <c r="HC83" s="730"/>
      <c r="HD83" s="730"/>
      <c r="HE83" s="730"/>
      <c r="HF83" s="730"/>
      <c r="HG83" s="730"/>
      <c r="HH83" s="730"/>
      <c r="HI83" s="730"/>
      <c r="HJ83" s="730"/>
      <c r="HK83" s="730"/>
      <c r="HL83" s="730"/>
      <c r="HM83" s="730"/>
      <c r="HN83" s="730"/>
      <c r="HO83" s="730"/>
      <c r="HP83" s="730"/>
      <c r="HQ83" s="730"/>
      <c r="HR83" s="730"/>
      <c r="HS83" s="730"/>
      <c r="HT83" s="730"/>
      <c r="HU83" s="730"/>
      <c r="HV83" s="730"/>
      <c r="HW83" s="730"/>
      <c r="HX83" s="730"/>
      <c r="HY83" s="730"/>
      <c r="HZ83" s="730"/>
      <c r="IA83" s="730"/>
      <c r="IB83" s="730"/>
      <c r="IC83" s="730"/>
      <c r="ID83" s="730"/>
      <c r="IE83" s="730"/>
      <c r="IF83" s="730"/>
      <c r="IG83" s="730"/>
      <c r="IH83" s="730"/>
      <c r="II83" s="730"/>
      <c r="IJ83" s="730"/>
      <c r="IK83" s="730"/>
      <c r="IL83" s="730"/>
      <c r="IM83" s="730"/>
      <c r="IN83" s="730"/>
      <c r="IO83" s="730"/>
      <c r="IP83" s="730"/>
      <c r="IQ83" s="730"/>
      <c r="IR83" s="730"/>
      <c r="IS83" s="730"/>
      <c r="IT83" s="730"/>
      <c r="IU83" s="730"/>
      <c r="IV83" s="730"/>
    </row>
    <row r="84" spans="1:256" s="602" customFormat="1">
      <c r="A84" s="1211">
        <f ca="1">$Q$78 *(2)</f>
        <v>52</v>
      </c>
      <c r="B84" s="730" t="s">
        <v>141</v>
      </c>
      <c r="C84" s="730"/>
      <c r="D84" s="730" t="s">
        <v>1054</v>
      </c>
      <c r="E84" s="730"/>
      <c r="F84" s="730"/>
      <c r="G84" s="731" t="s">
        <v>1055</v>
      </c>
      <c r="H84" s="732">
        <v>620</v>
      </c>
      <c r="I84" s="730" t="s">
        <v>674</v>
      </c>
      <c r="J84" s="730"/>
      <c r="K84" s="735" t="s">
        <v>7</v>
      </c>
      <c r="L84" s="730"/>
      <c r="M84" s="730"/>
      <c r="N84" s="730"/>
      <c r="O84" s="733">
        <v>2</v>
      </c>
      <c r="P84" s="734"/>
      <c r="Q84" s="1210">
        <v>0.2</v>
      </c>
      <c r="R84" s="736">
        <f t="shared" ca="1" si="10"/>
        <v>10.4</v>
      </c>
      <c r="S84" s="735">
        <f>1.1 *(0.03)</f>
        <v>3.3000000000000002E-2</v>
      </c>
      <c r="T84" s="737">
        <f t="shared" ca="1" si="11"/>
        <v>1.7160000000000002</v>
      </c>
      <c r="U84" s="730"/>
      <c r="V84" s="730"/>
      <c r="W84" s="730"/>
      <c r="X84" s="730"/>
      <c r="Y84" s="730"/>
      <c r="Z84" s="730"/>
      <c r="AA84" s="730"/>
      <c r="AB84" s="730"/>
      <c r="AC84" s="730"/>
      <c r="AD84" s="730"/>
      <c r="AE84" s="730"/>
      <c r="AF84" s="730"/>
      <c r="AG84" s="730"/>
      <c r="AH84" s="730"/>
      <c r="AI84" s="730"/>
      <c r="AJ84" s="730"/>
      <c r="AK84" s="730"/>
      <c r="AL84" s="730"/>
      <c r="AM84" s="730"/>
      <c r="AN84" s="730"/>
      <c r="AO84" s="730"/>
      <c r="AP84" s="730"/>
      <c r="AQ84" s="730"/>
      <c r="AR84" s="730"/>
      <c r="AS84" s="730"/>
      <c r="AT84" s="730"/>
      <c r="AU84" s="730"/>
      <c r="AV84" s="730"/>
      <c r="AW84" s="730"/>
      <c r="AX84" s="730"/>
      <c r="AY84" s="730"/>
      <c r="AZ84" s="730"/>
      <c r="BA84" s="730"/>
      <c r="BB84" s="730"/>
      <c r="BC84" s="730"/>
      <c r="BD84" s="730"/>
      <c r="BE84" s="730"/>
      <c r="BF84" s="730"/>
      <c r="BG84" s="730"/>
      <c r="BH84" s="730"/>
      <c r="BI84" s="730"/>
      <c r="BJ84" s="730"/>
      <c r="BK84" s="730"/>
      <c r="BL84" s="730"/>
      <c r="BM84" s="730"/>
      <c r="BN84" s="730"/>
      <c r="BO84" s="730"/>
      <c r="BP84" s="730"/>
      <c r="BQ84" s="730"/>
      <c r="BR84" s="730"/>
      <c r="BS84" s="730"/>
      <c r="BT84" s="730"/>
      <c r="BU84" s="730"/>
      <c r="BV84" s="730"/>
      <c r="BW84" s="730"/>
      <c r="BX84" s="730"/>
      <c r="BY84" s="730"/>
      <c r="BZ84" s="730"/>
      <c r="CA84" s="730"/>
      <c r="CB84" s="730"/>
      <c r="CC84" s="730"/>
      <c r="CD84" s="730"/>
      <c r="CE84" s="730"/>
      <c r="CF84" s="730"/>
      <c r="CG84" s="730"/>
      <c r="CH84" s="730"/>
      <c r="CI84" s="730"/>
      <c r="CJ84" s="730"/>
      <c r="CK84" s="730"/>
      <c r="CL84" s="730"/>
      <c r="CM84" s="730"/>
      <c r="CN84" s="730"/>
      <c r="CO84" s="730"/>
      <c r="CP84" s="730"/>
      <c r="CQ84" s="730"/>
      <c r="CR84" s="730"/>
      <c r="CS84" s="730"/>
      <c r="CT84" s="730"/>
      <c r="CU84" s="730"/>
      <c r="CV84" s="730"/>
      <c r="CW84" s="730"/>
      <c r="CX84" s="730"/>
      <c r="CY84" s="730"/>
      <c r="CZ84" s="730"/>
      <c r="DA84" s="730"/>
      <c r="DB84" s="730"/>
      <c r="DC84" s="730"/>
      <c r="DD84" s="730"/>
      <c r="DE84" s="730"/>
      <c r="DF84" s="730"/>
      <c r="DG84" s="730"/>
      <c r="DH84" s="730"/>
      <c r="DI84" s="730"/>
      <c r="DJ84" s="730"/>
      <c r="DK84" s="730"/>
      <c r="DL84" s="730"/>
      <c r="DM84" s="730"/>
      <c r="DN84" s="730"/>
      <c r="DO84" s="730"/>
      <c r="DP84" s="730"/>
      <c r="DQ84" s="730"/>
      <c r="DR84" s="730"/>
      <c r="DS84" s="730"/>
      <c r="DT84" s="730"/>
      <c r="DU84" s="730"/>
      <c r="DV84" s="730"/>
      <c r="DW84" s="730"/>
      <c r="DX84" s="730"/>
      <c r="DY84" s="730"/>
      <c r="DZ84" s="730"/>
      <c r="EA84" s="730"/>
      <c r="EB84" s="730"/>
      <c r="EC84" s="730"/>
      <c r="ED84" s="730"/>
      <c r="EE84" s="730"/>
      <c r="EF84" s="730"/>
      <c r="EG84" s="730"/>
      <c r="EH84" s="730"/>
      <c r="EI84" s="730"/>
      <c r="EJ84" s="730"/>
      <c r="EK84" s="730"/>
      <c r="EL84" s="730"/>
      <c r="EM84" s="730"/>
      <c r="EN84" s="730"/>
      <c r="EO84" s="730"/>
      <c r="EP84" s="730"/>
      <c r="EQ84" s="730"/>
      <c r="ER84" s="730"/>
      <c r="ES84" s="730"/>
      <c r="ET84" s="730"/>
      <c r="EU84" s="730"/>
      <c r="EV84" s="730"/>
      <c r="EW84" s="730"/>
      <c r="EX84" s="730"/>
      <c r="EY84" s="730"/>
      <c r="EZ84" s="730"/>
      <c r="FA84" s="730"/>
      <c r="FB84" s="730"/>
      <c r="FC84" s="730"/>
      <c r="FD84" s="730"/>
      <c r="FE84" s="730"/>
      <c r="FF84" s="730"/>
      <c r="FG84" s="730"/>
      <c r="FH84" s="730"/>
      <c r="FI84" s="730"/>
      <c r="FJ84" s="730"/>
      <c r="FK84" s="730"/>
      <c r="FL84" s="730"/>
      <c r="FM84" s="730"/>
      <c r="FN84" s="730"/>
      <c r="FO84" s="730"/>
      <c r="FP84" s="730"/>
      <c r="FQ84" s="730"/>
      <c r="FR84" s="730"/>
      <c r="FS84" s="730"/>
      <c r="FT84" s="730"/>
      <c r="FU84" s="730"/>
      <c r="FV84" s="730"/>
      <c r="FW84" s="730"/>
      <c r="FX84" s="730"/>
      <c r="FY84" s="730"/>
      <c r="FZ84" s="730"/>
      <c r="GA84" s="730"/>
      <c r="GB84" s="730"/>
      <c r="GC84" s="730"/>
      <c r="GD84" s="730"/>
      <c r="GE84" s="730"/>
      <c r="GF84" s="730"/>
      <c r="GG84" s="730"/>
      <c r="GH84" s="730"/>
      <c r="GI84" s="730"/>
      <c r="GJ84" s="730"/>
      <c r="GK84" s="730"/>
      <c r="GL84" s="730"/>
      <c r="GM84" s="730"/>
      <c r="GN84" s="730"/>
      <c r="GO84" s="730"/>
      <c r="GP84" s="730"/>
      <c r="GQ84" s="730"/>
      <c r="GR84" s="730"/>
      <c r="GS84" s="730"/>
      <c r="GT84" s="730"/>
      <c r="GU84" s="730"/>
      <c r="GV84" s="730"/>
      <c r="GW84" s="730"/>
      <c r="GX84" s="730"/>
      <c r="GY84" s="730"/>
      <c r="GZ84" s="730"/>
      <c r="HA84" s="730"/>
      <c r="HB84" s="730"/>
      <c r="HC84" s="730"/>
      <c r="HD84" s="730"/>
      <c r="HE84" s="730"/>
      <c r="HF84" s="730"/>
      <c r="HG84" s="730"/>
      <c r="HH84" s="730"/>
      <c r="HI84" s="730"/>
      <c r="HJ84" s="730"/>
      <c r="HK84" s="730"/>
      <c r="HL84" s="730"/>
      <c r="HM84" s="730"/>
      <c r="HN84" s="730"/>
      <c r="HO84" s="730"/>
      <c r="HP84" s="730"/>
      <c r="HQ84" s="730"/>
      <c r="HR84" s="730"/>
      <c r="HS84" s="730"/>
      <c r="HT84" s="730"/>
      <c r="HU84" s="730"/>
      <c r="HV84" s="730"/>
      <c r="HW84" s="730"/>
      <c r="HX84" s="730"/>
      <c r="HY84" s="730"/>
      <c r="HZ84" s="730"/>
      <c r="IA84" s="730"/>
      <c r="IB84" s="730"/>
      <c r="IC84" s="730"/>
      <c r="ID84" s="730"/>
      <c r="IE84" s="730"/>
      <c r="IF84" s="730"/>
      <c r="IG84" s="730"/>
      <c r="IH84" s="730"/>
      <c r="II84" s="730"/>
      <c r="IJ84" s="730"/>
      <c r="IK84" s="730"/>
      <c r="IL84" s="730"/>
      <c r="IM84" s="730"/>
      <c r="IN84" s="730"/>
      <c r="IO84" s="730"/>
      <c r="IP84" s="730"/>
      <c r="IQ84" s="730"/>
      <c r="IR84" s="730"/>
      <c r="IS84" s="730"/>
      <c r="IT84" s="730"/>
      <c r="IU84" s="730"/>
      <c r="IV84" s="730"/>
    </row>
    <row r="85" spans="1:256" s="602" customFormat="1">
      <c r="A85" s="1211">
        <f ca="1">$Q$78 *(4)</f>
        <v>104</v>
      </c>
      <c r="B85" s="730" t="s">
        <v>141</v>
      </c>
      <c r="C85" s="730"/>
      <c r="D85" s="730" t="s">
        <v>1058</v>
      </c>
      <c r="E85" s="730"/>
      <c r="F85" s="730"/>
      <c r="G85" s="731" t="s">
        <v>1059</v>
      </c>
      <c r="H85" s="732">
        <v>620</v>
      </c>
      <c r="I85" s="730" t="s">
        <v>702</v>
      </c>
      <c r="J85" s="730"/>
      <c r="K85" s="735" t="s">
        <v>7</v>
      </c>
      <c r="L85" s="730"/>
      <c r="M85" s="730"/>
      <c r="N85" s="730"/>
      <c r="O85" s="733">
        <v>2</v>
      </c>
      <c r="P85" s="734">
        <v>34669</v>
      </c>
      <c r="Q85" s="1210">
        <v>0.05</v>
      </c>
      <c r="R85" s="736">
        <f t="shared" ca="1" si="10"/>
        <v>5.2</v>
      </c>
      <c r="S85" s="735">
        <f>1.1 *(0.01)</f>
        <v>1.1000000000000001E-2</v>
      </c>
      <c r="T85" s="737">
        <f t="shared" ca="1" si="11"/>
        <v>1.1440000000000001</v>
      </c>
      <c r="U85" s="730"/>
      <c r="V85" s="730"/>
      <c r="W85" s="730"/>
      <c r="X85" s="730"/>
      <c r="Y85" s="730"/>
      <c r="Z85" s="730"/>
      <c r="AA85" s="730"/>
      <c r="AB85" s="730"/>
      <c r="AC85" s="730"/>
      <c r="AD85" s="730"/>
      <c r="AE85" s="730"/>
      <c r="AF85" s="730"/>
      <c r="AG85" s="730"/>
      <c r="AH85" s="730"/>
      <c r="AI85" s="730"/>
      <c r="AJ85" s="730"/>
      <c r="AK85" s="730"/>
      <c r="AL85" s="730"/>
      <c r="AM85" s="730"/>
      <c r="AN85" s="730"/>
      <c r="AO85" s="730"/>
      <c r="AP85" s="730"/>
      <c r="AQ85" s="730"/>
      <c r="AR85" s="730"/>
      <c r="AS85" s="730"/>
      <c r="AT85" s="730"/>
      <c r="AU85" s="730"/>
      <c r="AV85" s="730"/>
      <c r="AW85" s="730"/>
      <c r="AX85" s="730"/>
      <c r="AY85" s="730"/>
      <c r="AZ85" s="730"/>
      <c r="BA85" s="730"/>
      <c r="BB85" s="730"/>
      <c r="BC85" s="730"/>
      <c r="BD85" s="730"/>
      <c r="BE85" s="730"/>
      <c r="BF85" s="730"/>
      <c r="BG85" s="730"/>
      <c r="BH85" s="730"/>
      <c r="BI85" s="730"/>
      <c r="BJ85" s="730"/>
      <c r="BK85" s="730"/>
      <c r="BL85" s="730"/>
      <c r="BM85" s="730"/>
      <c r="BN85" s="730"/>
      <c r="BO85" s="730"/>
      <c r="BP85" s="730"/>
      <c r="BQ85" s="730"/>
      <c r="BR85" s="730"/>
      <c r="BS85" s="730"/>
      <c r="BT85" s="730"/>
      <c r="BU85" s="730"/>
      <c r="BV85" s="730"/>
      <c r="BW85" s="730"/>
      <c r="BX85" s="730"/>
      <c r="BY85" s="730"/>
      <c r="BZ85" s="730"/>
      <c r="CA85" s="730"/>
      <c r="CB85" s="730"/>
      <c r="CC85" s="730"/>
      <c r="CD85" s="730"/>
      <c r="CE85" s="730"/>
      <c r="CF85" s="730"/>
      <c r="CG85" s="730"/>
      <c r="CH85" s="730"/>
      <c r="CI85" s="730"/>
      <c r="CJ85" s="730"/>
      <c r="CK85" s="730"/>
      <c r="CL85" s="730"/>
      <c r="CM85" s="730"/>
      <c r="CN85" s="730"/>
      <c r="CO85" s="730"/>
      <c r="CP85" s="730"/>
      <c r="CQ85" s="730"/>
      <c r="CR85" s="730"/>
      <c r="CS85" s="730"/>
      <c r="CT85" s="730"/>
      <c r="CU85" s="730"/>
      <c r="CV85" s="730"/>
      <c r="CW85" s="730"/>
      <c r="CX85" s="730"/>
      <c r="CY85" s="730"/>
      <c r="CZ85" s="730"/>
      <c r="DA85" s="730"/>
      <c r="DB85" s="730"/>
      <c r="DC85" s="730"/>
      <c r="DD85" s="730"/>
      <c r="DE85" s="730"/>
      <c r="DF85" s="730"/>
      <c r="DG85" s="730"/>
      <c r="DH85" s="730"/>
      <c r="DI85" s="730"/>
      <c r="DJ85" s="730"/>
      <c r="DK85" s="730"/>
      <c r="DL85" s="730"/>
      <c r="DM85" s="730"/>
      <c r="DN85" s="730"/>
      <c r="DO85" s="730"/>
      <c r="DP85" s="730"/>
      <c r="DQ85" s="730"/>
      <c r="DR85" s="730"/>
      <c r="DS85" s="730"/>
      <c r="DT85" s="730"/>
      <c r="DU85" s="730"/>
      <c r="DV85" s="730"/>
      <c r="DW85" s="730"/>
      <c r="DX85" s="730"/>
      <c r="DY85" s="730"/>
      <c r="DZ85" s="730"/>
      <c r="EA85" s="730"/>
      <c r="EB85" s="730"/>
      <c r="EC85" s="730"/>
      <c r="ED85" s="730"/>
      <c r="EE85" s="730"/>
      <c r="EF85" s="730"/>
      <c r="EG85" s="730"/>
      <c r="EH85" s="730"/>
      <c r="EI85" s="730"/>
      <c r="EJ85" s="730"/>
      <c r="EK85" s="730"/>
      <c r="EL85" s="730"/>
      <c r="EM85" s="730"/>
      <c r="EN85" s="730"/>
      <c r="EO85" s="730"/>
      <c r="EP85" s="730"/>
      <c r="EQ85" s="730"/>
      <c r="ER85" s="730"/>
      <c r="ES85" s="730"/>
      <c r="ET85" s="730"/>
      <c r="EU85" s="730"/>
      <c r="EV85" s="730"/>
      <c r="EW85" s="730"/>
      <c r="EX85" s="730"/>
      <c r="EY85" s="730"/>
      <c r="EZ85" s="730"/>
      <c r="FA85" s="730"/>
      <c r="FB85" s="730"/>
      <c r="FC85" s="730"/>
      <c r="FD85" s="730"/>
      <c r="FE85" s="730"/>
      <c r="FF85" s="730"/>
      <c r="FG85" s="730"/>
      <c r="FH85" s="730"/>
      <c r="FI85" s="730"/>
      <c r="FJ85" s="730"/>
      <c r="FK85" s="730"/>
      <c r="FL85" s="730"/>
      <c r="FM85" s="730"/>
      <c r="FN85" s="730"/>
      <c r="FO85" s="730"/>
      <c r="FP85" s="730"/>
      <c r="FQ85" s="730"/>
      <c r="FR85" s="730"/>
      <c r="FS85" s="730"/>
      <c r="FT85" s="730"/>
      <c r="FU85" s="730"/>
      <c r="FV85" s="730"/>
      <c r="FW85" s="730"/>
      <c r="FX85" s="730"/>
      <c r="FY85" s="730"/>
      <c r="FZ85" s="730"/>
      <c r="GA85" s="730"/>
      <c r="GB85" s="730"/>
      <c r="GC85" s="730"/>
      <c r="GD85" s="730"/>
      <c r="GE85" s="730"/>
      <c r="GF85" s="730"/>
      <c r="GG85" s="730"/>
      <c r="GH85" s="730"/>
      <c r="GI85" s="730"/>
      <c r="GJ85" s="730"/>
      <c r="GK85" s="730"/>
      <c r="GL85" s="730"/>
      <c r="GM85" s="730"/>
      <c r="GN85" s="730"/>
      <c r="GO85" s="730"/>
      <c r="GP85" s="730"/>
      <c r="GQ85" s="730"/>
      <c r="GR85" s="730"/>
      <c r="GS85" s="730"/>
      <c r="GT85" s="730"/>
      <c r="GU85" s="730"/>
      <c r="GV85" s="730"/>
      <c r="GW85" s="730"/>
      <c r="GX85" s="730"/>
      <c r="GY85" s="730"/>
      <c r="GZ85" s="730"/>
      <c r="HA85" s="730"/>
      <c r="HB85" s="730"/>
      <c r="HC85" s="730"/>
      <c r="HD85" s="730"/>
      <c r="HE85" s="730"/>
      <c r="HF85" s="730"/>
      <c r="HG85" s="730"/>
      <c r="HH85" s="730"/>
      <c r="HI85" s="730"/>
      <c r="HJ85" s="730"/>
      <c r="HK85" s="730"/>
      <c r="HL85" s="730"/>
      <c r="HM85" s="730"/>
      <c r="HN85" s="730"/>
      <c r="HO85" s="730"/>
      <c r="HP85" s="730"/>
      <c r="HQ85" s="730"/>
      <c r="HR85" s="730"/>
      <c r="HS85" s="730"/>
      <c r="HT85" s="730"/>
      <c r="HU85" s="730"/>
      <c r="HV85" s="730"/>
      <c r="HW85" s="730"/>
      <c r="HX85" s="730"/>
      <c r="HY85" s="730"/>
      <c r="HZ85" s="730"/>
      <c r="IA85" s="730"/>
      <c r="IB85" s="730"/>
      <c r="IC85" s="730"/>
      <c r="ID85" s="730"/>
      <c r="IE85" s="730"/>
      <c r="IF85" s="730"/>
      <c r="IG85" s="730"/>
      <c r="IH85" s="730"/>
      <c r="II85" s="730"/>
      <c r="IJ85" s="730"/>
      <c r="IK85" s="730"/>
      <c r="IL85" s="730"/>
      <c r="IM85" s="730"/>
      <c r="IN85" s="730"/>
      <c r="IO85" s="730"/>
      <c r="IP85" s="730"/>
      <c r="IQ85" s="730"/>
      <c r="IR85" s="730"/>
      <c r="IS85" s="730"/>
      <c r="IT85" s="730"/>
      <c r="IU85" s="730"/>
      <c r="IV85" s="730"/>
    </row>
    <row r="86" spans="1:256" s="730" customFormat="1">
      <c r="A86" s="1213">
        <f ca="1">$Q$78 *(1)</f>
        <v>26</v>
      </c>
      <c r="B86" s="730" t="s">
        <v>141</v>
      </c>
      <c r="D86" s="730" t="s">
        <v>1039</v>
      </c>
      <c r="F86" s="730" t="s">
        <v>1307</v>
      </c>
      <c r="G86" s="731" t="s">
        <v>1040</v>
      </c>
      <c r="H86" s="732">
        <v>900</v>
      </c>
      <c r="I86" s="730" t="s">
        <v>686</v>
      </c>
      <c r="K86" s="730" t="s">
        <v>7</v>
      </c>
      <c r="O86" s="733">
        <v>1</v>
      </c>
      <c r="P86" s="734"/>
      <c r="Q86" s="1201"/>
      <c r="R86" s="736">
        <f t="shared" ca="1" si="10"/>
        <v>0</v>
      </c>
      <c r="S86" s="735">
        <f>1.1 *(0.5)</f>
        <v>0.55000000000000004</v>
      </c>
      <c r="T86" s="737">
        <f t="shared" ca="1" si="11"/>
        <v>14.3</v>
      </c>
      <c r="U86" s="730" t="s">
        <v>913</v>
      </c>
    </row>
    <row r="87" spans="1:256" s="602" customFormat="1" ht="12" customHeight="1">
      <c r="A87" s="663"/>
      <c r="B87" s="3"/>
      <c r="C87" s="663" t="s">
        <v>183</v>
      </c>
      <c r="D87" s="3"/>
      <c r="E87" s="663"/>
      <c r="F87" s="664"/>
      <c r="G87" s="663"/>
      <c r="H87" s="663"/>
      <c r="I87" s="601"/>
      <c r="J87" s="663"/>
      <c r="K87" s="663"/>
      <c r="L87" s="663"/>
      <c r="M87" s="663"/>
      <c r="N87" s="663"/>
      <c r="O87" s="663"/>
      <c r="P87" s="663"/>
      <c r="Q87" s="601"/>
      <c r="R87" s="814">
        <f t="shared" si="10"/>
        <v>0</v>
      </c>
      <c r="S87" s="601"/>
      <c r="T87" s="681">
        <f t="shared" si="11"/>
        <v>0</v>
      </c>
    </row>
    <row r="88" spans="1:256" s="602" customFormat="1" ht="12.6" thickBot="1">
      <c r="A88" s="682" t="s">
        <v>145</v>
      </c>
      <c r="B88" s="683">
        <f>(R87+T87)</f>
        <v>0</v>
      </c>
      <c r="C88" s="684"/>
      <c r="D88" s="834" t="s">
        <v>184</v>
      </c>
      <c r="E88" s="545">
        <f ca="1">IF($B78=0,0,ROUND(ROUND(($R88*$S$2+($T88*$T$2))/$B78, 2)*$C$2,2))</f>
        <v>522.25</v>
      </c>
      <c r="F88" s="546">
        <f ca="1">ROUND($B78*$E88,2)</f>
        <v>13578.5</v>
      </c>
      <c r="G88" s="684"/>
      <c r="H88" s="684"/>
      <c r="I88" s="686"/>
      <c r="J88" s="684"/>
      <c r="K88" s="835" t="s">
        <v>143</v>
      </c>
      <c r="L88" s="687" t="s">
        <v>143</v>
      </c>
      <c r="M88" s="687"/>
      <c r="N88" s="687"/>
      <c r="O88" s="687"/>
      <c r="P88" s="687"/>
      <c r="Q88" s="835"/>
      <c r="R88" s="836">
        <f ca="1">SUM(R79:R87)</f>
        <v>3731.8524590163938</v>
      </c>
      <c r="S88" s="837"/>
      <c r="T88" s="836">
        <f ca="1">SUM(T79:T87)</f>
        <v>240.24000000000007</v>
      </c>
      <c r="U88" s="611"/>
      <c r="V88" s="611"/>
      <c r="W88" s="611"/>
      <c r="X88" s="611"/>
      <c r="Y88" s="611"/>
      <c r="Z88" s="611"/>
      <c r="AA88" s="611"/>
      <c r="AB88" s="611"/>
    </row>
    <row r="89" spans="1:256" s="602" customFormat="1" ht="12" thickTop="1">
      <c r="A89" s="63"/>
      <c r="B89" s="63"/>
      <c r="C89" s="63"/>
      <c r="D89" s="63"/>
      <c r="E89" s="63"/>
      <c r="F89" s="63"/>
      <c r="G89" s="63"/>
      <c r="H89" s="63"/>
      <c r="I89" s="63"/>
      <c r="J89" s="63"/>
      <c r="K89" s="63"/>
      <c r="L89" s="63"/>
      <c r="M89" s="63"/>
      <c r="N89" s="63"/>
      <c r="O89" s="64"/>
      <c r="P89" s="63"/>
      <c r="Q89" s="42" t="s">
        <v>180</v>
      </c>
      <c r="R89" s="63"/>
      <c r="S89" s="13"/>
      <c r="T89" s="63"/>
    </row>
    <row r="90" spans="1:256" s="602" customFormat="1" ht="12" customHeight="1" thickBot="1">
      <c r="A90" s="824">
        <v>1</v>
      </c>
      <c r="B90" s="825">
        <f ca="1">Elec_Est!B1045</f>
        <v>5</v>
      </c>
      <c r="C90" s="826"/>
      <c r="D90" s="827" t="s">
        <v>1315</v>
      </c>
      <c r="E90" s="828"/>
      <c r="F90" s="828"/>
      <c r="G90" s="676"/>
      <c r="H90" s="676"/>
      <c r="I90" s="829"/>
      <c r="J90" s="676"/>
      <c r="K90" s="826" t="s">
        <v>181</v>
      </c>
      <c r="L90" s="830" t="s">
        <v>181</v>
      </c>
      <c r="M90" s="830"/>
      <c r="N90" s="830"/>
      <c r="O90" s="830"/>
      <c r="P90" s="830"/>
      <c r="Q90" s="831">
        <f ca="1">B90/A90</f>
        <v>5</v>
      </c>
      <c r="R90" s="832">
        <f ca="1">IF($B90=0,0,IF($S$1="R",ROUND(R100/$B90,2),R100/$B90))</f>
        <v>76.260000000000005</v>
      </c>
      <c r="S90" s="833"/>
      <c r="T90" s="832">
        <f ca="1">IF($B90=0,0,IF($S$1="R",ROUND(T100/$B90,2),T100/$B90))</f>
        <v>4.41</v>
      </c>
    </row>
    <row r="91" spans="1:256" s="602" customFormat="1" ht="13.8" thickTop="1">
      <c r="A91" s="672"/>
      <c r="B91" s="3"/>
      <c r="C91" s="3"/>
      <c r="D91" s="157" t="s">
        <v>1316</v>
      </c>
      <c r="E91" s="3"/>
      <c r="F91" s="3"/>
      <c r="G91" s="3"/>
      <c r="H91" s="3"/>
      <c r="I91" s="3"/>
      <c r="J91" s="3"/>
      <c r="K91" s="3"/>
      <c r="L91" s="3"/>
      <c r="M91" s="3"/>
      <c r="N91" s="3"/>
      <c r="O91" s="158"/>
      <c r="P91" s="3"/>
      <c r="Q91" s="3"/>
      <c r="R91" s="3"/>
      <c r="S91" s="3"/>
      <c r="T91" s="3"/>
    </row>
    <row r="92" spans="1:256" s="730" customFormat="1">
      <c r="A92" s="840">
        <f ca="1">$Q$90 *(6)</f>
        <v>30</v>
      </c>
      <c r="B92" s="730" t="s">
        <v>326</v>
      </c>
      <c r="D92" s="730" t="s">
        <v>1317</v>
      </c>
      <c r="G92" s="731" t="s">
        <v>1318</v>
      </c>
      <c r="H92" s="732">
        <v>690</v>
      </c>
      <c r="I92" s="730" t="s">
        <v>765</v>
      </c>
      <c r="J92" s="730" t="s">
        <v>1319</v>
      </c>
      <c r="O92" s="733">
        <v>1</v>
      </c>
      <c r="P92" s="734">
        <v>34669</v>
      </c>
      <c r="Q92" s="735">
        <v>3.66</v>
      </c>
      <c r="R92" s="736">
        <f ca="1">$A92*Q92</f>
        <v>109.80000000000001</v>
      </c>
      <c r="S92" s="735">
        <f>1.1 *(0.25)</f>
        <v>0.27500000000000002</v>
      </c>
      <c r="T92" s="737">
        <f ca="1">$A92*S92*$T$1</f>
        <v>8.25</v>
      </c>
    </row>
    <row r="93" spans="1:256">
      <c r="A93" s="840">
        <f ca="1">$Q$90 *(30*2)</f>
        <v>300</v>
      </c>
      <c r="B93" s="730" t="s">
        <v>326</v>
      </c>
      <c r="C93" s="1197" t="e">
        <f>#REF! *(7*8*1.1)</f>
        <v>#REF!</v>
      </c>
      <c r="D93" s="730" t="s">
        <v>1320</v>
      </c>
      <c r="E93" s="730"/>
      <c r="F93" s="730"/>
      <c r="G93" s="731" t="s">
        <v>1321</v>
      </c>
      <c r="H93" s="732">
        <v>617</v>
      </c>
      <c r="I93" s="730" t="s">
        <v>674</v>
      </c>
      <c r="J93" s="730"/>
      <c r="K93" s="735" t="s">
        <v>7</v>
      </c>
      <c r="L93" s="730"/>
      <c r="M93" s="730"/>
      <c r="N93" s="730"/>
      <c r="O93" s="733">
        <v>2</v>
      </c>
      <c r="P93" s="734">
        <v>40767</v>
      </c>
      <c r="Q93" s="735">
        <v>0.65</v>
      </c>
      <c r="R93" s="736">
        <f ca="1">$A93*Q93</f>
        <v>195</v>
      </c>
      <c r="S93" s="735">
        <f>1.1 *(0.025)</f>
        <v>2.7500000000000004E-2</v>
      </c>
      <c r="T93" s="737">
        <f ca="1">$A93*S93*$T$1</f>
        <v>8.2500000000000018</v>
      </c>
      <c r="U93" s="730"/>
      <c r="V93" s="730"/>
      <c r="W93" s="730"/>
      <c r="X93" s="602"/>
      <c r="Y93" s="1199"/>
      <c r="Z93" s="730"/>
      <c r="AA93" s="730"/>
      <c r="AB93" s="730"/>
      <c r="AC93" s="730"/>
      <c r="AD93" s="730"/>
      <c r="AE93" s="730"/>
      <c r="AF93" s="730"/>
      <c r="AG93" s="730"/>
      <c r="AH93" s="730"/>
      <c r="AI93" s="730"/>
      <c r="AJ93" s="730"/>
      <c r="AK93" s="730"/>
      <c r="AL93" s="730"/>
      <c r="AM93" s="730"/>
      <c r="AN93" s="730"/>
      <c r="AO93" s="730"/>
      <c r="AP93" s="730"/>
      <c r="AQ93" s="730"/>
      <c r="AR93" s="730"/>
      <c r="AS93" s="730"/>
      <c r="AT93" s="730"/>
      <c r="AU93" s="730"/>
      <c r="AV93" s="730"/>
      <c r="AW93" s="730"/>
      <c r="AX93" s="730"/>
      <c r="AY93" s="730"/>
      <c r="AZ93" s="730"/>
      <c r="BA93" s="730"/>
      <c r="BB93" s="730"/>
      <c r="BC93" s="730"/>
      <c r="BD93" s="730"/>
      <c r="BE93" s="730"/>
      <c r="BF93" s="730"/>
      <c r="BG93" s="730"/>
      <c r="BH93" s="730"/>
      <c r="BI93" s="730"/>
      <c r="BJ93" s="730"/>
      <c r="BK93" s="730"/>
      <c r="BL93" s="730"/>
      <c r="BM93" s="730"/>
      <c r="BN93" s="730"/>
      <c r="BO93" s="730"/>
      <c r="BP93" s="730"/>
      <c r="BQ93" s="730"/>
      <c r="BR93" s="730"/>
      <c r="BS93" s="730"/>
      <c r="BT93" s="730"/>
      <c r="BU93" s="730"/>
      <c r="BV93" s="730"/>
      <c r="BW93" s="730"/>
      <c r="BX93" s="730"/>
      <c r="BY93" s="730"/>
      <c r="BZ93" s="730"/>
      <c r="CA93" s="730"/>
      <c r="CB93" s="730"/>
      <c r="CC93" s="730"/>
      <c r="CD93" s="730"/>
      <c r="CE93" s="730"/>
      <c r="CF93" s="730"/>
      <c r="CG93" s="730"/>
      <c r="CH93" s="730"/>
      <c r="CI93" s="730"/>
      <c r="CJ93" s="730"/>
      <c r="CK93" s="730"/>
      <c r="CL93" s="730"/>
      <c r="CM93" s="730"/>
      <c r="CN93" s="730"/>
      <c r="CO93" s="730"/>
      <c r="CP93" s="730"/>
      <c r="CQ93" s="730"/>
      <c r="CR93" s="730"/>
      <c r="CS93" s="730"/>
      <c r="CT93" s="730"/>
      <c r="CU93" s="730"/>
      <c r="CV93" s="730"/>
      <c r="CW93" s="730"/>
      <c r="CX93" s="730"/>
      <c r="CY93" s="730"/>
      <c r="CZ93" s="730"/>
      <c r="DA93" s="730"/>
      <c r="DB93" s="730"/>
      <c r="DC93" s="730"/>
      <c r="DD93" s="730"/>
      <c r="DE93" s="730"/>
      <c r="DF93" s="730"/>
      <c r="DG93" s="730"/>
      <c r="DH93" s="730"/>
      <c r="DI93" s="730"/>
      <c r="DJ93" s="730"/>
      <c r="DK93" s="730"/>
      <c r="DL93" s="730"/>
      <c r="DM93" s="730"/>
      <c r="DN93" s="730"/>
      <c r="DO93" s="730"/>
      <c r="DP93" s="730"/>
      <c r="DQ93" s="730"/>
      <c r="DR93" s="730"/>
      <c r="DS93" s="730"/>
      <c r="DT93" s="730"/>
      <c r="DU93" s="730"/>
      <c r="DV93" s="730"/>
      <c r="DW93" s="730"/>
      <c r="DX93" s="730"/>
      <c r="DY93" s="730"/>
      <c r="DZ93" s="730"/>
      <c r="EA93" s="730"/>
      <c r="EB93" s="730"/>
      <c r="EC93" s="730"/>
      <c r="ED93" s="730"/>
      <c r="EE93" s="730"/>
      <c r="EF93" s="730"/>
      <c r="EG93" s="730"/>
      <c r="EH93" s="730"/>
      <c r="EI93" s="730"/>
      <c r="EJ93" s="730"/>
      <c r="EK93" s="730"/>
      <c r="EL93" s="730"/>
      <c r="EM93" s="730"/>
      <c r="EN93" s="730"/>
      <c r="EO93" s="730"/>
      <c r="EP93" s="730"/>
      <c r="EQ93" s="730"/>
      <c r="ER93" s="730"/>
      <c r="ES93" s="730"/>
      <c r="ET93" s="730"/>
      <c r="EU93" s="730"/>
      <c r="EV93" s="730"/>
      <c r="EW93" s="730"/>
      <c r="EX93" s="730"/>
      <c r="EY93" s="730"/>
      <c r="EZ93" s="730"/>
      <c r="FA93" s="730"/>
      <c r="FB93" s="730"/>
      <c r="FC93" s="730"/>
      <c r="FD93" s="730"/>
      <c r="FE93" s="730"/>
      <c r="FF93" s="730"/>
      <c r="FG93" s="730"/>
      <c r="FH93" s="730"/>
      <c r="FI93" s="730"/>
      <c r="FJ93" s="730"/>
      <c r="FK93" s="730"/>
      <c r="FL93" s="730"/>
      <c r="FM93" s="730"/>
      <c r="FN93" s="730"/>
      <c r="FO93" s="730"/>
      <c r="FP93" s="730"/>
      <c r="FQ93" s="730"/>
      <c r="FR93" s="730"/>
      <c r="FS93" s="730"/>
      <c r="FT93" s="730"/>
      <c r="FU93" s="730"/>
      <c r="FV93" s="730"/>
      <c r="FW93" s="730"/>
      <c r="FX93" s="730"/>
      <c r="FY93" s="730"/>
      <c r="FZ93" s="730"/>
      <c r="GA93" s="730"/>
      <c r="GB93" s="730"/>
      <c r="GC93" s="730"/>
      <c r="GD93" s="730"/>
      <c r="GE93" s="730"/>
      <c r="GF93" s="730"/>
      <c r="GG93" s="730"/>
      <c r="GH93" s="730"/>
      <c r="GI93" s="730"/>
      <c r="GJ93" s="730"/>
      <c r="GK93" s="730"/>
      <c r="GL93" s="730"/>
      <c r="GM93" s="730"/>
      <c r="GN93" s="730"/>
      <c r="GO93" s="730"/>
      <c r="GP93" s="730"/>
      <c r="GQ93" s="730"/>
      <c r="GR93" s="730"/>
      <c r="GS93" s="730"/>
      <c r="GT93" s="730"/>
      <c r="GU93" s="730"/>
      <c r="GV93" s="730"/>
      <c r="GW93" s="730"/>
      <c r="GX93" s="730"/>
      <c r="GY93" s="730"/>
      <c r="GZ93" s="730"/>
      <c r="HA93" s="730"/>
      <c r="HB93" s="730"/>
      <c r="HC93" s="730"/>
      <c r="HD93" s="730"/>
      <c r="HE93" s="730"/>
      <c r="HF93" s="730"/>
      <c r="HG93" s="730"/>
      <c r="HH93" s="730"/>
      <c r="HI93" s="730"/>
      <c r="HJ93" s="730"/>
      <c r="HK93" s="730"/>
      <c r="HL93" s="730"/>
      <c r="HM93" s="730"/>
      <c r="HN93" s="730"/>
      <c r="HO93" s="730"/>
      <c r="HP93" s="730"/>
      <c r="HQ93" s="730"/>
      <c r="HR93" s="730"/>
      <c r="HS93" s="730"/>
      <c r="HT93" s="730"/>
      <c r="HU93" s="730"/>
      <c r="HV93" s="730"/>
      <c r="HW93" s="730"/>
      <c r="HX93" s="730"/>
      <c r="HY93" s="730"/>
      <c r="HZ93" s="730"/>
      <c r="IA93" s="730"/>
      <c r="IB93" s="730"/>
      <c r="IC93" s="730"/>
      <c r="ID93" s="730"/>
      <c r="IE93" s="730"/>
      <c r="IF93" s="730"/>
      <c r="IG93" s="730"/>
      <c r="IH93" s="730"/>
      <c r="II93" s="730"/>
      <c r="IJ93" s="730"/>
      <c r="IK93" s="730"/>
      <c r="IL93" s="730"/>
      <c r="IM93" s="730"/>
      <c r="IN93" s="730"/>
      <c r="IO93" s="730"/>
      <c r="IP93" s="730"/>
      <c r="IQ93" s="730"/>
      <c r="IR93" s="730"/>
      <c r="IS93" s="730"/>
      <c r="IT93" s="730"/>
      <c r="IU93" s="730"/>
      <c r="IV93" s="730"/>
    </row>
    <row r="94" spans="1:256" s="602" customFormat="1">
      <c r="A94" s="840">
        <f ca="1">$Q$90 *(1)</f>
        <v>5</v>
      </c>
      <c r="B94" s="730" t="s">
        <v>141</v>
      </c>
      <c r="C94" s="730"/>
      <c r="D94" s="730" t="s">
        <v>1322</v>
      </c>
      <c r="E94" s="730"/>
      <c r="F94" s="730" t="s">
        <v>1323</v>
      </c>
      <c r="G94" s="731" t="s">
        <v>1324</v>
      </c>
      <c r="H94" s="732">
        <v>705</v>
      </c>
      <c r="I94" s="730" t="s">
        <v>674</v>
      </c>
      <c r="J94" s="730"/>
      <c r="K94" s="735" t="s">
        <v>7</v>
      </c>
      <c r="L94" s="730"/>
      <c r="M94" s="730"/>
      <c r="N94" s="730"/>
      <c r="O94" s="733">
        <v>3</v>
      </c>
      <c r="P94" s="734">
        <v>38094</v>
      </c>
      <c r="Q94" s="735">
        <v>10</v>
      </c>
      <c r="R94" s="736">
        <f t="shared" ref="R94:R99" ca="1" si="12">$A94*Q94</f>
        <v>50</v>
      </c>
      <c r="S94" s="735">
        <f>1.1 *(0.25)</f>
        <v>0.27500000000000002</v>
      </c>
      <c r="T94" s="737">
        <f t="shared" ref="T94:T99" ca="1" si="13">$A94*S94*$T$1</f>
        <v>1.375</v>
      </c>
      <c r="U94" s="730"/>
      <c r="V94" s="730"/>
      <c r="W94" s="730"/>
      <c r="X94" s="730"/>
      <c r="Y94" s="730"/>
      <c r="Z94" s="730"/>
      <c r="AA94" s="730"/>
      <c r="AB94" s="730"/>
      <c r="AC94" s="730"/>
      <c r="AD94" s="730"/>
      <c r="AE94" s="730"/>
      <c r="AF94" s="730"/>
      <c r="AG94" s="730"/>
      <c r="AH94" s="1220"/>
      <c r="AI94" s="730"/>
      <c r="AJ94" s="730"/>
      <c r="AK94" s="730"/>
      <c r="AL94" s="730"/>
      <c r="AM94" s="730"/>
      <c r="AN94" s="730"/>
      <c r="AO94" s="730"/>
      <c r="AP94" s="730"/>
      <c r="AQ94" s="730"/>
      <c r="AR94" s="730"/>
      <c r="AS94" s="730"/>
      <c r="AT94" s="730"/>
      <c r="AU94" s="730"/>
      <c r="AV94" s="730"/>
      <c r="AW94" s="730"/>
      <c r="AX94" s="730"/>
      <c r="AY94" s="730"/>
      <c r="AZ94" s="730"/>
      <c r="BA94" s="730"/>
      <c r="BB94" s="730"/>
      <c r="BC94" s="730"/>
      <c r="BD94" s="730"/>
      <c r="BE94" s="730"/>
      <c r="BF94" s="730"/>
      <c r="BG94" s="730"/>
      <c r="BH94" s="730"/>
      <c r="BI94" s="730"/>
      <c r="BJ94" s="730"/>
      <c r="BK94" s="730"/>
      <c r="BL94" s="730"/>
      <c r="BM94" s="730"/>
      <c r="BN94" s="730"/>
      <c r="BO94" s="730"/>
      <c r="BP94" s="730"/>
      <c r="BQ94" s="730"/>
      <c r="BR94" s="730"/>
      <c r="BS94" s="730"/>
      <c r="BT94" s="730"/>
      <c r="BU94" s="730"/>
      <c r="BV94" s="730"/>
      <c r="BW94" s="730"/>
      <c r="BX94" s="730"/>
      <c r="BY94" s="730"/>
      <c r="BZ94" s="730"/>
      <c r="CA94" s="730"/>
      <c r="CB94" s="730"/>
      <c r="CC94" s="730"/>
      <c r="CD94" s="730"/>
      <c r="CE94" s="730"/>
      <c r="CF94" s="730"/>
      <c r="CG94" s="730"/>
      <c r="CH94" s="730"/>
      <c r="CI94" s="730"/>
      <c r="CJ94" s="730"/>
      <c r="CK94" s="730"/>
      <c r="CL94" s="730"/>
      <c r="CM94" s="730"/>
      <c r="CN94" s="730"/>
      <c r="CO94" s="730"/>
      <c r="CP94" s="730"/>
      <c r="CQ94" s="730"/>
      <c r="CR94" s="730"/>
      <c r="CS94" s="730"/>
      <c r="CT94" s="730"/>
      <c r="CU94" s="730"/>
      <c r="CV94" s="730"/>
      <c r="CW94" s="730"/>
      <c r="CX94" s="730"/>
      <c r="CY94" s="730"/>
      <c r="CZ94" s="730"/>
      <c r="DA94" s="730"/>
      <c r="DB94" s="730"/>
      <c r="DC94" s="730"/>
      <c r="DD94" s="730"/>
      <c r="DE94" s="730"/>
      <c r="DF94" s="730"/>
      <c r="DG94" s="730"/>
      <c r="DH94" s="730"/>
      <c r="DI94" s="730"/>
      <c r="DJ94" s="730"/>
      <c r="DK94" s="730"/>
      <c r="DL94" s="730"/>
      <c r="DM94" s="730"/>
      <c r="DN94" s="730"/>
      <c r="DO94" s="730"/>
      <c r="DP94" s="730"/>
      <c r="DQ94" s="730"/>
      <c r="DR94" s="730"/>
      <c r="DS94" s="730"/>
      <c r="DT94" s="730"/>
      <c r="DU94" s="730"/>
      <c r="DV94" s="730"/>
      <c r="DW94" s="730"/>
      <c r="DX94" s="730"/>
      <c r="DY94" s="730"/>
      <c r="DZ94" s="730"/>
      <c r="EA94" s="730"/>
      <c r="EB94" s="730"/>
      <c r="EC94" s="730"/>
      <c r="ED94" s="730"/>
      <c r="EE94" s="730"/>
      <c r="EF94" s="730"/>
      <c r="EG94" s="730"/>
      <c r="EH94" s="730"/>
      <c r="EI94" s="730"/>
      <c r="EJ94" s="730"/>
      <c r="EK94" s="730"/>
      <c r="EL94" s="730"/>
      <c r="EM94" s="730"/>
      <c r="EN94" s="730"/>
      <c r="EO94" s="730"/>
      <c r="EP94" s="730"/>
      <c r="EQ94" s="730"/>
      <c r="ER94" s="730"/>
      <c r="ES94" s="730"/>
      <c r="ET94" s="730"/>
      <c r="EU94" s="730"/>
      <c r="EV94" s="730"/>
      <c r="EW94" s="730"/>
      <c r="EX94" s="730"/>
      <c r="EY94" s="730"/>
      <c r="EZ94" s="730"/>
      <c r="FA94" s="730"/>
      <c r="FB94" s="730"/>
      <c r="FC94" s="730"/>
      <c r="FD94" s="730"/>
      <c r="FE94" s="730"/>
      <c r="FF94" s="730"/>
      <c r="FG94" s="730"/>
      <c r="FH94" s="730"/>
      <c r="FI94" s="730"/>
      <c r="FJ94" s="730"/>
      <c r="FK94" s="730"/>
      <c r="FL94" s="730"/>
      <c r="FM94" s="730"/>
      <c r="FN94" s="730"/>
      <c r="FO94" s="730"/>
      <c r="FP94" s="730"/>
      <c r="FQ94" s="730"/>
      <c r="FR94" s="730"/>
      <c r="FS94" s="730"/>
      <c r="FT94" s="730"/>
      <c r="FU94" s="730"/>
      <c r="FV94" s="730"/>
      <c r="FW94" s="730"/>
      <c r="FX94" s="730"/>
      <c r="FY94" s="730"/>
      <c r="FZ94" s="730"/>
      <c r="GA94" s="730"/>
      <c r="GB94" s="730"/>
      <c r="GC94" s="730"/>
      <c r="GD94" s="730"/>
      <c r="GE94" s="730"/>
      <c r="GF94" s="730"/>
      <c r="GG94" s="730"/>
      <c r="GH94" s="730"/>
      <c r="GI94" s="730"/>
      <c r="GJ94" s="730"/>
      <c r="GK94" s="730"/>
      <c r="GL94" s="730"/>
      <c r="GM94" s="730"/>
      <c r="GN94" s="730"/>
      <c r="GO94" s="730"/>
      <c r="GP94" s="730"/>
      <c r="GQ94" s="730"/>
      <c r="GR94" s="730"/>
      <c r="GS94" s="730"/>
      <c r="GT94" s="730"/>
      <c r="GU94" s="730"/>
      <c r="GV94" s="730"/>
      <c r="GW94" s="730"/>
      <c r="GX94" s="730"/>
      <c r="GY94" s="730"/>
      <c r="GZ94" s="730"/>
      <c r="HA94" s="730"/>
      <c r="HB94" s="730"/>
      <c r="HC94" s="730"/>
      <c r="HD94" s="730"/>
      <c r="HE94" s="730"/>
      <c r="HF94" s="730"/>
      <c r="HG94" s="730"/>
      <c r="HH94" s="730"/>
      <c r="HI94" s="730"/>
      <c r="HJ94" s="730"/>
      <c r="HK94" s="730"/>
      <c r="HL94" s="730"/>
      <c r="HM94" s="730"/>
      <c r="HN94" s="730"/>
      <c r="HO94" s="730"/>
      <c r="HP94" s="730"/>
      <c r="HQ94" s="730"/>
      <c r="HR94" s="730"/>
      <c r="HS94" s="730"/>
      <c r="HT94" s="730"/>
      <c r="HU94" s="730"/>
      <c r="HV94" s="730"/>
      <c r="HW94" s="730"/>
      <c r="HX94" s="730"/>
      <c r="HY94" s="730"/>
      <c r="HZ94" s="730"/>
      <c r="IA94" s="730"/>
      <c r="IB94" s="730"/>
      <c r="IC94" s="730"/>
      <c r="ID94" s="730"/>
      <c r="IE94" s="730"/>
      <c r="IF94" s="730"/>
      <c r="IG94" s="730"/>
      <c r="IH94" s="730"/>
      <c r="II94" s="730"/>
      <c r="IJ94" s="730"/>
      <c r="IK94" s="730"/>
      <c r="IL94" s="730"/>
      <c r="IM94" s="730"/>
      <c r="IN94" s="730"/>
      <c r="IO94" s="730"/>
      <c r="IP94" s="730"/>
      <c r="IQ94" s="730"/>
      <c r="IR94" s="730"/>
      <c r="IS94" s="730"/>
      <c r="IT94" s="730"/>
      <c r="IU94" s="730"/>
      <c r="IV94" s="730"/>
    </row>
    <row r="95" spans="1:256" s="1221" customFormat="1">
      <c r="A95" s="840">
        <f ca="1">$Q$90 *(2)</f>
        <v>10</v>
      </c>
      <c r="B95" s="730" t="s">
        <v>141</v>
      </c>
      <c r="C95" s="730"/>
      <c r="D95" s="730" t="s">
        <v>1325</v>
      </c>
      <c r="E95" s="730"/>
      <c r="F95" s="730"/>
      <c r="G95" s="731" t="s">
        <v>1326</v>
      </c>
      <c r="H95" s="732">
        <v>821</v>
      </c>
      <c r="I95" s="730" t="s">
        <v>674</v>
      </c>
      <c r="J95" s="730"/>
      <c r="K95" s="735" t="s">
        <v>7</v>
      </c>
      <c r="L95" s="730"/>
      <c r="M95" s="730"/>
      <c r="N95" s="730"/>
      <c r="O95" s="733">
        <v>3</v>
      </c>
      <c r="P95" s="734">
        <v>38475</v>
      </c>
      <c r="Q95" s="1201"/>
      <c r="R95" s="736">
        <f t="shared" ca="1" si="12"/>
        <v>0</v>
      </c>
      <c r="S95" s="735">
        <f>1.1 *(0.17)</f>
        <v>0.18700000000000003</v>
      </c>
      <c r="T95" s="737">
        <f t="shared" ca="1" si="13"/>
        <v>1.8700000000000003</v>
      </c>
      <c r="U95" s="730" t="s">
        <v>913</v>
      </c>
      <c r="V95" s="730"/>
      <c r="W95" s="730"/>
      <c r="X95" s="730"/>
      <c r="Y95" s="730"/>
      <c r="Z95" s="730"/>
      <c r="AA95" s="730"/>
      <c r="AB95" s="730"/>
      <c r="AC95" s="730"/>
      <c r="AD95" s="730"/>
      <c r="AE95" s="730"/>
      <c r="AF95" s="730"/>
      <c r="AG95" s="730"/>
      <c r="AH95" s="1220"/>
      <c r="AI95" s="730"/>
      <c r="AJ95" s="730"/>
      <c r="AK95" s="730"/>
      <c r="AL95" s="730"/>
      <c r="AM95" s="730"/>
      <c r="AN95" s="730"/>
      <c r="AO95" s="730"/>
      <c r="AP95" s="730"/>
      <c r="AQ95" s="730"/>
      <c r="AR95" s="730"/>
      <c r="AS95" s="730"/>
      <c r="AT95" s="730"/>
      <c r="AU95" s="730"/>
      <c r="AV95" s="730"/>
      <c r="AW95" s="730"/>
      <c r="AX95" s="730"/>
      <c r="AY95" s="730"/>
      <c r="AZ95" s="730"/>
      <c r="BA95" s="730"/>
      <c r="BB95" s="730"/>
      <c r="BC95" s="730"/>
      <c r="BD95" s="730"/>
      <c r="BE95" s="730"/>
      <c r="BF95" s="730"/>
      <c r="BG95" s="730"/>
      <c r="BH95" s="730"/>
      <c r="BI95" s="730"/>
      <c r="BJ95" s="730"/>
      <c r="BK95" s="730"/>
      <c r="BL95" s="730"/>
      <c r="BM95" s="730"/>
      <c r="BN95" s="730"/>
      <c r="BO95" s="730"/>
      <c r="BP95" s="730"/>
      <c r="BQ95" s="730"/>
      <c r="BR95" s="730"/>
      <c r="BS95" s="730"/>
      <c r="BT95" s="730"/>
      <c r="BU95" s="730"/>
      <c r="BV95" s="730"/>
      <c r="BW95" s="730"/>
      <c r="BX95" s="730"/>
      <c r="BY95" s="730"/>
      <c r="BZ95" s="730"/>
      <c r="CA95" s="730"/>
      <c r="CB95" s="730"/>
      <c r="CC95" s="730"/>
      <c r="CD95" s="730"/>
      <c r="CE95" s="730"/>
      <c r="CF95" s="730"/>
      <c r="CG95" s="730"/>
      <c r="CH95" s="730"/>
      <c r="CI95" s="730"/>
      <c r="CJ95" s="730"/>
      <c r="CK95" s="730"/>
      <c r="CL95" s="730"/>
      <c r="CM95" s="730"/>
      <c r="CN95" s="730"/>
      <c r="CO95" s="730"/>
      <c r="CP95" s="730"/>
      <c r="CQ95" s="730"/>
      <c r="CR95" s="730"/>
      <c r="CS95" s="730"/>
      <c r="CT95" s="730"/>
      <c r="CU95" s="730"/>
      <c r="CV95" s="730"/>
      <c r="CW95" s="730"/>
      <c r="CX95" s="730"/>
      <c r="CY95" s="730"/>
      <c r="CZ95" s="730"/>
      <c r="DA95" s="730"/>
      <c r="DB95" s="730"/>
      <c r="DC95" s="730"/>
      <c r="DD95" s="730"/>
      <c r="DE95" s="730"/>
      <c r="DF95" s="730"/>
      <c r="DG95" s="730"/>
      <c r="DH95" s="730"/>
      <c r="DI95" s="730"/>
      <c r="DJ95" s="730"/>
      <c r="DK95" s="730"/>
      <c r="DL95" s="730"/>
      <c r="DM95" s="730"/>
      <c r="DN95" s="730"/>
      <c r="DO95" s="730"/>
      <c r="DP95" s="730"/>
      <c r="DQ95" s="730"/>
      <c r="DR95" s="730"/>
      <c r="DS95" s="730"/>
      <c r="DT95" s="730"/>
      <c r="DU95" s="730"/>
      <c r="DV95" s="730"/>
      <c r="DW95" s="730"/>
      <c r="DX95" s="730"/>
      <c r="DY95" s="730"/>
      <c r="DZ95" s="730"/>
      <c r="EA95" s="730"/>
      <c r="EB95" s="730"/>
      <c r="EC95" s="730"/>
      <c r="ED95" s="730"/>
      <c r="EE95" s="730"/>
      <c r="EF95" s="730"/>
      <c r="EG95" s="730"/>
      <c r="EH95" s="730"/>
      <c r="EI95" s="730"/>
      <c r="EJ95" s="730"/>
      <c r="EK95" s="730"/>
      <c r="EL95" s="730"/>
      <c r="EM95" s="730"/>
      <c r="EN95" s="730"/>
      <c r="EO95" s="730"/>
      <c r="EP95" s="730"/>
      <c r="EQ95" s="730"/>
      <c r="ER95" s="730"/>
      <c r="ES95" s="730"/>
      <c r="ET95" s="730"/>
      <c r="EU95" s="730"/>
      <c r="EV95" s="730"/>
      <c r="EW95" s="730"/>
      <c r="EX95" s="730"/>
      <c r="EY95" s="730"/>
      <c r="EZ95" s="730"/>
      <c r="FA95" s="730"/>
      <c r="FB95" s="730"/>
      <c r="FC95" s="730"/>
      <c r="FD95" s="730"/>
      <c r="FE95" s="730"/>
      <c r="FF95" s="730"/>
      <c r="FG95" s="730"/>
      <c r="FH95" s="730"/>
      <c r="FI95" s="730"/>
      <c r="FJ95" s="730"/>
      <c r="FK95" s="730"/>
      <c r="FL95" s="730"/>
      <c r="FM95" s="730"/>
      <c r="FN95" s="730"/>
      <c r="FO95" s="730"/>
      <c r="FP95" s="730"/>
      <c r="FQ95" s="730"/>
      <c r="FR95" s="730"/>
      <c r="FS95" s="730"/>
      <c r="FT95" s="730"/>
      <c r="FU95" s="730"/>
      <c r="FV95" s="730"/>
      <c r="FW95" s="730"/>
      <c r="FX95" s="730"/>
      <c r="FY95" s="730"/>
      <c r="FZ95" s="730"/>
      <c r="GA95" s="730"/>
      <c r="GB95" s="730"/>
      <c r="GC95" s="730"/>
      <c r="GD95" s="730"/>
      <c r="GE95" s="730"/>
      <c r="GF95" s="730"/>
      <c r="GG95" s="730"/>
      <c r="GH95" s="730"/>
      <c r="GI95" s="730"/>
      <c r="GJ95" s="730"/>
      <c r="GK95" s="730"/>
      <c r="GL95" s="730"/>
      <c r="GM95" s="730"/>
      <c r="GN95" s="730"/>
      <c r="GO95" s="730"/>
      <c r="GP95" s="730"/>
      <c r="GQ95" s="730"/>
      <c r="GR95" s="730"/>
      <c r="GS95" s="730"/>
      <c r="GT95" s="730"/>
      <c r="GU95" s="730"/>
      <c r="GV95" s="730"/>
      <c r="GW95" s="730"/>
      <c r="GX95" s="730"/>
      <c r="GY95" s="730"/>
      <c r="GZ95" s="730"/>
      <c r="HA95" s="730"/>
      <c r="HB95" s="730"/>
      <c r="HC95" s="730"/>
      <c r="HD95" s="730"/>
      <c r="HE95" s="730"/>
      <c r="HF95" s="730"/>
      <c r="HG95" s="730"/>
      <c r="HH95" s="730"/>
      <c r="HI95" s="730"/>
      <c r="HJ95" s="730"/>
      <c r="HK95" s="730"/>
      <c r="HL95" s="730"/>
      <c r="HM95" s="730"/>
      <c r="HN95" s="730"/>
      <c r="HO95" s="730"/>
      <c r="HP95" s="730"/>
      <c r="HQ95" s="730"/>
      <c r="HR95" s="730"/>
      <c r="HS95" s="730"/>
      <c r="HT95" s="730"/>
      <c r="HU95" s="730"/>
      <c r="HV95" s="730"/>
      <c r="HW95" s="730"/>
      <c r="HX95" s="730"/>
      <c r="HY95" s="730"/>
      <c r="HZ95" s="730"/>
      <c r="IA95" s="730"/>
      <c r="IB95" s="730"/>
      <c r="IC95" s="730"/>
      <c r="ID95" s="730"/>
      <c r="IE95" s="730"/>
      <c r="IF95" s="730"/>
      <c r="IG95" s="730"/>
      <c r="IH95" s="730"/>
      <c r="II95" s="730"/>
      <c r="IJ95" s="730"/>
      <c r="IK95" s="730"/>
      <c r="IL95" s="730"/>
      <c r="IM95" s="730"/>
      <c r="IN95" s="730"/>
      <c r="IO95" s="730"/>
      <c r="IP95" s="730"/>
      <c r="IQ95" s="730"/>
      <c r="IR95" s="730"/>
      <c r="IS95" s="730"/>
      <c r="IT95" s="730"/>
      <c r="IU95" s="730"/>
      <c r="IV95" s="730"/>
    </row>
    <row r="96" spans="1:256" s="1221" customFormat="1" ht="12" customHeight="1">
      <c r="A96" s="840">
        <f ca="1">$Q$90 *(2)</f>
        <v>10</v>
      </c>
      <c r="B96" s="730" t="s">
        <v>141</v>
      </c>
      <c r="C96" s="730"/>
      <c r="D96" s="730" t="s">
        <v>1054</v>
      </c>
      <c r="E96" s="730"/>
      <c r="F96" s="730"/>
      <c r="G96" s="731" t="s">
        <v>1055</v>
      </c>
      <c r="H96" s="732">
        <v>620</v>
      </c>
      <c r="I96" s="730" t="s">
        <v>674</v>
      </c>
      <c r="J96" s="730"/>
      <c r="K96" s="735" t="s">
        <v>7</v>
      </c>
      <c r="L96" s="730"/>
      <c r="M96" s="730"/>
      <c r="N96" s="730"/>
      <c r="O96" s="733">
        <v>2</v>
      </c>
      <c r="P96" s="734"/>
      <c r="Q96" s="735">
        <v>0.15</v>
      </c>
      <c r="R96" s="736">
        <f t="shared" ca="1" si="12"/>
        <v>1.5</v>
      </c>
      <c r="S96" s="735"/>
      <c r="T96" s="737">
        <f t="shared" ca="1" si="13"/>
        <v>0</v>
      </c>
      <c r="U96" s="730"/>
      <c r="V96" s="730"/>
      <c r="W96" s="730"/>
      <c r="X96" s="730"/>
      <c r="Y96" s="730"/>
      <c r="Z96" s="730"/>
      <c r="AA96" s="730"/>
      <c r="AB96" s="730"/>
      <c r="AC96" s="730"/>
      <c r="AD96" s="730"/>
      <c r="AE96" s="730"/>
      <c r="AF96" s="730"/>
      <c r="AG96" s="730"/>
      <c r="AH96" s="1220"/>
      <c r="AI96" s="730"/>
      <c r="AJ96" s="730"/>
      <c r="AK96" s="730"/>
      <c r="AL96" s="730"/>
      <c r="AM96" s="730"/>
      <c r="AN96" s="730"/>
      <c r="AO96" s="730"/>
      <c r="AP96" s="730"/>
      <c r="AQ96" s="730"/>
      <c r="AR96" s="730"/>
      <c r="AS96" s="730"/>
      <c r="AT96" s="730"/>
      <c r="AU96" s="730"/>
      <c r="AV96" s="730"/>
      <c r="AW96" s="730"/>
      <c r="AX96" s="730"/>
      <c r="AY96" s="730"/>
      <c r="AZ96" s="730"/>
      <c r="BA96" s="730"/>
      <c r="BB96" s="730"/>
      <c r="BC96" s="730"/>
      <c r="BD96" s="730"/>
      <c r="BE96" s="730"/>
      <c r="BF96" s="730"/>
      <c r="BG96" s="730"/>
      <c r="BH96" s="730"/>
      <c r="BI96" s="730"/>
      <c r="BJ96" s="730"/>
      <c r="BK96" s="730"/>
      <c r="BL96" s="730"/>
      <c r="BM96" s="730"/>
      <c r="BN96" s="730"/>
      <c r="BO96" s="730"/>
      <c r="BP96" s="730"/>
      <c r="BQ96" s="730"/>
      <c r="BR96" s="730"/>
      <c r="BS96" s="730"/>
      <c r="BT96" s="730"/>
      <c r="BU96" s="730"/>
      <c r="BV96" s="730"/>
      <c r="BW96" s="730"/>
      <c r="BX96" s="730"/>
      <c r="BY96" s="730"/>
      <c r="BZ96" s="730"/>
      <c r="CA96" s="730"/>
      <c r="CB96" s="730"/>
      <c r="CC96" s="730"/>
      <c r="CD96" s="730"/>
      <c r="CE96" s="730"/>
      <c r="CF96" s="730"/>
      <c r="CG96" s="730"/>
      <c r="CH96" s="730"/>
      <c r="CI96" s="730"/>
      <c r="CJ96" s="730"/>
      <c r="CK96" s="730"/>
      <c r="CL96" s="730"/>
      <c r="CM96" s="730"/>
      <c r="CN96" s="730"/>
      <c r="CO96" s="730"/>
      <c r="CP96" s="730"/>
      <c r="CQ96" s="730"/>
      <c r="CR96" s="730"/>
      <c r="CS96" s="730"/>
      <c r="CT96" s="730"/>
      <c r="CU96" s="730"/>
      <c r="CV96" s="730"/>
      <c r="CW96" s="730"/>
      <c r="CX96" s="730"/>
      <c r="CY96" s="730"/>
      <c r="CZ96" s="730"/>
      <c r="DA96" s="730"/>
      <c r="DB96" s="730"/>
      <c r="DC96" s="730"/>
      <c r="DD96" s="730"/>
      <c r="DE96" s="730"/>
      <c r="DF96" s="730"/>
      <c r="DG96" s="730"/>
      <c r="DH96" s="730"/>
      <c r="DI96" s="730"/>
      <c r="DJ96" s="730"/>
      <c r="DK96" s="730"/>
      <c r="DL96" s="730"/>
      <c r="DM96" s="730"/>
      <c r="DN96" s="730"/>
      <c r="DO96" s="730"/>
      <c r="DP96" s="730"/>
      <c r="DQ96" s="730"/>
      <c r="DR96" s="730"/>
      <c r="DS96" s="730"/>
      <c r="DT96" s="730"/>
      <c r="DU96" s="730"/>
      <c r="DV96" s="730"/>
      <c r="DW96" s="730"/>
      <c r="DX96" s="730"/>
      <c r="DY96" s="730"/>
      <c r="DZ96" s="730"/>
      <c r="EA96" s="730"/>
      <c r="EB96" s="730"/>
      <c r="EC96" s="730"/>
      <c r="ED96" s="730"/>
      <c r="EE96" s="730"/>
      <c r="EF96" s="730"/>
      <c r="EG96" s="730"/>
      <c r="EH96" s="730"/>
      <c r="EI96" s="730"/>
      <c r="EJ96" s="730"/>
      <c r="EK96" s="730"/>
      <c r="EL96" s="730"/>
      <c r="EM96" s="730"/>
      <c r="EN96" s="730"/>
      <c r="EO96" s="730"/>
      <c r="EP96" s="730"/>
      <c r="EQ96" s="730"/>
      <c r="ER96" s="730"/>
      <c r="ES96" s="730"/>
      <c r="ET96" s="730"/>
      <c r="EU96" s="730"/>
      <c r="EV96" s="730"/>
      <c r="EW96" s="730"/>
      <c r="EX96" s="730"/>
      <c r="EY96" s="730"/>
      <c r="EZ96" s="730"/>
      <c r="FA96" s="730"/>
      <c r="FB96" s="730"/>
      <c r="FC96" s="730"/>
      <c r="FD96" s="730"/>
      <c r="FE96" s="730"/>
      <c r="FF96" s="730"/>
      <c r="FG96" s="730"/>
      <c r="FH96" s="730"/>
      <c r="FI96" s="730"/>
      <c r="FJ96" s="730"/>
      <c r="FK96" s="730"/>
      <c r="FL96" s="730"/>
      <c r="FM96" s="730"/>
      <c r="FN96" s="730"/>
      <c r="FO96" s="730"/>
      <c r="FP96" s="730"/>
      <c r="FQ96" s="730"/>
      <c r="FR96" s="730"/>
      <c r="FS96" s="730"/>
      <c r="FT96" s="730"/>
      <c r="FU96" s="730"/>
      <c r="FV96" s="730"/>
      <c r="FW96" s="730"/>
      <c r="FX96" s="730"/>
      <c r="FY96" s="730"/>
      <c r="FZ96" s="730"/>
      <c r="GA96" s="730"/>
      <c r="GB96" s="730"/>
      <c r="GC96" s="730"/>
      <c r="GD96" s="730"/>
      <c r="GE96" s="730"/>
      <c r="GF96" s="730"/>
      <c r="GG96" s="730"/>
      <c r="GH96" s="730"/>
      <c r="GI96" s="730"/>
      <c r="GJ96" s="730"/>
      <c r="GK96" s="730"/>
      <c r="GL96" s="730"/>
      <c r="GM96" s="730"/>
      <c r="GN96" s="730"/>
      <c r="GO96" s="730"/>
      <c r="GP96" s="730"/>
      <c r="GQ96" s="730"/>
      <c r="GR96" s="730"/>
      <c r="GS96" s="730"/>
      <c r="GT96" s="730"/>
      <c r="GU96" s="730"/>
      <c r="GV96" s="730"/>
      <c r="GW96" s="730"/>
      <c r="GX96" s="730"/>
      <c r="GY96" s="730"/>
      <c r="GZ96" s="730"/>
      <c r="HA96" s="730"/>
      <c r="HB96" s="730"/>
      <c r="HC96" s="730"/>
      <c r="HD96" s="730"/>
      <c r="HE96" s="730"/>
      <c r="HF96" s="730"/>
      <c r="HG96" s="730"/>
      <c r="HH96" s="730"/>
      <c r="HI96" s="730"/>
      <c r="HJ96" s="730"/>
      <c r="HK96" s="730"/>
      <c r="HL96" s="730"/>
      <c r="HM96" s="730"/>
      <c r="HN96" s="730"/>
      <c r="HO96" s="730"/>
      <c r="HP96" s="730"/>
      <c r="HQ96" s="730"/>
      <c r="HR96" s="730"/>
      <c r="HS96" s="730"/>
      <c r="HT96" s="730"/>
      <c r="HU96" s="730"/>
      <c r="HV96" s="730"/>
      <c r="HW96" s="730"/>
      <c r="HX96" s="730"/>
      <c r="HY96" s="730"/>
      <c r="HZ96" s="730"/>
      <c r="IA96" s="730"/>
      <c r="IB96" s="730"/>
      <c r="IC96" s="730"/>
      <c r="ID96" s="730"/>
      <c r="IE96" s="730"/>
      <c r="IF96" s="730"/>
      <c r="IG96" s="730"/>
      <c r="IH96" s="730"/>
      <c r="II96" s="730"/>
      <c r="IJ96" s="730"/>
      <c r="IK96" s="730"/>
      <c r="IL96" s="730"/>
      <c r="IM96" s="730"/>
      <c r="IN96" s="730"/>
      <c r="IO96" s="730"/>
      <c r="IP96" s="730"/>
      <c r="IQ96" s="730"/>
      <c r="IR96" s="730"/>
      <c r="IS96" s="730"/>
      <c r="IT96" s="730"/>
      <c r="IU96" s="730"/>
      <c r="IV96" s="730"/>
    </row>
    <row r="97" spans="1:256" s="1221" customFormat="1" ht="12" customHeight="1">
      <c r="A97" s="840">
        <f ca="1">$Q$90 *(1)</f>
        <v>5</v>
      </c>
      <c r="B97" s="730" t="s">
        <v>141</v>
      </c>
      <c r="C97" s="730"/>
      <c r="D97" s="730" t="s">
        <v>1327</v>
      </c>
      <c r="E97" s="730"/>
      <c r="F97" s="730"/>
      <c r="G97" s="731" t="s">
        <v>1326</v>
      </c>
      <c r="H97" s="732">
        <v>821</v>
      </c>
      <c r="I97" s="730" t="s">
        <v>674</v>
      </c>
      <c r="J97" s="730"/>
      <c r="K97" s="735" t="s">
        <v>7</v>
      </c>
      <c r="L97" s="730"/>
      <c r="M97" s="730"/>
      <c r="N97" s="730"/>
      <c r="O97" s="733">
        <v>3</v>
      </c>
      <c r="P97" s="734">
        <v>38475</v>
      </c>
      <c r="Q97" s="1201"/>
      <c r="R97" s="736">
        <f t="shared" ca="1" si="12"/>
        <v>0</v>
      </c>
      <c r="S97" s="735">
        <f>1.1 *(0.25)</f>
        <v>0.27500000000000002</v>
      </c>
      <c r="T97" s="737">
        <f t="shared" ca="1" si="13"/>
        <v>1.375</v>
      </c>
      <c r="U97" s="730" t="s">
        <v>913</v>
      </c>
      <c r="V97" s="730"/>
      <c r="W97" s="730"/>
      <c r="X97" s="730"/>
      <c r="Y97" s="730"/>
      <c r="Z97" s="730"/>
      <c r="AA97" s="730"/>
      <c r="AB97" s="730"/>
      <c r="AC97" s="730"/>
      <c r="AD97" s="730"/>
      <c r="AE97" s="730"/>
      <c r="AF97" s="730"/>
      <c r="AG97" s="730"/>
      <c r="AH97" s="1220"/>
      <c r="AI97" s="730"/>
      <c r="AJ97" s="730"/>
      <c r="AK97" s="730"/>
      <c r="AL97" s="730"/>
      <c r="AM97" s="730"/>
      <c r="AN97" s="730"/>
      <c r="AO97" s="730"/>
      <c r="AP97" s="730"/>
      <c r="AQ97" s="730"/>
      <c r="AR97" s="730"/>
      <c r="AS97" s="730"/>
      <c r="AT97" s="730"/>
      <c r="AU97" s="730"/>
      <c r="AV97" s="730"/>
      <c r="AW97" s="730"/>
      <c r="AX97" s="730"/>
      <c r="AY97" s="730"/>
      <c r="AZ97" s="730"/>
      <c r="BA97" s="730"/>
      <c r="BB97" s="730"/>
      <c r="BC97" s="730"/>
      <c r="BD97" s="730"/>
      <c r="BE97" s="730"/>
      <c r="BF97" s="730"/>
      <c r="BG97" s="730"/>
      <c r="BH97" s="730"/>
      <c r="BI97" s="730"/>
      <c r="BJ97" s="730"/>
      <c r="BK97" s="730"/>
      <c r="BL97" s="730"/>
      <c r="BM97" s="730"/>
      <c r="BN97" s="730"/>
      <c r="BO97" s="730"/>
      <c r="BP97" s="730"/>
      <c r="BQ97" s="730"/>
      <c r="BR97" s="730"/>
      <c r="BS97" s="730"/>
      <c r="BT97" s="730"/>
      <c r="BU97" s="730"/>
      <c r="BV97" s="730"/>
      <c r="BW97" s="730"/>
      <c r="BX97" s="730"/>
      <c r="BY97" s="730"/>
      <c r="BZ97" s="730"/>
      <c r="CA97" s="730"/>
      <c r="CB97" s="730"/>
      <c r="CC97" s="730"/>
      <c r="CD97" s="730"/>
      <c r="CE97" s="730"/>
      <c r="CF97" s="730"/>
      <c r="CG97" s="730"/>
      <c r="CH97" s="730"/>
      <c r="CI97" s="730"/>
      <c r="CJ97" s="730"/>
      <c r="CK97" s="730"/>
      <c r="CL97" s="730"/>
      <c r="CM97" s="730"/>
      <c r="CN97" s="730"/>
      <c r="CO97" s="730"/>
      <c r="CP97" s="730"/>
      <c r="CQ97" s="730"/>
      <c r="CR97" s="730"/>
      <c r="CS97" s="730"/>
      <c r="CT97" s="730"/>
      <c r="CU97" s="730"/>
      <c r="CV97" s="730"/>
      <c r="CW97" s="730"/>
      <c r="CX97" s="730"/>
      <c r="CY97" s="730"/>
      <c r="CZ97" s="730"/>
      <c r="DA97" s="730"/>
      <c r="DB97" s="730"/>
      <c r="DC97" s="730"/>
      <c r="DD97" s="730"/>
      <c r="DE97" s="730"/>
      <c r="DF97" s="730"/>
      <c r="DG97" s="730"/>
      <c r="DH97" s="730"/>
      <c r="DI97" s="730"/>
      <c r="DJ97" s="730"/>
      <c r="DK97" s="730"/>
      <c r="DL97" s="730"/>
      <c r="DM97" s="730"/>
      <c r="DN97" s="730"/>
      <c r="DO97" s="730"/>
      <c r="DP97" s="730"/>
      <c r="DQ97" s="730"/>
      <c r="DR97" s="730"/>
      <c r="DS97" s="730"/>
      <c r="DT97" s="730"/>
      <c r="DU97" s="730"/>
      <c r="DV97" s="730"/>
      <c r="DW97" s="730"/>
      <c r="DX97" s="730"/>
      <c r="DY97" s="730"/>
      <c r="DZ97" s="730"/>
      <c r="EA97" s="730"/>
      <c r="EB97" s="730"/>
      <c r="EC97" s="730"/>
      <c r="ED97" s="730"/>
      <c r="EE97" s="730"/>
      <c r="EF97" s="730"/>
      <c r="EG97" s="730"/>
      <c r="EH97" s="730"/>
      <c r="EI97" s="730"/>
      <c r="EJ97" s="730"/>
      <c r="EK97" s="730"/>
      <c r="EL97" s="730"/>
      <c r="EM97" s="730"/>
      <c r="EN97" s="730"/>
      <c r="EO97" s="730"/>
      <c r="EP97" s="730"/>
      <c r="EQ97" s="730"/>
      <c r="ER97" s="730"/>
      <c r="ES97" s="730"/>
      <c r="ET97" s="730"/>
      <c r="EU97" s="730"/>
      <c r="EV97" s="730"/>
      <c r="EW97" s="730"/>
      <c r="EX97" s="730"/>
      <c r="EY97" s="730"/>
      <c r="EZ97" s="730"/>
      <c r="FA97" s="730"/>
      <c r="FB97" s="730"/>
      <c r="FC97" s="730"/>
      <c r="FD97" s="730"/>
      <c r="FE97" s="730"/>
      <c r="FF97" s="730"/>
      <c r="FG97" s="730"/>
      <c r="FH97" s="730"/>
      <c r="FI97" s="730"/>
      <c r="FJ97" s="730"/>
      <c r="FK97" s="730"/>
      <c r="FL97" s="730"/>
      <c r="FM97" s="730"/>
      <c r="FN97" s="730"/>
      <c r="FO97" s="730"/>
      <c r="FP97" s="730"/>
      <c r="FQ97" s="730"/>
      <c r="FR97" s="730"/>
      <c r="FS97" s="730"/>
      <c r="FT97" s="730"/>
      <c r="FU97" s="730"/>
      <c r="FV97" s="730"/>
      <c r="FW97" s="730"/>
      <c r="FX97" s="730"/>
      <c r="FY97" s="730"/>
      <c r="FZ97" s="730"/>
      <c r="GA97" s="730"/>
      <c r="GB97" s="730"/>
      <c r="GC97" s="730"/>
      <c r="GD97" s="730"/>
      <c r="GE97" s="730"/>
      <c r="GF97" s="730"/>
      <c r="GG97" s="730"/>
      <c r="GH97" s="730"/>
      <c r="GI97" s="730"/>
      <c r="GJ97" s="730"/>
      <c r="GK97" s="730"/>
      <c r="GL97" s="730"/>
      <c r="GM97" s="730"/>
      <c r="GN97" s="730"/>
      <c r="GO97" s="730"/>
      <c r="GP97" s="730"/>
      <c r="GQ97" s="730"/>
      <c r="GR97" s="730"/>
      <c r="GS97" s="730"/>
      <c r="GT97" s="730"/>
      <c r="GU97" s="730"/>
      <c r="GV97" s="730"/>
      <c r="GW97" s="730"/>
      <c r="GX97" s="730"/>
      <c r="GY97" s="730"/>
      <c r="GZ97" s="730"/>
      <c r="HA97" s="730"/>
      <c r="HB97" s="730"/>
      <c r="HC97" s="730"/>
      <c r="HD97" s="730"/>
      <c r="HE97" s="730"/>
      <c r="HF97" s="730"/>
      <c r="HG97" s="730"/>
      <c r="HH97" s="730"/>
      <c r="HI97" s="730"/>
      <c r="HJ97" s="730"/>
      <c r="HK97" s="730"/>
      <c r="HL97" s="730"/>
      <c r="HM97" s="730"/>
      <c r="HN97" s="730"/>
      <c r="HO97" s="730"/>
      <c r="HP97" s="730"/>
      <c r="HQ97" s="730"/>
      <c r="HR97" s="730"/>
      <c r="HS97" s="730"/>
      <c r="HT97" s="730"/>
      <c r="HU97" s="730"/>
      <c r="HV97" s="730"/>
      <c r="HW97" s="730"/>
      <c r="HX97" s="730"/>
      <c r="HY97" s="730"/>
      <c r="HZ97" s="730"/>
      <c r="IA97" s="730"/>
      <c r="IB97" s="730"/>
      <c r="IC97" s="730"/>
      <c r="ID97" s="730"/>
      <c r="IE97" s="730"/>
      <c r="IF97" s="730"/>
      <c r="IG97" s="730"/>
      <c r="IH97" s="730"/>
      <c r="II97" s="730"/>
      <c r="IJ97" s="730"/>
      <c r="IK97" s="730"/>
      <c r="IL97" s="730"/>
      <c r="IM97" s="730"/>
      <c r="IN97" s="730"/>
      <c r="IO97" s="730"/>
      <c r="IP97" s="730"/>
      <c r="IQ97" s="730"/>
      <c r="IR97" s="730"/>
      <c r="IS97" s="730"/>
      <c r="IT97" s="730"/>
      <c r="IU97" s="730"/>
      <c r="IV97" s="730"/>
    </row>
    <row r="98" spans="1:256" s="730" customFormat="1">
      <c r="A98" s="840">
        <f ca="1">$Q$90 *(1)</f>
        <v>5</v>
      </c>
      <c r="B98" s="730" t="s">
        <v>141</v>
      </c>
      <c r="D98" s="730" t="s">
        <v>1328</v>
      </c>
      <c r="G98" s="731" t="s">
        <v>1329</v>
      </c>
      <c r="H98" s="732">
        <v>821</v>
      </c>
      <c r="I98" s="730" t="s">
        <v>674</v>
      </c>
      <c r="K98" s="735" t="s">
        <v>7</v>
      </c>
      <c r="O98" s="733">
        <v>3</v>
      </c>
      <c r="P98" s="734"/>
      <c r="Q98" s="735">
        <v>5</v>
      </c>
      <c r="R98" s="736">
        <f t="shared" ca="1" si="12"/>
        <v>25</v>
      </c>
      <c r="S98" s="735">
        <f>1.1 *(0.17)</f>
        <v>0.18700000000000003</v>
      </c>
      <c r="T98" s="737">
        <f t="shared" ca="1" si="13"/>
        <v>0.93500000000000016</v>
      </c>
    </row>
    <row r="99" spans="1:256" s="602" customFormat="1">
      <c r="A99" s="663"/>
      <c r="B99" s="3"/>
      <c r="C99" s="663" t="s">
        <v>183</v>
      </c>
      <c r="D99" s="3"/>
      <c r="E99" s="663"/>
      <c r="F99" s="664"/>
      <c r="G99" s="663"/>
      <c r="H99" s="663"/>
      <c r="I99" s="601"/>
      <c r="J99" s="663"/>
      <c r="K99" s="663"/>
      <c r="L99" s="663"/>
      <c r="M99" s="663"/>
      <c r="N99" s="663"/>
      <c r="O99" s="663"/>
      <c r="P99" s="663"/>
      <c r="Q99" s="601"/>
      <c r="R99" s="814">
        <f t="shared" si="12"/>
        <v>0</v>
      </c>
      <c r="S99" s="601"/>
      <c r="T99" s="681">
        <f t="shared" si="13"/>
        <v>0</v>
      </c>
    </row>
    <row r="100" spans="1:256" s="602" customFormat="1" ht="12.6" thickBot="1">
      <c r="A100" s="682" t="s">
        <v>145</v>
      </c>
      <c r="B100" s="683">
        <f>(R99+T99)</f>
        <v>0</v>
      </c>
      <c r="C100" s="684"/>
      <c r="D100" s="834" t="s">
        <v>184</v>
      </c>
      <c r="E100" s="545">
        <f ca="1">IF($B90=0,0,ROUND(ROUND(($R100*$S$2+($T100*$T$2))/$B90, 2)*$C$2,2))</f>
        <v>259.49</v>
      </c>
      <c r="F100" s="546">
        <f ca="1">ROUND($B90*$E100,2)</f>
        <v>1297.45</v>
      </c>
      <c r="G100" s="684"/>
      <c r="H100" s="684"/>
      <c r="I100" s="686"/>
      <c r="J100" s="684"/>
      <c r="K100" s="835" t="s">
        <v>143</v>
      </c>
      <c r="L100" s="687" t="s">
        <v>143</v>
      </c>
      <c r="M100" s="687"/>
      <c r="N100" s="687"/>
      <c r="O100" s="687"/>
      <c r="P100" s="687"/>
      <c r="Q100" s="835"/>
      <c r="R100" s="836">
        <f ca="1">SUM(R91:R99)</f>
        <v>381.3</v>
      </c>
      <c r="S100" s="837"/>
      <c r="T100" s="836">
        <f ca="1">SUM(T91:T99)</f>
        <v>22.055</v>
      </c>
      <c r="U100" s="611"/>
      <c r="V100" s="611"/>
      <c r="W100" s="611"/>
      <c r="X100" s="611"/>
      <c r="Y100" s="611"/>
      <c r="Z100" s="611"/>
      <c r="AA100" s="611"/>
      <c r="AB100" s="611"/>
    </row>
    <row r="101" spans="1:256" customFormat="1" ht="13.8" thickTop="1"/>
    <row r="102" spans="1:256">
      <c r="A102" s="33"/>
      <c r="B102" s="33"/>
      <c r="C102" s="33" t="s">
        <v>135</v>
      </c>
      <c r="D102" s="37" t="s">
        <v>136</v>
      </c>
      <c r="E102" s="33"/>
      <c r="F102" s="33"/>
      <c r="G102" s="33"/>
      <c r="H102" s="33"/>
      <c r="I102" s="33"/>
      <c r="J102" s="33"/>
      <c r="K102" s="33"/>
      <c r="L102" s="33"/>
      <c r="M102" s="33"/>
      <c r="N102" s="33"/>
      <c r="O102" s="35"/>
      <c r="P102" s="33"/>
      <c r="Q102" s="33"/>
      <c r="R102" s="33"/>
      <c r="S102" s="33"/>
      <c r="T102" s="33"/>
    </row>
    <row r="103" spans="1:256">
      <c r="A103" s="33"/>
      <c r="B103" s="33"/>
      <c r="C103" s="33"/>
      <c r="D103" s="37" t="s">
        <v>137</v>
      </c>
      <c r="E103" s="33"/>
      <c r="F103" s="33"/>
      <c r="G103" s="33"/>
      <c r="H103" s="33"/>
      <c r="I103" s="33"/>
      <c r="J103" s="33"/>
      <c r="K103" s="33"/>
      <c r="L103" s="33"/>
      <c r="M103" s="33"/>
      <c r="N103" s="33"/>
      <c r="O103" s="35"/>
      <c r="P103" s="33"/>
      <c r="Q103" s="33"/>
      <c r="R103" s="33"/>
      <c r="S103" s="38"/>
      <c r="T103" s="38"/>
    </row>
    <row r="104" spans="1:256" ht="13.8" thickBot="1">
      <c r="A104" s="39"/>
      <c r="B104" s="34"/>
      <c r="C104" s="34"/>
      <c r="D104" s="34"/>
      <c r="E104" s="34"/>
      <c r="F104" s="34"/>
      <c r="G104" s="34"/>
      <c r="H104" s="34"/>
      <c r="I104" s="34"/>
      <c r="J104" s="34"/>
      <c r="K104" s="34"/>
      <c r="L104" s="34"/>
      <c r="M104" s="34"/>
      <c r="N104" s="34"/>
      <c r="O104" s="40"/>
      <c r="P104" s="34"/>
      <c r="Q104" s="34"/>
      <c r="R104" s="34"/>
      <c r="S104" s="34"/>
      <c r="T104" s="34"/>
    </row>
    <row r="105" spans="1:256" s="602" customFormat="1" ht="12" thickTop="1">
      <c r="A105" s="63"/>
      <c r="B105" s="63"/>
      <c r="C105" s="63"/>
      <c r="D105" s="63"/>
      <c r="E105" s="63"/>
      <c r="F105" s="63"/>
      <c r="G105" s="63"/>
      <c r="H105" s="63"/>
      <c r="I105" s="63"/>
      <c r="J105" s="63"/>
      <c r="K105" s="63"/>
      <c r="L105" s="63"/>
      <c r="M105" s="63"/>
      <c r="N105" s="63"/>
      <c r="O105" s="64"/>
      <c r="P105" s="63"/>
      <c r="Q105" s="42" t="s">
        <v>180</v>
      </c>
      <c r="R105" s="63"/>
      <c r="S105" s="13"/>
      <c r="T105" s="63"/>
    </row>
    <row r="106" spans="1:256" s="602" customFormat="1" ht="12" customHeight="1" thickBot="1">
      <c r="A106" s="824">
        <f>2+2.5</f>
        <v>4.5</v>
      </c>
      <c r="B106" s="825">
        <f ca="1">Elec_Est!B1048</f>
        <v>0</v>
      </c>
      <c r="C106" s="826"/>
      <c r="D106" s="827" t="s">
        <v>793</v>
      </c>
      <c r="E106" s="828"/>
      <c r="F106" s="828"/>
      <c r="G106" s="676"/>
      <c r="H106" s="676"/>
      <c r="I106" s="829"/>
      <c r="J106" s="676"/>
      <c r="K106" s="826" t="s">
        <v>181</v>
      </c>
      <c r="L106" s="830" t="s">
        <v>181</v>
      </c>
      <c r="M106" s="830"/>
      <c r="N106" s="830"/>
      <c r="O106" s="830"/>
      <c r="P106" s="830"/>
      <c r="Q106" s="831">
        <f ca="1">B106/A106</f>
        <v>0</v>
      </c>
      <c r="R106" s="832">
        <f ca="1">IF($B106=0,0,IF($S$1="R",ROUND(R123/$B106,2),R123/$B106))</f>
        <v>0</v>
      </c>
      <c r="S106" s="833"/>
      <c r="T106" s="832">
        <f ca="1">IF($B106=0,0,IF($S$1="R",ROUND(T123/$B106,2),T123/$B106))</f>
        <v>0</v>
      </c>
    </row>
    <row r="107" spans="1:256" s="602" customFormat="1" ht="13.8" thickTop="1">
      <c r="A107" s="672"/>
      <c r="B107" s="3"/>
      <c r="C107" s="3"/>
      <c r="D107" s="157" t="s">
        <v>182</v>
      </c>
      <c r="E107" s="3"/>
      <c r="F107" s="3"/>
      <c r="G107" s="3"/>
      <c r="H107" s="3"/>
      <c r="I107" s="3"/>
      <c r="J107" s="3"/>
      <c r="K107" s="3"/>
      <c r="L107" s="3"/>
      <c r="M107" s="3"/>
      <c r="N107" s="3"/>
      <c r="O107" s="158"/>
      <c r="P107" s="3"/>
      <c r="Q107" s="3"/>
      <c r="R107" s="3"/>
      <c r="S107" s="3"/>
      <c r="T107" s="3"/>
    </row>
    <row r="108" spans="1:256" s="602" customFormat="1">
      <c r="A108" s="672"/>
      <c r="B108" s="3"/>
      <c r="C108" s="3"/>
      <c r="D108" s="846" t="s">
        <v>893</v>
      </c>
      <c r="E108" s="3"/>
      <c r="F108" s="3"/>
      <c r="G108" s="3"/>
      <c r="H108" s="3"/>
      <c r="I108" s="3"/>
      <c r="J108" s="3"/>
      <c r="K108" s="3"/>
      <c r="L108" s="3"/>
      <c r="M108" s="3"/>
      <c r="N108" s="3"/>
      <c r="O108" s="158"/>
      <c r="P108" s="3"/>
      <c r="Q108" s="3"/>
      <c r="R108" s="3"/>
      <c r="S108" s="3"/>
      <c r="T108" s="3"/>
    </row>
    <row r="109" spans="1:256" s="730" customFormat="1">
      <c r="A109" s="840">
        <f ca="1">$Q$106 *(20)</f>
        <v>0</v>
      </c>
      <c r="B109" s="730" t="s">
        <v>326</v>
      </c>
      <c r="D109" s="730" t="s">
        <v>763</v>
      </c>
      <c r="G109" s="731" t="s">
        <v>764</v>
      </c>
      <c r="H109" s="732">
        <v>690</v>
      </c>
      <c r="I109" s="730" t="s">
        <v>765</v>
      </c>
      <c r="J109" s="730" t="s">
        <v>766</v>
      </c>
      <c r="O109" s="733">
        <v>1</v>
      </c>
      <c r="P109" s="734">
        <v>34669</v>
      </c>
      <c r="Q109" s="735">
        <v>3.66</v>
      </c>
      <c r="R109" s="736">
        <f t="shared" ref="R109:R114" ca="1" si="14">$A109*Q109</f>
        <v>0</v>
      </c>
      <c r="S109" s="735">
        <v>0.2</v>
      </c>
      <c r="T109" s="737">
        <f t="shared" ref="T109:T114" ca="1" si="15">$A109*S109*$T$1</f>
        <v>0</v>
      </c>
    </row>
    <row r="110" spans="1:256" s="730" customFormat="1">
      <c r="A110" s="844">
        <f ca="1">$Q$106 *(20*4*1.1)</f>
        <v>0</v>
      </c>
      <c r="B110" s="730" t="s">
        <v>326</v>
      </c>
      <c r="D110" s="730" t="s">
        <v>767</v>
      </c>
      <c r="G110" s="731" t="s">
        <v>768</v>
      </c>
      <c r="H110" s="732">
        <v>615</v>
      </c>
      <c r="I110" s="730" t="s">
        <v>561</v>
      </c>
      <c r="K110" s="730" t="s">
        <v>769</v>
      </c>
      <c r="O110" s="733">
        <v>2</v>
      </c>
      <c r="P110" s="734">
        <v>38988</v>
      </c>
      <c r="Q110" s="735">
        <v>0.24</v>
      </c>
      <c r="R110" s="736">
        <f t="shared" ca="1" si="14"/>
        <v>0</v>
      </c>
      <c r="S110" s="735">
        <v>1.4999999999999999E-2</v>
      </c>
      <c r="T110" s="737">
        <f t="shared" ca="1" si="15"/>
        <v>0</v>
      </c>
    </row>
    <row r="111" spans="1:256" s="730" customFormat="1">
      <c r="A111" s="840">
        <f ca="1">$Q$106 *(1)</f>
        <v>0</v>
      </c>
      <c r="B111" s="730" t="s">
        <v>141</v>
      </c>
      <c r="D111" s="730" t="s">
        <v>770</v>
      </c>
      <c r="G111" s="731" t="s">
        <v>771</v>
      </c>
      <c r="H111" s="732">
        <v>705</v>
      </c>
      <c r="I111" s="730" t="s">
        <v>772</v>
      </c>
      <c r="J111" s="730" t="s">
        <v>773</v>
      </c>
      <c r="O111" s="733">
        <v>3</v>
      </c>
      <c r="P111" s="734">
        <v>38278</v>
      </c>
      <c r="Q111" s="735">
        <v>7</v>
      </c>
      <c r="R111" s="736">
        <f t="shared" ca="1" si="14"/>
        <v>0</v>
      </c>
      <c r="S111" s="735">
        <v>0.17</v>
      </c>
      <c r="T111" s="737">
        <f t="shared" ca="1" si="15"/>
        <v>0</v>
      </c>
    </row>
    <row r="112" spans="1:256" s="730" customFormat="1">
      <c r="A112" s="840">
        <f ca="1">$Q$106 *(1)</f>
        <v>0</v>
      </c>
      <c r="B112" s="730" t="s">
        <v>141</v>
      </c>
      <c r="D112" s="730" t="s">
        <v>731</v>
      </c>
      <c r="G112" s="731" t="s">
        <v>732</v>
      </c>
      <c r="H112" s="732">
        <v>875</v>
      </c>
      <c r="I112" s="730" t="s">
        <v>674</v>
      </c>
      <c r="K112" s="730" t="s">
        <v>733</v>
      </c>
      <c r="O112" s="733">
        <v>3</v>
      </c>
      <c r="P112" s="734">
        <v>34820</v>
      </c>
      <c r="Q112" s="823">
        <v>3.49</v>
      </c>
      <c r="R112" s="736">
        <f t="shared" ca="1" si="14"/>
        <v>0</v>
      </c>
      <c r="S112" s="735">
        <v>0.05</v>
      </c>
      <c r="T112" s="737">
        <f t="shared" ca="1" si="15"/>
        <v>0</v>
      </c>
    </row>
    <row r="113" spans="1:28" s="730" customFormat="1">
      <c r="A113" s="840">
        <f ca="1">$Q$106 *(4)</f>
        <v>0</v>
      </c>
      <c r="B113" s="730" t="s">
        <v>141</v>
      </c>
      <c r="D113" s="730" t="s">
        <v>774</v>
      </c>
      <c r="G113" s="731" t="s">
        <v>775</v>
      </c>
      <c r="H113" s="732">
        <v>705</v>
      </c>
      <c r="I113" s="730" t="s">
        <v>674</v>
      </c>
      <c r="J113" s="730" t="s">
        <v>776</v>
      </c>
      <c r="O113" s="733">
        <v>3</v>
      </c>
      <c r="P113" s="734">
        <v>39128</v>
      </c>
      <c r="Q113" s="735">
        <v>0.93</v>
      </c>
      <c r="R113" s="736">
        <f t="shared" ca="1" si="14"/>
        <v>0</v>
      </c>
      <c r="S113" s="735">
        <v>0.17</v>
      </c>
      <c r="T113" s="737">
        <f t="shared" ca="1" si="15"/>
        <v>0</v>
      </c>
    </row>
    <row r="114" spans="1:28" s="730" customFormat="1">
      <c r="A114" s="844">
        <f ca="1">$Q$106 *(4)</f>
        <v>0</v>
      </c>
      <c r="B114" s="730" t="s">
        <v>326</v>
      </c>
      <c r="D114" s="730" t="s">
        <v>777</v>
      </c>
      <c r="G114" s="731" t="s">
        <v>778</v>
      </c>
      <c r="H114" s="732">
        <v>616</v>
      </c>
      <c r="I114" s="730" t="s">
        <v>561</v>
      </c>
      <c r="J114" s="730" t="s">
        <v>779</v>
      </c>
      <c r="K114" s="730" t="s">
        <v>780</v>
      </c>
      <c r="O114" s="733">
        <v>2</v>
      </c>
      <c r="P114" s="734">
        <v>40767</v>
      </c>
      <c r="Q114" s="735">
        <v>0.8</v>
      </c>
      <c r="R114" s="736">
        <f t="shared" ca="1" si="14"/>
        <v>0</v>
      </c>
      <c r="S114" s="735">
        <v>2.5000000000000001E-2</v>
      </c>
      <c r="T114" s="737">
        <f t="shared" ca="1" si="15"/>
        <v>0</v>
      </c>
    </row>
    <row r="115" spans="1:28" s="602" customFormat="1">
      <c r="A115" s="672"/>
      <c r="B115" s="3"/>
      <c r="C115" s="3"/>
      <c r="D115" s="846" t="s">
        <v>894</v>
      </c>
      <c r="E115" s="3"/>
      <c r="F115" s="3"/>
      <c r="G115" s="3"/>
      <c r="H115" s="3"/>
      <c r="I115" s="3"/>
      <c r="J115" s="3"/>
      <c r="K115" s="3"/>
      <c r="L115" s="3"/>
      <c r="M115" s="3"/>
      <c r="N115" s="3"/>
      <c r="O115" s="158"/>
      <c r="P115" s="3"/>
      <c r="Q115" s="3"/>
      <c r="R115" s="3"/>
      <c r="S115" s="3"/>
      <c r="T115" s="3"/>
    </row>
    <row r="116" spans="1:28" s="730" customFormat="1">
      <c r="A116" s="840">
        <f ca="1">$Q$106 *(11)</f>
        <v>0</v>
      </c>
      <c r="B116" s="730" t="s">
        <v>326</v>
      </c>
      <c r="D116" s="730" t="s">
        <v>763</v>
      </c>
      <c r="G116" s="731" t="s">
        <v>764</v>
      </c>
      <c r="H116" s="732">
        <v>690</v>
      </c>
      <c r="I116" s="730" t="s">
        <v>765</v>
      </c>
      <c r="J116" s="730" t="s">
        <v>766</v>
      </c>
      <c r="O116" s="733">
        <v>1</v>
      </c>
      <c r="P116" s="734">
        <v>34669</v>
      </c>
      <c r="Q116" s="735">
        <v>3.66</v>
      </c>
      <c r="R116" s="736">
        <f t="shared" ref="R116:R121" ca="1" si="16">$A116*Q116</f>
        <v>0</v>
      </c>
      <c r="S116" s="735">
        <v>0.2</v>
      </c>
      <c r="T116" s="737">
        <f t="shared" ref="T116:T121" ca="1" si="17">$A116*S116*$T$1</f>
        <v>0</v>
      </c>
    </row>
    <row r="117" spans="1:28" s="730" customFormat="1">
      <c r="A117" s="844">
        <f ca="1">$Q$106 *(11*4*1.1)</f>
        <v>0</v>
      </c>
      <c r="B117" s="730" t="s">
        <v>326</v>
      </c>
      <c r="D117" s="730" t="s">
        <v>767</v>
      </c>
      <c r="G117" s="731" t="s">
        <v>768</v>
      </c>
      <c r="H117" s="732">
        <v>615</v>
      </c>
      <c r="I117" s="730" t="s">
        <v>561</v>
      </c>
      <c r="K117" s="730" t="s">
        <v>769</v>
      </c>
      <c r="O117" s="733">
        <v>2</v>
      </c>
      <c r="P117" s="734">
        <v>38988</v>
      </c>
      <c r="Q117" s="735">
        <v>0.24</v>
      </c>
      <c r="R117" s="736">
        <f t="shared" ca="1" si="16"/>
        <v>0</v>
      </c>
      <c r="S117" s="735">
        <v>1.4999999999999999E-2</v>
      </c>
      <c r="T117" s="737">
        <f t="shared" ca="1" si="17"/>
        <v>0</v>
      </c>
    </row>
    <row r="118" spans="1:28" s="730" customFormat="1">
      <c r="A118" s="840">
        <f ca="1">$Q$106 *(1)</f>
        <v>0</v>
      </c>
      <c r="B118" s="730" t="s">
        <v>141</v>
      </c>
      <c r="D118" s="730" t="s">
        <v>770</v>
      </c>
      <c r="G118" s="731" t="s">
        <v>771</v>
      </c>
      <c r="H118" s="732">
        <v>705</v>
      </c>
      <c r="I118" s="730" t="s">
        <v>772</v>
      </c>
      <c r="J118" s="730" t="s">
        <v>773</v>
      </c>
      <c r="O118" s="733">
        <v>3</v>
      </c>
      <c r="P118" s="734">
        <v>38278</v>
      </c>
      <c r="Q118" s="735">
        <v>7</v>
      </c>
      <c r="R118" s="736">
        <f t="shared" ca="1" si="16"/>
        <v>0</v>
      </c>
      <c r="S118" s="735">
        <v>0.17</v>
      </c>
      <c r="T118" s="737">
        <f t="shared" ca="1" si="17"/>
        <v>0</v>
      </c>
    </row>
    <row r="119" spans="1:28" s="730" customFormat="1">
      <c r="A119" s="840">
        <f ca="1">$Q$106 *(1)</f>
        <v>0</v>
      </c>
      <c r="B119" s="730" t="s">
        <v>141</v>
      </c>
      <c r="D119" s="730" t="s">
        <v>731</v>
      </c>
      <c r="G119" s="731" t="s">
        <v>732</v>
      </c>
      <c r="H119" s="732">
        <v>875</v>
      </c>
      <c r="I119" s="730" t="s">
        <v>674</v>
      </c>
      <c r="K119" s="730" t="s">
        <v>733</v>
      </c>
      <c r="O119" s="733">
        <v>3</v>
      </c>
      <c r="P119" s="734">
        <v>34820</v>
      </c>
      <c r="Q119" s="823">
        <v>3.49</v>
      </c>
      <c r="R119" s="736">
        <f t="shared" ca="1" si="16"/>
        <v>0</v>
      </c>
      <c r="S119" s="735">
        <v>0.05</v>
      </c>
      <c r="T119" s="737">
        <f t="shared" ca="1" si="17"/>
        <v>0</v>
      </c>
    </row>
    <row r="120" spans="1:28" s="730" customFormat="1">
      <c r="A120" s="840">
        <f ca="1">$Q$106 *(2)</f>
        <v>0</v>
      </c>
      <c r="B120" s="730" t="s">
        <v>141</v>
      </c>
      <c r="D120" s="730" t="s">
        <v>774</v>
      </c>
      <c r="G120" s="731" t="s">
        <v>775</v>
      </c>
      <c r="H120" s="732">
        <v>705</v>
      </c>
      <c r="I120" s="730" t="s">
        <v>674</v>
      </c>
      <c r="J120" s="730" t="s">
        <v>776</v>
      </c>
      <c r="O120" s="733">
        <v>3</v>
      </c>
      <c r="P120" s="734">
        <v>39128</v>
      </c>
      <c r="Q120" s="735">
        <v>0.93</v>
      </c>
      <c r="R120" s="736">
        <f t="shared" ca="1" si="16"/>
        <v>0</v>
      </c>
      <c r="S120" s="735">
        <v>0.17</v>
      </c>
      <c r="T120" s="737">
        <f t="shared" ca="1" si="17"/>
        <v>0</v>
      </c>
    </row>
    <row r="121" spans="1:28" s="730" customFormat="1">
      <c r="A121" s="844">
        <f ca="1">$Q$106 *(2)</f>
        <v>0</v>
      </c>
      <c r="B121" s="730" t="s">
        <v>326</v>
      </c>
      <c r="D121" s="730" t="s">
        <v>777</v>
      </c>
      <c r="G121" s="731" t="s">
        <v>778</v>
      </c>
      <c r="H121" s="732">
        <v>616</v>
      </c>
      <c r="I121" s="730" t="s">
        <v>561</v>
      </c>
      <c r="J121" s="730" t="s">
        <v>779</v>
      </c>
      <c r="K121" s="730" t="s">
        <v>780</v>
      </c>
      <c r="O121" s="733">
        <v>2</v>
      </c>
      <c r="P121" s="734">
        <v>40767</v>
      </c>
      <c r="Q121" s="735">
        <v>0.8</v>
      </c>
      <c r="R121" s="736">
        <f t="shared" ca="1" si="16"/>
        <v>0</v>
      </c>
      <c r="S121" s="735">
        <v>2.5000000000000001E-2</v>
      </c>
      <c r="T121" s="737">
        <f t="shared" ca="1" si="17"/>
        <v>0</v>
      </c>
    </row>
    <row r="122" spans="1:28" s="602" customFormat="1">
      <c r="A122" s="663"/>
      <c r="B122" s="3"/>
      <c r="C122" s="663" t="s">
        <v>183</v>
      </c>
      <c r="D122" s="3"/>
      <c r="E122" s="663"/>
      <c r="F122" s="664"/>
      <c r="G122" s="663"/>
      <c r="H122" s="663"/>
      <c r="I122" s="601"/>
      <c r="J122" s="663"/>
      <c r="K122" s="663"/>
      <c r="L122" s="663"/>
      <c r="M122" s="663"/>
      <c r="N122" s="663"/>
      <c r="O122" s="663"/>
      <c r="P122" s="663"/>
      <c r="Q122" s="601"/>
      <c r="R122" s="814">
        <f>$A122*Q122</f>
        <v>0</v>
      </c>
      <c r="S122" s="601"/>
      <c r="T122" s="681">
        <f>$A122*S122*$T$1</f>
        <v>0</v>
      </c>
    </row>
    <row r="123" spans="1:28" s="602" customFormat="1" ht="12.6" thickBot="1">
      <c r="A123" s="682" t="s">
        <v>145</v>
      </c>
      <c r="B123" s="683">
        <f>(R122+T122)</f>
        <v>0</v>
      </c>
      <c r="C123" s="684"/>
      <c r="D123" s="834" t="s">
        <v>184</v>
      </c>
      <c r="E123" s="545">
        <f ca="1">IF($B106=0,0,ROUND(ROUND(($R123*$S$2+($T123*$T$2))/$B106, 2)*$C$2,2))</f>
        <v>0</v>
      </c>
      <c r="F123" s="546">
        <f ca="1">ROUND($B106*$E123,2)</f>
        <v>0</v>
      </c>
      <c r="G123" s="684"/>
      <c r="H123" s="684"/>
      <c r="I123" s="686"/>
      <c r="J123" s="684"/>
      <c r="K123" s="835" t="s">
        <v>143</v>
      </c>
      <c r="L123" s="687" t="s">
        <v>143</v>
      </c>
      <c r="M123" s="687"/>
      <c r="N123" s="687"/>
      <c r="O123" s="687"/>
      <c r="P123" s="687"/>
      <c r="Q123" s="835"/>
      <c r="R123" s="836">
        <f ca="1">SUM(R107:R122)</f>
        <v>0</v>
      </c>
      <c r="S123" s="837"/>
      <c r="T123" s="836">
        <f ca="1">SUM(T107:T122)</f>
        <v>0</v>
      </c>
      <c r="U123" s="611"/>
      <c r="V123" s="611"/>
      <c r="W123" s="611"/>
      <c r="X123" s="611"/>
      <c r="Y123" s="611"/>
      <c r="Z123" s="611"/>
      <c r="AA123" s="611"/>
      <c r="AB123" s="611"/>
    </row>
    <row r="124" spans="1:28" s="602" customFormat="1" ht="12" thickTop="1">
      <c r="A124" s="63"/>
      <c r="B124" s="63"/>
      <c r="C124" s="63"/>
      <c r="D124" s="63"/>
      <c r="E124" s="63"/>
      <c r="F124" s="63"/>
      <c r="G124" s="63"/>
      <c r="H124" s="63"/>
      <c r="I124" s="63"/>
      <c r="J124" s="63"/>
      <c r="K124" s="63"/>
      <c r="L124" s="63"/>
      <c r="M124" s="63"/>
      <c r="N124" s="63"/>
      <c r="O124" s="64"/>
      <c r="P124" s="63"/>
      <c r="Q124" s="42" t="s">
        <v>180</v>
      </c>
      <c r="R124" s="63"/>
      <c r="S124" s="13"/>
      <c r="T124" s="63"/>
    </row>
    <row r="125" spans="1:28" s="602" customFormat="1" ht="12" customHeight="1" thickBot="1">
      <c r="A125" s="824">
        <f>1.5+2.5</f>
        <v>4</v>
      </c>
      <c r="B125" s="825">
        <f ca="1">Elec_Est!B1049</f>
        <v>0</v>
      </c>
      <c r="C125" s="826"/>
      <c r="D125" s="827" t="s">
        <v>896</v>
      </c>
      <c r="E125" s="828"/>
      <c r="F125" s="828"/>
      <c r="G125" s="676"/>
      <c r="H125" s="676"/>
      <c r="I125" s="829"/>
      <c r="J125" s="676"/>
      <c r="K125" s="826" t="s">
        <v>181</v>
      </c>
      <c r="L125" s="830" t="s">
        <v>181</v>
      </c>
      <c r="M125" s="830"/>
      <c r="N125" s="830"/>
      <c r="O125" s="830"/>
      <c r="P125" s="830"/>
      <c r="Q125" s="831">
        <f ca="1">B125/A125</f>
        <v>0</v>
      </c>
      <c r="R125" s="832">
        <f ca="1">IF($B125=0,0,IF($S$1="R",ROUND(R138/$B125,2),R138/$B125))</f>
        <v>0</v>
      </c>
      <c r="S125" s="833"/>
      <c r="T125" s="832">
        <f ca="1">IF($B125=0,0,IF($S$1="R",ROUND(T138/$B125,2),T138/$B125))</f>
        <v>0</v>
      </c>
    </row>
    <row r="126" spans="1:28" s="602" customFormat="1" ht="13.8" thickTop="1">
      <c r="A126" s="672"/>
      <c r="B126" s="3"/>
      <c r="C126" s="3"/>
      <c r="D126" s="157" t="s">
        <v>182</v>
      </c>
      <c r="E126" s="3"/>
      <c r="F126" s="3"/>
      <c r="G126" s="3"/>
      <c r="H126" s="3"/>
      <c r="I126" s="3"/>
      <c r="J126" s="3"/>
      <c r="K126" s="3"/>
      <c r="L126" s="3"/>
      <c r="M126" s="3"/>
      <c r="N126" s="3"/>
      <c r="O126" s="158"/>
      <c r="P126" s="3"/>
      <c r="Q126" s="3"/>
      <c r="R126" s="3"/>
      <c r="S126" s="3"/>
      <c r="T126" s="3"/>
    </row>
    <row r="127" spans="1:28" s="602" customFormat="1">
      <c r="A127" s="672"/>
      <c r="B127" s="3"/>
      <c r="C127" s="3"/>
      <c r="D127" s="846" t="s">
        <v>897</v>
      </c>
      <c r="E127" s="3"/>
      <c r="F127" s="3"/>
      <c r="G127" s="3"/>
      <c r="H127" s="3"/>
      <c r="I127" s="3"/>
      <c r="J127" s="3"/>
      <c r="K127" s="3"/>
      <c r="L127" s="3"/>
      <c r="M127" s="3"/>
      <c r="N127" s="3"/>
      <c r="O127" s="158"/>
      <c r="P127" s="3"/>
      <c r="Q127" s="3"/>
      <c r="R127" s="3"/>
      <c r="S127" s="3"/>
      <c r="T127" s="3"/>
    </row>
    <row r="128" spans="1:28" s="730" customFormat="1">
      <c r="A128" s="840">
        <f ca="1">$Q$125 *(15)</f>
        <v>0</v>
      </c>
      <c r="B128" s="730" t="s">
        <v>326</v>
      </c>
      <c r="D128" s="730" t="s">
        <v>763</v>
      </c>
      <c r="G128" s="731" t="s">
        <v>764</v>
      </c>
      <c r="H128" s="732">
        <v>690</v>
      </c>
      <c r="I128" s="730" t="s">
        <v>765</v>
      </c>
      <c r="J128" s="730" t="s">
        <v>766</v>
      </c>
      <c r="O128" s="733">
        <v>1</v>
      </c>
      <c r="P128" s="734">
        <v>34669</v>
      </c>
      <c r="Q128" s="735">
        <v>3.66</v>
      </c>
      <c r="R128" s="736">
        <f ca="1">$A128*Q128</f>
        <v>0</v>
      </c>
      <c r="S128" s="735">
        <v>0.2</v>
      </c>
      <c r="T128" s="737">
        <f ca="1">$A128*S128*$T$1</f>
        <v>0</v>
      </c>
    </row>
    <row r="129" spans="1:28" s="730" customFormat="1">
      <c r="A129" s="844">
        <f ca="1">$Q$125 *(50)</f>
        <v>0</v>
      </c>
      <c r="B129" s="730" t="s">
        <v>326</v>
      </c>
      <c r="D129" s="730" t="s">
        <v>767</v>
      </c>
      <c r="G129" s="731" t="s">
        <v>768</v>
      </c>
      <c r="H129" s="732">
        <v>615</v>
      </c>
      <c r="I129" s="730" t="s">
        <v>561</v>
      </c>
      <c r="K129" s="730" t="s">
        <v>769</v>
      </c>
      <c r="O129" s="733">
        <v>2</v>
      </c>
      <c r="P129" s="734">
        <v>38988</v>
      </c>
      <c r="Q129" s="735">
        <v>0.24</v>
      </c>
      <c r="R129" s="736">
        <f ca="1">$A129*Q129</f>
        <v>0</v>
      </c>
      <c r="S129" s="735">
        <v>1.4999999999999999E-2</v>
      </c>
      <c r="T129" s="737">
        <f ca="1">$A129*S129*$T$1</f>
        <v>0</v>
      </c>
    </row>
    <row r="130" spans="1:28" s="730" customFormat="1">
      <c r="A130" s="840">
        <f ca="1">$Q$125 *(2)</f>
        <v>0</v>
      </c>
      <c r="B130" s="730" t="s">
        <v>141</v>
      </c>
      <c r="D130" s="730" t="s">
        <v>774</v>
      </c>
      <c r="G130" s="731" t="s">
        <v>775</v>
      </c>
      <c r="H130" s="732">
        <v>705</v>
      </c>
      <c r="I130" s="730" t="s">
        <v>674</v>
      </c>
      <c r="J130" s="730" t="s">
        <v>776</v>
      </c>
      <c r="O130" s="733">
        <v>3</v>
      </c>
      <c r="P130" s="734">
        <v>39128</v>
      </c>
      <c r="Q130" s="735">
        <v>0.93</v>
      </c>
      <c r="R130" s="736">
        <f ca="1">$A130*Q130</f>
        <v>0</v>
      </c>
      <c r="S130" s="735">
        <v>0.17</v>
      </c>
      <c r="T130" s="737">
        <f ca="1">$A130*S130*$T$1</f>
        <v>0</v>
      </c>
    </row>
    <row r="131" spans="1:28" s="730" customFormat="1">
      <c r="A131" s="844">
        <f ca="1">$Q$125 *(2)</f>
        <v>0</v>
      </c>
      <c r="B131" s="730" t="s">
        <v>326</v>
      </c>
      <c r="D131" s="730" t="s">
        <v>777</v>
      </c>
      <c r="G131" s="731" t="s">
        <v>778</v>
      </c>
      <c r="H131" s="732">
        <v>616</v>
      </c>
      <c r="I131" s="730" t="s">
        <v>561</v>
      </c>
      <c r="J131" s="730" t="s">
        <v>779</v>
      </c>
      <c r="K131" s="730" t="s">
        <v>780</v>
      </c>
      <c r="O131" s="733">
        <v>2</v>
      </c>
      <c r="P131" s="734">
        <v>40767</v>
      </c>
      <c r="Q131" s="735">
        <v>0.8</v>
      </c>
      <c r="R131" s="736">
        <f ca="1">$A131*Q131</f>
        <v>0</v>
      </c>
      <c r="S131" s="735">
        <v>2.5000000000000001E-2</v>
      </c>
      <c r="T131" s="737">
        <f ca="1">$A131*S131*$T$1</f>
        <v>0</v>
      </c>
    </row>
    <row r="132" spans="1:28" s="602" customFormat="1">
      <c r="A132" s="672"/>
      <c r="B132" s="3"/>
      <c r="C132" s="3"/>
      <c r="D132" s="846" t="s">
        <v>895</v>
      </c>
      <c r="E132" s="3"/>
      <c r="F132" s="3"/>
      <c r="G132" s="3"/>
      <c r="H132" s="3"/>
      <c r="I132" s="3"/>
      <c r="J132" s="3"/>
      <c r="K132" s="3"/>
      <c r="L132" s="3"/>
      <c r="M132" s="3"/>
      <c r="N132" s="3"/>
      <c r="O132" s="158"/>
      <c r="P132" s="3"/>
      <c r="Q132" s="3"/>
      <c r="R132" s="3"/>
      <c r="S132" s="3"/>
      <c r="T132" s="3"/>
    </row>
    <row r="133" spans="1:28" s="730" customFormat="1">
      <c r="A133" s="840">
        <f ca="1">$Q$125 *(7)</f>
        <v>0</v>
      </c>
      <c r="B133" s="730" t="s">
        <v>326</v>
      </c>
      <c r="D133" s="730" t="s">
        <v>763</v>
      </c>
      <c r="G133" s="731" t="s">
        <v>764</v>
      </c>
      <c r="H133" s="732">
        <v>690</v>
      </c>
      <c r="I133" s="730" t="s">
        <v>765</v>
      </c>
      <c r="J133" s="730" t="s">
        <v>766</v>
      </c>
      <c r="O133" s="733">
        <v>1</v>
      </c>
      <c r="P133" s="734">
        <v>34669</v>
      </c>
      <c r="Q133" s="735">
        <v>3.66</v>
      </c>
      <c r="R133" s="736">
        <f ca="1">$A133*Q133</f>
        <v>0</v>
      </c>
      <c r="S133" s="735">
        <v>0.2</v>
      </c>
      <c r="T133" s="737">
        <f ca="1">$A133*S133*$T$1</f>
        <v>0</v>
      </c>
    </row>
    <row r="134" spans="1:28" s="730" customFormat="1">
      <c r="A134" s="844">
        <f ca="1">$Q$125 *(30)</f>
        <v>0</v>
      </c>
      <c r="B134" s="730" t="s">
        <v>326</v>
      </c>
      <c r="D134" s="730" t="s">
        <v>767</v>
      </c>
      <c r="G134" s="731" t="s">
        <v>768</v>
      </c>
      <c r="H134" s="732">
        <v>615</v>
      </c>
      <c r="I134" s="730" t="s">
        <v>561</v>
      </c>
      <c r="K134" s="730" t="s">
        <v>769</v>
      </c>
      <c r="O134" s="733">
        <v>2</v>
      </c>
      <c r="P134" s="734">
        <v>38988</v>
      </c>
      <c r="Q134" s="735">
        <v>0.24</v>
      </c>
      <c r="R134" s="736">
        <f ca="1">$A134*Q134</f>
        <v>0</v>
      </c>
      <c r="S134" s="735">
        <v>1.4999999999999999E-2</v>
      </c>
      <c r="T134" s="737">
        <f ca="1">$A134*S134*$T$1</f>
        <v>0</v>
      </c>
    </row>
    <row r="135" spans="1:28" s="730" customFormat="1">
      <c r="A135" s="840">
        <f ca="1">$Q$125 *(2)</f>
        <v>0</v>
      </c>
      <c r="B135" s="730" t="s">
        <v>141</v>
      </c>
      <c r="D135" s="730" t="s">
        <v>774</v>
      </c>
      <c r="G135" s="731" t="s">
        <v>775</v>
      </c>
      <c r="H135" s="732">
        <v>705</v>
      </c>
      <c r="I135" s="730" t="s">
        <v>674</v>
      </c>
      <c r="J135" s="730" t="s">
        <v>776</v>
      </c>
      <c r="O135" s="733">
        <v>3</v>
      </c>
      <c r="P135" s="734">
        <v>39128</v>
      </c>
      <c r="Q135" s="735">
        <v>0.93</v>
      </c>
      <c r="R135" s="736">
        <f ca="1">$A135*Q135</f>
        <v>0</v>
      </c>
      <c r="S135" s="735">
        <v>0.17</v>
      </c>
      <c r="T135" s="737">
        <f ca="1">$A135*S135*$T$1</f>
        <v>0</v>
      </c>
    </row>
    <row r="136" spans="1:28" s="730" customFormat="1">
      <c r="A136" s="844">
        <f ca="1">$Q$125 *(2)</f>
        <v>0</v>
      </c>
      <c r="B136" s="730" t="s">
        <v>326</v>
      </c>
      <c r="D136" s="730" t="s">
        <v>777</v>
      </c>
      <c r="G136" s="731" t="s">
        <v>778</v>
      </c>
      <c r="H136" s="732">
        <v>616</v>
      </c>
      <c r="I136" s="730" t="s">
        <v>561</v>
      </c>
      <c r="J136" s="730" t="s">
        <v>779</v>
      </c>
      <c r="K136" s="730" t="s">
        <v>780</v>
      </c>
      <c r="O136" s="733">
        <v>2</v>
      </c>
      <c r="P136" s="734">
        <v>40767</v>
      </c>
      <c r="Q136" s="735">
        <v>0.8</v>
      </c>
      <c r="R136" s="736">
        <f ca="1">$A136*Q136</f>
        <v>0</v>
      </c>
      <c r="S136" s="735">
        <v>2.5000000000000001E-2</v>
      </c>
      <c r="T136" s="737">
        <f ca="1">$A136*S136*$T$1</f>
        <v>0</v>
      </c>
    </row>
    <row r="137" spans="1:28" s="602" customFormat="1">
      <c r="A137" s="663"/>
      <c r="B137" s="3"/>
      <c r="C137" s="663" t="s">
        <v>183</v>
      </c>
      <c r="D137" s="3"/>
      <c r="E137" s="663"/>
      <c r="F137" s="664"/>
      <c r="G137" s="663"/>
      <c r="H137" s="663"/>
      <c r="I137" s="601"/>
      <c r="J137" s="663"/>
      <c r="K137" s="663"/>
      <c r="L137" s="663"/>
      <c r="M137" s="663"/>
      <c r="N137" s="663"/>
      <c r="O137" s="663"/>
      <c r="P137" s="663"/>
      <c r="Q137" s="601"/>
      <c r="R137" s="814">
        <f>$A137*Q137</f>
        <v>0</v>
      </c>
      <c r="S137" s="601"/>
      <c r="T137" s="681">
        <f>$A137*S137*$T$1</f>
        <v>0</v>
      </c>
    </row>
    <row r="138" spans="1:28" s="602" customFormat="1" ht="12.6" thickBot="1">
      <c r="A138" s="682" t="s">
        <v>145</v>
      </c>
      <c r="B138" s="683">
        <f>(R137+T137)</f>
        <v>0</v>
      </c>
      <c r="C138" s="684"/>
      <c r="D138" s="834" t="s">
        <v>184</v>
      </c>
      <c r="E138" s="545">
        <f ca="1">IF($B125=0,0,ROUND(ROUND(($R138*$S$2+($T138*$T$2))/$B125, 2)*$C$2,2))</f>
        <v>0</v>
      </c>
      <c r="F138" s="546">
        <f ca="1">ROUND($B125*$E138,2)</f>
        <v>0</v>
      </c>
      <c r="G138" s="684"/>
      <c r="H138" s="684"/>
      <c r="I138" s="686"/>
      <c r="J138" s="684"/>
      <c r="K138" s="835" t="s">
        <v>143</v>
      </c>
      <c r="L138" s="687" t="s">
        <v>143</v>
      </c>
      <c r="M138" s="687"/>
      <c r="N138" s="687"/>
      <c r="O138" s="687"/>
      <c r="P138" s="687"/>
      <c r="Q138" s="835"/>
      <c r="R138" s="836">
        <f ca="1">SUM(R126:R137)</f>
        <v>0</v>
      </c>
      <c r="S138" s="837"/>
      <c r="T138" s="836">
        <f ca="1">SUM(T126:T137)</f>
        <v>0</v>
      </c>
      <c r="U138" s="611"/>
      <c r="V138" s="611"/>
      <c r="W138" s="611"/>
      <c r="X138" s="611"/>
      <c r="Y138" s="611"/>
      <c r="Z138" s="611"/>
      <c r="AA138" s="611"/>
      <c r="AB138" s="611"/>
    </row>
    <row r="139" spans="1:28" s="602" customFormat="1" ht="12" thickTop="1">
      <c r="A139" s="63"/>
      <c r="B139" s="63"/>
      <c r="C139" s="63"/>
      <c r="D139" s="63"/>
      <c r="E139" s="63"/>
      <c r="F139" s="63"/>
      <c r="G139" s="63"/>
      <c r="H139" s="63"/>
      <c r="I139" s="63"/>
      <c r="J139" s="63"/>
      <c r="K139" s="63"/>
      <c r="L139" s="63"/>
      <c r="M139" s="63"/>
      <c r="N139" s="63"/>
      <c r="O139" s="64"/>
      <c r="P139" s="63"/>
      <c r="Q139" s="42" t="s">
        <v>180</v>
      </c>
      <c r="R139" s="63"/>
      <c r="S139" s="13"/>
      <c r="T139" s="63"/>
    </row>
    <row r="140" spans="1:28" s="602" customFormat="1" ht="12" customHeight="1" thickBot="1">
      <c r="A140" s="824">
        <f>2+6</f>
        <v>8</v>
      </c>
      <c r="B140" s="825">
        <f ca="1">Elec_Est!B1050</f>
        <v>0</v>
      </c>
      <c r="C140" s="826"/>
      <c r="D140" s="827" t="s">
        <v>794</v>
      </c>
      <c r="E140" s="828"/>
      <c r="F140" s="828"/>
      <c r="G140" s="676"/>
      <c r="H140" s="676"/>
      <c r="I140" s="829"/>
      <c r="J140" s="676"/>
      <c r="K140" s="826" t="s">
        <v>181</v>
      </c>
      <c r="L140" s="830" t="s">
        <v>181</v>
      </c>
      <c r="M140" s="830"/>
      <c r="N140" s="830"/>
      <c r="O140" s="830"/>
      <c r="P140" s="830"/>
      <c r="Q140" s="831">
        <f ca="1">B140/A140</f>
        <v>0</v>
      </c>
      <c r="R140" s="832">
        <f ca="1">IF($B140=0,0,IF($S$1="R",ROUND(R149/$B140,2),R149/$B140))</f>
        <v>0</v>
      </c>
      <c r="S140" s="833"/>
      <c r="T140" s="832">
        <f ca="1">IF($B140=0,0,IF($S$1="R",ROUND(T149/$B140,2),T149/$B140))</f>
        <v>0</v>
      </c>
    </row>
    <row r="141" spans="1:28" s="602" customFormat="1" ht="13.8" thickTop="1">
      <c r="A141" s="672"/>
      <c r="B141" s="3"/>
      <c r="C141" s="3"/>
      <c r="D141" s="157" t="s">
        <v>182</v>
      </c>
      <c r="E141" s="3"/>
      <c r="F141" s="3"/>
      <c r="G141" s="3"/>
      <c r="H141" s="3"/>
      <c r="I141" s="3"/>
      <c r="J141" s="3"/>
      <c r="K141" s="3"/>
      <c r="L141" s="3"/>
      <c r="M141" s="3"/>
      <c r="N141" s="3"/>
      <c r="O141" s="158"/>
      <c r="P141" s="3"/>
      <c r="Q141" s="3"/>
      <c r="R141" s="3"/>
      <c r="S141" s="3"/>
      <c r="T141" s="3"/>
    </row>
    <row r="142" spans="1:28" s="602" customFormat="1">
      <c r="A142" s="672"/>
      <c r="B142" s="3"/>
      <c r="C142" s="3"/>
      <c r="D142" s="846" t="s">
        <v>899</v>
      </c>
      <c r="E142" s="3"/>
      <c r="F142" s="3"/>
      <c r="G142" s="3"/>
      <c r="H142" s="3"/>
      <c r="I142" s="3"/>
      <c r="J142" s="3"/>
      <c r="K142" s="3"/>
      <c r="L142" s="3"/>
      <c r="M142" s="3"/>
      <c r="N142" s="3"/>
      <c r="O142" s="158"/>
      <c r="P142" s="3"/>
      <c r="Q142" s="3"/>
      <c r="R142" s="3"/>
      <c r="S142" s="3"/>
      <c r="T142" s="3"/>
    </row>
    <row r="143" spans="1:28" s="730" customFormat="1">
      <c r="A143" s="840">
        <f ca="1">$Q$140 *(1+2+2+2)</f>
        <v>0</v>
      </c>
      <c r="B143" s="730" t="s">
        <v>326</v>
      </c>
      <c r="D143" s="730" t="s">
        <v>763</v>
      </c>
      <c r="G143" s="731" t="s">
        <v>764</v>
      </c>
      <c r="H143" s="732">
        <v>690</v>
      </c>
      <c r="I143" s="730" t="s">
        <v>765</v>
      </c>
      <c r="J143" s="730" t="s">
        <v>766</v>
      </c>
      <c r="O143" s="733">
        <v>1</v>
      </c>
      <c r="P143" s="734">
        <v>34669</v>
      </c>
      <c r="Q143" s="735">
        <v>3.66</v>
      </c>
      <c r="R143" s="736">
        <f ca="1">$A143*Q143</f>
        <v>0</v>
      </c>
      <c r="S143" s="735">
        <v>0.2</v>
      </c>
      <c r="T143" s="737">
        <f ca="1">$A143*S143*$T$1</f>
        <v>0</v>
      </c>
    </row>
    <row r="144" spans="1:28" s="730" customFormat="1">
      <c r="A144" s="840">
        <f ca="1">$Q$140 *((1+2+2+2)*3*1.1)</f>
        <v>0</v>
      </c>
      <c r="B144" s="730" t="s">
        <v>326</v>
      </c>
      <c r="D144" s="730" t="s">
        <v>781</v>
      </c>
      <c r="G144" s="731" t="s">
        <v>782</v>
      </c>
      <c r="H144" s="732">
        <v>615</v>
      </c>
      <c r="I144" s="730" t="s">
        <v>561</v>
      </c>
      <c r="K144" s="730" t="s">
        <v>783</v>
      </c>
      <c r="O144" s="733">
        <v>2</v>
      </c>
      <c r="P144" s="734">
        <v>38988</v>
      </c>
      <c r="Q144" s="823">
        <v>0.6</v>
      </c>
      <c r="R144" s="736">
        <f ca="1">$A144*Q144</f>
        <v>0</v>
      </c>
      <c r="S144" s="735">
        <v>0.02</v>
      </c>
      <c r="T144" s="737">
        <f ca="1">$A144*S144*$T$1</f>
        <v>0</v>
      </c>
    </row>
    <row r="145" spans="1:28" s="602" customFormat="1">
      <c r="A145" s="672"/>
      <c r="B145" s="3"/>
      <c r="C145" s="3"/>
      <c r="D145" s="846" t="s">
        <v>898</v>
      </c>
      <c r="E145" s="3"/>
      <c r="F145" s="3"/>
      <c r="G145" s="3"/>
      <c r="H145" s="3"/>
      <c r="I145" s="3"/>
      <c r="J145" s="3"/>
      <c r="K145" s="3"/>
      <c r="L145" s="3"/>
      <c r="M145" s="3"/>
      <c r="N145" s="3"/>
      <c r="O145" s="158"/>
      <c r="P145" s="3"/>
      <c r="Q145" s="3"/>
      <c r="R145" s="3"/>
      <c r="S145" s="3"/>
      <c r="T145" s="3"/>
    </row>
    <row r="146" spans="1:28" s="730" customFormat="1">
      <c r="A146" s="840">
        <f ca="1">$Q$140 *(3+2+6+2+2+2+17+2+2+6+6+2+2)</f>
        <v>0</v>
      </c>
      <c r="B146" s="730" t="s">
        <v>326</v>
      </c>
      <c r="D146" s="730" t="s">
        <v>763</v>
      </c>
      <c r="G146" s="731" t="s">
        <v>764</v>
      </c>
      <c r="H146" s="732">
        <v>690</v>
      </c>
      <c r="I146" s="730" t="s">
        <v>765</v>
      </c>
      <c r="J146" s="730" t="s">
        <v>766</v>
      </c>
      <c r="O146" s="733">
        <v>1</v>
      </c>
      <c r="P146" s="734">
        <v>34669</v>
      </c>
      <c r="Q146" s="735">
        <v>3.66</v>
      </c>
      <c r="R146" s="736">
        <f ca="1">$A146*Q146</f>
        <v>0</v>
      </c>
      <c r="S146" s="735">
        <v>0.2</v>
      </c>
      <c r="T146" s="737">
        <f ca="1">$A146*S146*$T$1</f>
        <v>0</v>
      </c>
    </row>
    <row r="147" spans="1:28" s="730" customFormat="1">
      <c r="A147" s="840">
        <f ca="1">$Q$140 *((3*3+2*6+6*3+2*3+2*3+2*6+17*3+2*6+2*6+6*3+6*3+2*6+2*3)*1.1)</f>
        <v>0</v>
      </c>
      <c r="B147" s="730" t="s">
        <v>326</v>
      </c>
      <c r="D147" s="730" t="s">
        <v>781</v>
      </c>
      <c r="G147" s="731" t="s">
        <v>782</v>
      </c>
      <c r="H147" s="732">
        <v>615</v>
      </c>
      <c r="I147" s="730" t="s">
        <v>561</v>
      </c>
      <c r="K147" s="730" t="s">
        <v>783</v>
      </c>
      <c r="O147" s="733">
        <v>2</v>
      </c>
      <c r="P147" s="734">
        <v>38988</v>
      </c>
      <c r="Q147" s="823">
        <v>0.6</v>
      </c>
      <c r="R147" s="736">
        <f ca="1">$A147*Q147</f>
        <v>0</v>
      </c>
      <c r="S147" s="735">
        <v>0.02</v>
      </c>
      <c r="T147" s="737">
        <f ca="1">$A147*S147*$T$1</f>
        <v>0</v>
      </c>
    </row>
    <row r="148" spans="1:28" s="602" customFormat="1">
      <c r="A148" s="663"/>
      <c r="B148" s="3"/>
      <c r="C148" s="663" t="s">
        <v>183</v>
      </c>
      <c r="D148" s="3"/>
      <c r="E148" s="663"/>
      <c r="F148" s="664"/>
      <c r="G148" s="663"/>
      <c r="H148" s="663"/>
      <c r="I148" s="601"/>
      <c r="J148" s="663"/>
      <c r="K148" s="663"/>
      <c r="L148" s="663"/>
      <c r="M148" s="663"/>
      <c r="N148" s="663"/>
      <c r="O148" s="663"/>
      <c r="P148" s="663"/>
      <c r="Q148" s="601"/>
      <c r="R148" s="814">
        <f>$A148*Q148</f>
        <v>0</v>
      </c>
      <c r="S148" s="601"/>
      <c r="T148" s="681">
        <f>$A148*S148*$T$1</f>
        <v>0</v>
      </c>
    </row>
    <row r="149" spans="1:28" s="602" customFormat="1" ht="12.6" thickBot="1">
      <c r="A149" s="682" t="s">
        <v>145</v>
      </c>
      <c r="B149" s="683">
        <f>(R148+T148)</f>
        <v>0</v>
      </c>
      <c r="C149" s="684"/>
      <c r="D149" s="834" t="s">
        <v>184</v>
      </c>
      <c r="E149" s="545">
        <f ca="1">IF($B140=0,0,ROUND(ROUND(($R149*$S$2+($T149*$T$2))/$B140, 2)*$C$2,2))</f>
        <v>0</v>
      </c>
      <c r="F149" s="546">
        <f ca="1">ROUND($B140*$E149,2)</f>
        <v>0</v>
      </c>
      <c r="G149" s="684"/>
      <c r="H149" s="684"/>
      <c r="I149" s="686"/>
      <c r="J149" s="684"/>
      <c r="K149" s="835" t="s">
        <v>143</v>
      </c>
      <c r="L149" s="687" t="s">
        <v>143</v>
      </c>
      <c r="M149" s="687"/>
      <c r="N149" s="687"/>
      <c r="O149" s="687"/>
      <c r="P149" s="687"/>
      <c r="Q149" s="835"/>
      <c r="R149" s="836">
        <f ca="1">SUM(R141:R148)</f>
        <v>0</v>
      </c>
      <c r="S149" s="837"/>
      <c r="T149" s="836">
        <f ca="1">SUM(T141:T148)</f>
        <v>0</v>
      </c>
      <c r="U149" s="611"/>
      <c r="V149" s="611"/>
      <c r="W149" s="611"/>
      <c r="X149" s="611"/>
      <c r="Y149" s="611"/>
      <c r="Z149" s="611"/>
      <c r="AA149" s="611"/>
      <c r="AB149" s="611"/>
    </row>
    <row r="150" spans="1:28" s="602" customFormat="1" ht="12" thickTop="1">
      <c r="A150" s="63"/>
      <c r="B150" s="63"/>
      <c r="C150" s="63"/>
      <c r="D150" s="63"/>
      <c r="E150" s="63"/>
      <c r="F150" s="63"/>
      <c r="G150" s="63"/>
      <c r="H150" s="63"/>
      <c r="I150" s="63"/>
      <c r="J150" s="63"/>
      <c r="K150" s="63"/>
      <c r="L150" s="63"/>
      <c r="M150" s="63"/>
      <c r="N150" s="63"/>
      <c r="O150" s="64"/>
      <c r="P150" s="63"/>
      <c r="Q150" s="42" t="s">
        <v>180</v>
      </c>
      <c r="R150" s="63"/>
      <c r="S150" s="13"/>
      <c r="T150" s="63"/>
    </row>
    <row r="151" spans="1:28" s="602" customFormat="1" ht="12" customHeight="1" thickBot="1">
      <c r="A151" s="824">
        <v>3</v>
      </c>
      <c r="B151" s="825">
        <f ca="1">Elec_Est!B1051</f>
        <v>0</v>
      </c>
      <c r="C151" s="826"/>
      <c r="D151" s="827" t="s">
        <v>795</v>
      </c>
      <c r="E151" s="828"/>
      <c r="F151" s="828"/>
      <c r="G151" s="676"/>
      <c r="H151" s="676"/>
      <c r="I151" s="829"/>
      <c r="J151" s="676"/>
      <c r="K151" s="826" t="s">
        <v>181</v>
      </c>
      <c r="L151" s="830" t="s">
        <v>181</v>
      </c>
      <c r="M151" s="830"/>
      <c r="N151" s="830"/>
      <c r="O151" s="830"/>
      <c r="P151" s="830"/>
      <c r="Q151" s="831">
        <f ca="1">B151/A151</f>
        <v>0</v>
      </c>
      <c r="R151" s="832">
        <f ca="1">IF($B151=0,0,IF($S$1="R",ROUND(R166/$B151,2),R166/$B151))</f>
        <v>0</v>
      </c>
      <c r="S151" s="833"/>
      <c r="T151" s="842">
        <f ca="1">IF($B151=0,0,IF($S$1="R",ROUND(T166/$B151,2),T166/$B151))</f>
        <v>0</v>
      </c>
    </row>
    <row r="152" spans="1:28" s="602" customFormat="1" ht="13.8" thickTop="1">
      <c r="A152" s="672"/>
      <c r="B152" s="3"/>
      <c r="C152" s="3"/>
      <c r="D152" s="157" t="s">
        <v>182</v>
      </c>
      <c r="E152" s="3"/>
      <c r="F152" s="3"/>
      <c r="G152" s="3"/>
      <c r="H152" s="3"/>
      <c r="I152" s="3"/>
      <c r="J152" s="3"/>
      <c r="K152" s="3"/>
      <c r="L152" s="3"/>
      <c r="M152" s="3"/>
      <c r="N152" s="3"/>
      <c r="O152" s="158"/>
      <c r="P152" s="3"/>
      <c r="Q152" s="3"/>
      <c r="R152" s="3"/>
      <c r="S152" s="3"/>
      <c r="T152" s="3"/>
    </row>
    <row r="153" spans="1:28" s="602" customFormat="1">
      <c r="A153" s="672"/>
      <c r="B153" s="3"/>
      <c r="C153" s="3"/>
      <c r="D153" s="846" t="s">
        <v>899</v>
      </c>
      <c r="E153" s="3"/>
      <c r="F153" s="3"/>
      <c r="G153" s="3"/>
      <c r="H153" s="3"/>
      <c r="I153" s="3"/>
      <c r="J153" s="3"/>
      <c r="K153" s="3"/>
      <c r="L153" s="3"/>
      <c r="M153" s="3"/>
      <c r="N153" s="3"/>
      <c r="O153" s="158"/>
      <c r="P153" s="3"/>
      <c r="Q153" s="3"/>
      <c r="R153" s="3"/>
      <c r="S153" s="3"/>
      <c r="T153" s="3"/>
    </row>
    <row r="154" spans="1:28" s="730" customFormat="1">
      <c r="A154" s="840">
        <f ca="1">$Q$151 *(2)</f>
        <v>0</v>
      </c>
      <c r="B154" s="730" t="s">
        <v>326</v>
      </c>
      <c r="D154" s="730" t="s">
        <v>763</v>
      </c>
      <c r="G154" s="731" t="s">
        <v>764</v>
      </c>
      <c r="H154" s="732">
        <v>690</v>
      </c>
      <c r="I154" s="730" t="s">
        <v>765</v>
      </c>
      <c r="J154" s="730" t="s">
        <v>766</v>
      </c>
      <c r="O154" s="733">
        <v>1</v>
      </c>
      <c r="P154" s="734">
        <v>34669</v>
      </c>
      <c r="Q154" s="735">
        <v>3.66</v>
      </c>
      <c r="R154" s="736">
        <f ca="1">$A154*Q154</f>
        <v>0</v>
      </c>
      <c r="S154" s="735">
        <v>0.2</v>
      </c>
      <c r="T154" s="737">
        <f ca="1">$A154*S154*$T$1</f>
        <v>0</v>
      </c>
    </row>
    <row r="155" spans="1:28" s="730" customFormat="1">
      <c r="A155" s="840">
        <f ca="1">$Q$151 *(10)</f>
        <v>0</v>
      </c>
      <c r="B155" s="730" t="s">
        <v>326</v>
      </c>
      <c r="D155" s="730" t="s">
        <v>784</v>
      </c>
      <c r="G155" s="731" t="s">
        <v>785</v>
      </c>
      <c r="H155" s="732">
        <v>615</v>
      </c>
      <c r="I155" s="730" t="s">
        <v>561</v>
      </c>
      <c r="K155" s="730" t="s">
        <v>786</v>
      </c>
      <c r="O155" s="733">
        <v>2</v>
      </c>
      <c r="P155" s="734">
        <v>38988</v>
      </c>
      <c r="Q155" s="823">
        <v>0.4</v>
      </c>
      <c r="R155" s="736">
        <f ca="1">$A155*Q155</f>
        <v>0</v>
      </c>
      <c r="S155" s="735">
        <v>0.02</v>
      </c>
      <c r="T155" s="737">
        <f ca="1">$A155*S155*$T$1</f>
        <v>0</v>
      </c>
    </row>
    <row r="156" spans="1:28" s="730" customFormat="1">
      <c r="A156" s="840">
        <f ca="1">$Q$151 *(1)</f>
        <v>0</v>
      </c>
      <c r="B156" s="730" t="s">
        <v>141</v>
      </c>
      <c r="D156" s="730" t="s">
        <v>787</v>
      </c>
      <c r="G156" s="731" t="s">
        <v>788</v>
      </c>
      <c r="H156" s="732">
        <v>705</v>
      </c>
      <c r="I156" s="730" t="s">
        <v>789</v>
      </c>
      <c r="J156" s="730" t="s">
        <v>790</v>
      </c>
      <c r="O156" s="733">
        <v>3</v>
      </c>
      <c r="P156" s="734">
        <v>38062</v>
      </c>
      <c r="Q156" s="823">
        <v>27.18</v>
      </c>
      <c r="R156" s="736">
        <f ca="1">$A156*Q156</f>
        <v>0</v>
      </c>
      <c r="S156" s="735">
        <v>0.5</v>
      </c>
      <c r="T156" s="737">
        <f ca="1">$A156*S156*$T$1</f>
        <v>0</v>
      </c>
    </row>
    <row r="157" spans="1:28" s="730" customFormat="1">
      <c r="A157" s="840">
        <f ca="1">$Q$151 *(1)</f>
        <v>0</v>
      </c>
      <c r="B157" s="730" t="s">
        <v>141</v>
      </c>
      <c r="D157" s="730" t="s">
        <v>791</v>
      </c>
      <c r="G157" s="731" t="s">
        <v>792</v>
      </c>
      <c r="H157" s="732">
        <v>705</v>
      </c>
      <c r="I157" s="730" t="s">
        <v>674</v>
      </c>
      <c r="O157" s="733">
        <v>3</v>
      </c>
      <c r="P157" s="734">
        <v>38047</v>
      </c>
      <c r="Q157" s="735"/>
      <c r="R157" s="736">
        <f ca="1">$A157*Q157</f>
        <v>0</v>
      </c>
      <c r="S157" s="735">
        <v>0.25</v>
      </c>
      <c r="T157" s="737">
        <f ca="1">$A157*S157*$T$1</f>
        <v>0</v>
      </c>
    </row>
    <row r="158" spans="1:28" s="730" customFormat="1">
      <c r="A158" s="840">
        <f ca="1">$Q$151 *(1)</f>
        <v>0</v>
      </c>
      <c r="B158" s="730" t="s">
        <v>141</v>
      </c>
      <c r="D158" s="730" t="s">
        <v>731</v>
      </c>
      <c r="G158" s="731" t="s">
        <v>732</v>
      </c>
      <c r="H158" s="732">
        <v>875</v>
      </c>
      <c r="I158" s="730" t="s">
        <v>674</v>
      </c>
      <c r="K158" s="730" t="s">
        <v>733</v>
      </c>
      <c r="O158" s="733">
        <v>3</v>
      </c>
      <c r="P158" s="734">
        <v>34820</v>
      </c>
      <c r="Q158" s="823">
        <v>3.49</v>
      </c>
      <c r="R158" s="736">
        <f ca="1">$A158*Q158</f>
        <v>0</v>
      </c>
      <c r="S158" s="735">
        <v>0.05</v>
      </c>
      <c r="T158" s="737">
        <f ca="1">$A158*S158*$T$1</f>
        <v>0</v>
      </c>
    </row>
    <row r="159" spans="1:28" s="602" customFormat="1">
      <c r="A159" s="672"/>
      <c r="B159" s="3"/>
      <c r="C159" s="3"/>
      <c r="D159" s="846" t="s">
        <v>898</v>
      </c>
      <c r="E159" s="3"/>
      <c r="F159" s="3"/>
      <c r="G159" s="3"/>
      <c r="H159" s="3"/>
      <c r="I159" s="3"/>
      <c r="J159" s="3"/>
      <c r="K159" s="3"/>
      <c r="L159" s="3"/>
      <c r="M159" s="3"/>
      <c r="N159" s="3"/>
      <c r="O159" s="158"/>
      <c r="P159" s="3"/>
      <c r="Q159" s="3"/>
      <c r="R159" s="3"/>
      <c r="S159" s="3"/>
      <c r="T159" s="3"/>
    </row>
    <row r="160" spans="1:28" s="730" customFormat="1">
      <c r="A160" s="840">
        <f ca="1">$Q$151 *(2+3+15+2)</f>
        <v>0</v>
      </c>
      <c r="B160" s="730" t="s">
        <v>326</v>
      </c>
      <c r="D160" s="730" t="s">
        <v>763</v>
      </c>
      <c r="G160" s="731" t="s">
        <v>764</v>
      </c>
      <c r="H160" s="732">
        <v>690</v>
      </c>
      <c r="I160" s="730" t="s">
        <v>765</v>
      </c>
      <c r="J160" s="730" t="s">
        <v>766</v>
      </c>
      <c r="O160" s="733">
        <v>1</v>
      </c>
      <c r="P160" s="734">
        <v>34669</v>
      </c>
      <c r="Q160" s="735">
        <v>3.66</v>
      </c>
      <c r="R160" s="736">
        <f t="shared" ref="R160:R165" ca="1" si="18">$A160*Q160</f>
        <v>0</v>
      </c>
      <c r="S160" s="735">
        <v>0.2</v>
      </c>
      <c r="T160" s="737">
        <f t="shared" ref="T160:T165" ca="1" si="19">$A160*S160*$T$1</f>
        <v>0</v>
      </c>
    </row>
    <row r="161" spans="1:28" s="730" customFormat="1">
      <c r="A161" s="840">
        <f ca="1">$Q$151 *((2+3+15+2)*5*1.1)</f>
        <v>0</v>
      </c>
      <c r="B161" s="730" t="s">
        <v>326</v>
      </c>
      <c r="D161" s="730" t="s">
        <v>784</v>
      </c>
      <c r="G161" s="731" t="s">
        <v>785</v>
      </c>
      <c r="H161" s="732">
        <v>615</v>
      </c>
      <c r="I161" s="730" t="s">
        <v>561</v>
      </c>
      <c r="K161" s="730" t="s">
        <v>786</v>
      </c>
      <c r="O161" s="733">
        <v>2</v>
      </c>
      <c r="P161" s="734">
        <v>38988</v>
      </c>
      <c r="Q161" s="823">
        <v>0.4</v>
      </c>
      <c r="R161" s="736">
        <f t="shared" ca="1" si="18"/>
        <v>0</v>
      </c>
      <c r="S161" s="735">
        <v>0.02</v>
      </c>
      <c r="T161" s="737">
        <f t="shared" ca="1" si="19"/>
        <v>0</v>
      </c>
    </row>
    <row r="162" spans="1:28" s="730" customFormat="1">
      <c r="A162" s="840">
        <f ca="1">$Q$151 *(2)</f>
        <v>0</v>
      </c>
      <c r="B162" s="730" t="s">
        <v>141</v>
      </c>
      <c r="D162" s="730" t="s">
        <v>787</v>
      </c>
      <c r="G162" s="731" t="s">
        <v>788</v>
      </c>
      <c r="H162" s="732">
        <v>705</v>
      </c>
      <c r="I162" s="730" t="s">
        <v>789</v>
      </c>
      <c r="J162" s="730" t="s">
        <v>790</v>
      </c>
      <c r="O162" s="733">
        <v>3</v>
      </c>
      <c r="P162" s="734">
        <v>38062</v>
      </c>
      <c r="Q162" s="823">
        <v>27.18</v>
      </c>
      <c r="R162" s="736">
        <f t="shared" ca="1" si="18"/>
        <v>0</v>
      </c>
      <c r="S162" s="735">
        <v>0.5</v>
      </c>
      <c r="T162" s="737">
        <f t="shared" ca="1" si="19"/>
        <v>0</v>
      </c>
    </row>
    <row r="163" spans="1:28" s="730" customFormat="1">
      <c r="A163" s="840">
        <f ca="1">$Q$151 *(2)</f>
        <v>0</v>
      </c>
      <c r="B163" s="730" t="s">
        <v>141</v>
      </c>
      <c r="D163" s="730" t="s">
        <v>791</v>
      </c>
      <c r="G163" s="731" t="s">
        <v>792</v>
      </c>
      <c r="H163" s="732">
        <v>705</v>
      </c>
      <c r="I163" s="730" t="s">
        <v>674</v>
      </c>
      <c r="O163" s="733">
        <v>3</v>
      </c>
      <c r="P163" s="734">
        <v>38047</v>
      </c>
      <c r="Q163" s="735"/>
      <c r="R163" s="736">
        <f t="shared" ca="1" si="18"/>
        <v>0</v>
      </c>
      <c r="S163" s="735">
        <v>0.25</v>
      </c>
      <c r="T163" s="737">
        <f t="shared" ca="1" si="19"/>
        <v>0</v>
      </c>
    </row>
    <row r="164" spans="1:28" s="730" customFormat="1">
      <c r="A164" s="840">
        <f ca="1">$Q$151 *(2)</f>
        <v>0</v>
      </c>
      <c r="B164" s="730" t="s">
        <v>141</v>
      </c>
      <c r="D164" s="730" t="s">
        <v>731</v>
      </c>
      <c r="G164" s="731" t="s">
        <v>732</v>
      </c>
      <c r="H164" s="732">
        <v>875</v>
      </c>
      <c r="I164" s="730" t="s">
        <v>674</v>
      </c>
      <c r="K164" s="730" t="s">
        <v>733</v>
      </c>
      <c r="O164" s="733">
        <v>3</v>
      </c>
      <c r="P164" s="734">
        <v>34820</v>
      </c>
      <c r="Q164" s="823">
        <v>3.49</v>
      </c>
      <c r="R164" s="736">
        <f t="shared" ca="1" si="18"/>
        <v>0</v>
      </c>
      <c r="S164" s="735">
        <v>0.05</v>
      </c>
      <c r="T164" s="737">
        <f t="shared" ca="1" si="19"/>
        <v>0</v>
      </c>
    </row>
    <row r="165" spans="1:28" s="602" customFormat="1">
      <c r="A165" s="663"/>
      <c r="B165" s="3"/>
      <c r="C165" s="663" t="s">
        <v>183</v>
      </c>
      <c r="D165" s="3"/>
      <c r="E165" s="663"/>
      <c r="F165" s="664"/>
      <c r="G165" s="663"/>
      <c r="H165" s="663"/>
      <c r="I165" s="601"/>
      <c r="J165" s="663"/>
      <c r="K165" s="663"/>
      <c r="L165" s="663"/>
      <c r="M165" s="663"/>
      <c r="N165" s="663"/>
      <c r="O165" s="663"/>
      <c r="P165" s="663"/>
      <c r="Q165" s="601"/>
      <c r="R165" s="814">
        <f t="shared" si="18"/>
        <v>0</v>
      </c>
      <c r="S165" s="601"/>
      <c r="T165" s="681">
        <f t="shared" si="19"/>
        <v>0</v>
      </c>
    </row>
    <row r="166" spans="1:28" s="602" customFormat="1" ht="12.6" thickBot="1">
      <c r="A166" s="682" t="s">
        <v>145</v>
      </c>
      <c r="B166" s="683">
        <f>(R165+T165)</f>
        <v>0</v>
      </c>
      <c r="C166" s="684"/>
      <c r="D166" s="834" t="s">
        <v>184</v>
      </c>
      <c r="E166" s="545">
        <f ca="1">IF($B151=0,0,ROUND(ROUND(($R166*$S$2+($T166*$T$2))/$B151, 2)*$C$2,2))</f>
        <v>0</v>
      </c>
      <c r="F166" s="546">
        <f ca="1">ROUND($B151*$E166,2)</f>
        <v>0</v>
      </c>
      <c r="G166" s="684"/>
      <c r="H166" s="684"/>
      <c r="I166" s="686"/>
      <c r="J166" s="684"/>
      <c r="K166" s="835" t="s">
        <v>143</v>
      </c>
      <c r="L166" s="687" t="s">
        <v>143</v>
      </c>
      <c r="M166" s="687"/>
      <c r="N166" s="687"/>
      <c r="O166" s="687"/>
      <c r="P166" s="687"/>
      <c r="Q166" s="835"/>
      <c r="R166" s="836">
        <f ca="1">SUM(R152:R165)</f>
        <v>0</v>
      </c>
      <c r="S166" s="837"/>
      <c r="T166" s="836">
        <f ca="1">SUM(T152:T165)</f>
        <v>0</v>
      </c>
      <c r="U166" s="611"/>
      <c r="V166" s="611"/>
      <c r="W166" s="611"/>
      <c r="X166" s="611"/>
      <c r="Y166" s="611"/>
      <c r="Z166" s="611"/>
      <c r="AA166" s="611"/>
      <c r="AB166" s="611"/>
    </row>
    <row r="167" spans="1:28" s="1" customFormat="1" ht="12" thickTop="1">
      <c r="A167" s="33"/>
      <c r="B167" s="33"/>
      <c r="C167" s="33"/>
      <c r="D167" s="33"/>
      <c r="E167" s="33"/>
      <c r="F167" s="33"/>
      <c r="G167" s="33"/>
      <c r="H167" s="33"/>
      <c r="I167" s="33"/>
      <c r="J167" s="33"/>
      <c r="K167" s="33"/>
      <c r="L167" s="33"/>
      <c r="M167" s="33"/>
      <c r="N167" s="33"/>
      <c r="O167" s="35"/>
      <c r="P167" s="33"/>
      <c r="Q167" s="42" t="s">
        <v>180</v>
      </c>
      <c r="R167" s="33"/>
      <c r="S167" s="13"/>
      <c r="T167" s="33"/>
    </row>
    <row r="168" spans="1:28" s="1" customFormat="1" ht="12.6" thickBot="1">
      <c r="A168" s="146">
        <v>960</v>
      </c>
      <c r="B168" s="147">
        <f ca="1">Elec_Est!B1052</f>
        <v>0</v>
      </c>
      <c r="C168" s="148"/>
      <c r="D168" s="149" t="s">
        <v>796</v>
      </c>
      <c r="E168" s="150"/>
      <c r="F168" s="150"/>
      <c r="G168" s="151"/>
      <c r="H168" s="151"/>
      <c r="I168" s="152"/>
      <c r="J168" s="151"/>
      <c r="K168" s="153" t="s">
        <v>181</v>
      </c>
      <c r="L168" s="154" t="s">
        <v>181</v>
      </c>
      <c r="M168" s="154"/>
      <c r="N168" s="154"/>
      <c r="O168" s="154"/>
      <c r="P168" s="154"/>
      <c r="Q168" s="155">
        <f ca="1">B168/A168</f>
        <v>0</v>
      </c>
      <c r="R168" s="841">
        <f ca="1">IF($B168=0,0,IF($S$1="R",ROUND(R177/$B168,2),R177/$B168))</f>
        <v>0</v>
      </c>
      <c r="S168" s="156"/>
      <c r="T168" s="843">
        <f ca="1">IF($B168=0,0,IF($S$1="R",ROUND(T177/$B168,2),T177/$B168))</f>
        <v>0</v>
      </c>
    </row>
    <row r="169" spans="1:28" s="1" customFormat="1" ht="13.8" thickTop="1">
      <c r="A169" s="44"/>
      <c r="B169" s="3"/>
      <c r="C169" s="3"/>
      <c r="D169" s="157" t="s">
        <v>182</v>
      </c>
      <c r="E169" s="3"/>
      <c r="F169" s="3"/>
      <c r="G169" s="3"/>
      <c r="H169" s="3"/>
      <c r="I169" s="3"/>
      <c r="J169" s="3"/>
      <c r="K169" s="3"/>
      <c r="L169" s="3"/>
      <c r="M169" s="3"/>
      <c r="N169" s="3"/>
      <c r="O169" s="158"/>
      <c r="P169" s="3"/>
      <c r="Q169" s="3"/>
      <c r="R169" s="3"/>
      <c r="S169" s="3"/>
      <c r="T169" s="3"/>
    </row>
    <row r="170" spans="1:28" s="730" customFormat="1">
      <c r="A170" s="844">
        <f ca="1">$Q$168 *(960)</f>
        <v>0</v>
      </c>
      <c r="B170" s="730" t="s">
        <v>326</v>
      </c>
      <c r="D170" s="730" t="s">
        <v>814</v>
      </c>
      <c r="F170" s="730" t="s">
        <v>1064</v>
      </c>
      <c r="G170" s="731" t="s">
        <v>812</v>
      </c>
      <c r="H170" s="732">
        <v>616</v>
      </c>
      <c r="I170" s="730" t="s">
        <v>561</v>
      </c>
      <c r="J170" s="730" t="s">
        <v>813</v>
      </c>
      <c r="O170" s="733">
        <v>2</v>
      </c>
      <c r="P170" s="734">
        <v>40767</v>
      </c>
      <c r="Q170" s="735">
        <v>76.150000000000006</v>
      </c>
      <c r="R170" s="736">
        <f t="shared" ref="R170:R176" ca="1" si="20">$A170*Q170</f>
        <v>0</v>
      </c>
      <c r="S170" s="735">
        <v>0.22</v>
      </c>
      <c r="T170" s="737">
        <f t="shared" ref="T170:T176" ca="1" si="21">$A170*S170*$T$1</f>
        <v>0</v>
      </c>
    </row>
    <row r="171" spans="1:28" s="730" customFormat="1">
      <c r="A171" s="840">
        <f ca="1">$Q$168 *(960)</f>
        <v>0</v>
      </c>
      <c r="B171" s="730" t="s">
        <v>141</v>
      </c>
      <c r="D171" s="730" t="s">
        <v>815</v>
      </c>
      <c r="G171" s="731" t="s">
        <v>816</v>
      </c>
      <c r="H171" s="732">
        <v>875</v>
      </c>
      <c r="I171" s="730" t="s">
        <v>674</v>
      </c>
      <c r="K171" s="730" t="s">
        <v>817</v>
      </c>
      <c r="O171" s="733">
        <v>1</v>
      </c>
      <c r="P171" s="734">
        <v>34669</v>
      </c>
      <c r="Q171" s="735">
        <v>0.05</v>
      </c>
      <c r="R171" s="736">
        <f t="shared" ca="1" si="20"/>
        <v>0</v>
      </c>
      <c r="S171" s="735"/>
      <c r="T171" s="737">
        <f t="shared" ca="1" si="21"/>
        <v>0</v>
      </c>
    </row>
    <row r="172" spans="1:28" s="730" customFormat="1">
      <c r="A172" s="844">
        <f ca="1">$Q$168 *(12)</f>
        <v>0</v>
      </c>
      <c r="B172" s="730" t="s">
        <v>141</v>
      </c>
      <c r="D172" s="730" t="s">
        <v>818</v>
      </c>
      <c r="G172" s="731" t="s">
        <v>819</v>
      </c>
      <c r="H172" s="732">
        <v>620</v>
      </c>
      <c r="I172" s="730" t="s">
        <v>741</v>
      </c>
      <c r="O172" s="733">
        <v>2</v>
      </c>
      <c r="P172" s="734">
        <v>35431</v>
      </c>
      <c r="Q172" s="735">
        <v>24.53</v>
      </c>
      <c r="R172" s="736">
        <f t="shared" ca="1" si="20"/>
        <v>0</v>
      </c>
      <c r="S172" s="735">
        <v>0.70000000000000007</v>
      </c>
      <c r="T172" s="737">
        <f t="shared" ca="1" si="21"/>
        <v>0</v>
      </c>
    </row>
    <row r="173" spans="1:28" s="730" customFormat="1">
      <c r="A173" s="844">
        <f ca="1">$Q$168 *(12*5)</f>
        <v>0</v>
      </c>
      <c r="B173" s="730" t="s">
        <v>141</v>
      </c>
      <c r="D173" s="730" t="s">
        <v>820</v>
      </c>
      <c r="G173" s="731" t="s">
        <v>821</v>
      </c>
      <c r="H173" s="732">
        <v>620</v>
      </c>
      <c r="I173" s="730" t="s">
        <v>702</v>
      </c>
      <c r="O173" s="733">
        <v>2</v>
      </c>
      <c r="P173" s="734">
        <v>34669</v>
      </c>
      <c r="Q173" s="735">
        <v>0.7</v>
      </c>
      <c r="R173" s="736">
        <f t="shared" ca="1" si="20"/>
        <v>0</v>
      </c>
      <c r="S173" s="735">
        <v>0.13</v>
      </c>
      <c r="T173" s="737">
        <f t="shared" ca="1" si="21"/>
        <v>0</v>
      </c>
    </row>
    <row r="174" spans="1:28" s="730" customFormat="1">
      <c r="A174" s="844">
        <f ca="1">$Q$168 *(12)</f>
        <v>0</v>
      </c>
      <c r="B174" s="730" t="s">
        <v>326</v>
      </c>
      <c r="D174" s="730" t="s">
        <v>703</v>
      </c>
      <c r="G174" s="731" t="s">
        <v>704</v>
      </c>
      <c r="H174" s="732">
        <v>620</v>
      </c>
      <c r="I174" s="730" t="s">
        <v>674</v>
      </c>
      <c r="O174" s="733">
        <v>2</v>
      </c>
      <c r="P174" s="734">
        <v>38148</v>
      </c>
      <c r="Q174" s="735">
        <v>1.5</v>
      </c>
      <c r="R174" s="736">
        <f t="shared" ca="1" si="20"/>
        <v>0</v>
      </c>
      <c r="S174" s="735">
        <v>0.08</v>
      </c>
      <c r="T174" s="737">
        <f t="shared" ca="1" si="21"/>
        <v>0</v>
      </c>
    </row>
    <row r="175" spans="1:28" s="730" customFormat="1">
      <c r="A175" s="844">
        <f ca="1">$Q$168 *(12)</f>
        <v>0</v>
      </c>
      <c r="B175" s="730" t="s">
        <v>141</v>
      </c>
      <c r="D175" s="730" t="s">
        <v>1039</v>
      </c>
      <c r="F175" s="730" t="s">
        <v>1032</v>
      </c>
      <c r="G175" s="731" t="s">
        <v>1040</v>
      </c>
      <c r="H175" s="732">
        <v>900</v>
      </c>
      <c r="I175" s="730" t="s">
        <v>686</v>
      </c>
      <c r="O175" s="733">
        <v>1</v>
      </c>
      <c r="P175" s="734"/>
      <c r="Q175" s="735"/>
      <c r="R175" s="736">
        <f t="shared" ca="1" si="20"/>
        <v>0</v>
      </c>
      <c r="S175" s="735">
        <v>1</v>
      </c>
      <c r="T175" s="737">
        <f t="shared" ca="1" si="21"/>
        <v>0</v>
      </c>
    </row>
    <row r="176" spans="1:28" s="1" customFormat="1">
      <c r="A176" s="4"/>
      <c r="B176" s="3"/>
      <c r="C176" s="4" t="s">
        <v>183</v>
      </c>
      <c r="D176" s="3"/>
      <c r="E176" s="4"/>
      <c r="F176" s="2"/>
      <c r="G176" s="4"/>
      <c r="H176" s="4"/>
      <c r="I176" s="5"/>
      <c r="J176" s="4"/>
      <c r="K176" s="4"/>
      <c r="L176" s="4"/>
      <c r="M176" s="4"/>
      <c r="N176" s="4"/>
      <c r="O176" s="4"/>
      <c r="P176" s="4"/>
      <c r="Q176" s="5"/>
      <c r="R176" s="159">
        <f t="shared" si="20"/>
        <v>0</v>
      </c>
      <c r="S176" s="5"/>
      <c r="T176" s="160">
        <f t="shared" si="21"/>
        <v>0</v>
      </c>
    </row>
    <row r="177" spans="1:28" s="1" customFormat="1" ht="12.6" thickBot="1">
      <c r="A177" s="46" t="s">
        <v>145</v>
      </c>
      <c r="B177" s="47">
        <f ca="1">(R177+T177)-SUM(R169:R176,T169:T176)</f>
        <v>0</v>
      </c>
      <c r="C177" s="48"/>
      <c r="D177" s="161" t="s">
        <v>184</v>
      </c>
      <c r="E177" s="545">
        <f ca="1">IF($B168=0,0,ROUND(ROUND(($R177*$S$2+($T177*$T$2))/$B168, 2)*$C$2,2))</f>
        <v>0</v>
      </c>
      <c r="F177" s="546">
        <f ca="1">ROUND($B168*$E177,2)</f>
        <v>0</v>
      </c>
      <c r="G177" s="48"/>
      <c r="H177" s="48"/>
      <c r="I177" s="49"/>
      <c r="J177" s="48"/>
      <c r="K177" s="162" t="s">
        <v>143</v>
      </c>
      <c r="L177" s="163" t="s">
        <v>143</v>
      </c>
      <c r="M177" s="163"/>
      <c r="N177" s="163"/>
      <c r="O177" s="163"/>
      <c r="P177" s="163"/>
      <c r="Q177" s="164"/>
      <c r="R177" s="165">
        <f ca="1">SUM(R169:R176)</f>
        <v>0</v>
      </c>
      <c r="S177" s="166"/>
      <c r="T177" s="165">
        <f ca="1">SUM(T169:T176)</f>
        <v>0</v>
      </c>
      <c r="U177" s="486"/>
      <c r="V177" s="486"/>
      <c r="W177" s="486"/>
      <c r="X177" s="486"/>
      <c r="Y177" s="486"/>
      <c r="Z177" s="486"/>
      <c r="AA177" s="486"/>
      <c r="AB177" s="486"/>
    </row>
    <row r="178" spans="1:28" s="1" customFormat="1" ht="12" thickTop="1">
      <c r="A178" s="33"/>
      <c r="B178" s="33"/>
      <c r="C178" s="33"/>
      <c r="D178" s="33"/>
      <c r="E178" s="33"/>
      <c r="F178" s="33"/>
      <c r="G178" s="33"/>
      <c r="H178" s="33"/>
      <c r="I178" s="33"/>
      <c r="J178" s="33"/>
      <c r="K178" s="33"/>
      <c r="L178" s="33"/>
      <c r="M178" s="33"/>
      <c r="N178" s="33"/>
      <c r="O178" s="35"/>
      <c r="P178" s="33"/>
      <c r="Q178" s="42" t="s">
        <v>180</v>
      </c>
      <c r="R178" s="33"/>
      <c r="S178" s="13"/>
      <c r="T178" s="33"/>
    </row>
    <row r="179" spans="1:28" s="1" customFormat="1" ht="12.6" thickBot="1">
      <c r="A179" s="146">
        <v>165</v>
      </c>
      <c r="B179" s="147">
        <f ca="1">Elec_Est!B1053</f>
        <v>0</v>
      </c>
      <c r="C179" s="148"/>
      <c r="D179" s="149" t="s">
        <v>797</v>
      </c>
      <c r="E179" s="150"/>
      <c r="F179" s="150"/>
      <c r="G179" s="151"/>
      <c r="H179" s="151"/>
      <c r="I179" s="152"/>
      <c r="J179" s="151"/>
      <c r="K179" s="153" t="s">
        <v>181</v>
      </c>
      <c r="L179" s="154" t="s">
        <v>181</v>
      </c>
      <c r="M179" s="154"/>
      <c r="N179" s="154"/>
      <c r="O179" s="154"/>
      <c r="P179" s="154"/>
      <c r="Q179" s="155">
        <f ca="1">B179/A179</f>
        <v>0</v>
      </c>
      <c r="R179" s="841">
        <f ca="1">IF($B179=0,0,IF($S$1="R",ROUND(R187/$B179,2),R187/$B179))</f>
        <v>0</v>
      </c>
      <c r="S179" s="156"/>
      <c r="T179" s="843">
        <f ca="1">IF($B179=0,0,IF($S$1="R",ROUND(T187/$B179,2),T187/$B179))</f>
        <v>0</v>
      </c>
    </row>
    <row r="180" spans="1:28" s="1" customFormat="1" ht="13.8" thickTop="1">
      <c r="A180" s="44"/>
      <c r="B180" s="3"/>
      <c r="C180" s="3"/>
      <c r="D180" s="157" t="s">
        <v>182</v>
      </c>
      <c r="E180" s="3"/>
      <c r="F180" s="3"/>
      <c r="G180" s="3"/>
      <c r="H180" s="3"/>
      <c r="I180" s="3"/>
      <c r="J180" s="3"/>
      <c r="K180" s="3"/>
      <c r="L180" s="3"/>
      <c r="M180" s="3"/>
      <c r="N180" s="3"/>
      <c r="O180" s="158"/>
      <c r="P180" s="3"/>
      <c r="Q180" s="3"/>
      <c r="R180" s="3"/>
      <c r="S180" s="3"/>
      <c r="T180" s="3"/>
    </row>
    <row r="181" spans="1:28" s="730" customFormat="1">
      <c r="A181" s="844">
        <f ca="1">$Q$179 *(165)</f>
        <v>0</v>
      </c>
      <c r="B181" s="730" t="s">
        <v>326</v>
      </c>
      <c r="D181" s="730" t="s">
        <v>1063</v>
      </c>
      <c r="F181" s="730" t="s">
        <v>1064</v>
      </c>
      <c r="G181" s="731" t="s">
        <v>812</v>
      </c>
      <c r="H181" s="732">
        <v>616</v>
      </c>
      <c r="I181" s="730" t="s">
        <v>561</v>
      </c>
      <c r="J181" s="730" t="s">
        <v>813</v>
      </c>
      <c r="O181" s="733">
        <v>2</v>
      </c>
      <c r="P181" s="734">
        <v>40767</v>
      </c>
      <c r="Q181" s="735">
        <v>63.55</v>
      </c>
      <c r="R181" s="736">
        <f t="shared" ref="R181:R186" ca="1" si="22">$A181*Q181</f>
        <v>0</v>
      </c>
      <c r="S181" s="735">
        <v>0.22</v>
      </c>
      <c r="T181" s="737">
        <f t="shared" ref="T181:T186" ca="1" si="23">$A181*S181*$T$1</f>
        <v>0</v>
      </c>
    </row>
    <row r="182" spans="1:28" s="730" customFormat="1">
      <c r="A182" s="840">
        <f ca="1">$Q$179 *(165)</f>
        <v>0</v>
      </c>
      <c r="B182" s="730" t="s">
        <v>141</v>
      </c>
      <c r="D182" s="730" t="s">
        <v>815</v>
      </c>
      <c r="G182" s="731" t="s">
        <v>816</v>
      </c>
      <c r="H182" s="732">
        <v>875</v>
      </c>
      <c r="I182" s="730" t="s">
        <v>674</v>
      </c>
      <c r="K182" s="730" t="s">
        <v>817</v>
      </c>
      <c r="O182" s="733">
        <v>1</v>
      </c>
      <c r="P182" s="734">
        <v>34669</v>
      </c>
      <c r="Q182" s="735">
        <v>0.05</v>
      </c>
      <c r="R182" s="736">
        <f t="shared" ca="1" si="22"/>
        <v>0</v>
      </c>
      <c r="S182" s="735"/>
      <c r="T182" s="737">
        <f t="shared" ca="1" si="23"/>
        <v>0</v>
      </c>
    </row>
    <row r="183" spans="1:28" s="730" customFormat="1">
      <c r="A183" s="844">
        <f ca="1">$Q$179 *(6)</f>
        <v>0</v>
      </c>
      <c r="B183" s="730" t="s">
        <v>141</v>
      </c>
      <c r="D183" s="730" t="s">
        <v>818</v>
      </c>
      <c r="G183" s="731" t="s">
        <v>819</v>
      </c>
      <c r="H183" s="732">
        <v>620</v>
      </c>
      <c r="I183" s="730" t="s">
        <v>741</v>
      </c>
      <c r="O183" s="733">
        <v>2</v>
      </c>
      <c r="P183" s="734">
        <v>35431</v>
      </c>
      <c r="Q183" s="735">
        <v>24.53</v>
      </c>
      <c r="R183" s="736">
        <f t="shared" ca="1" si="22"/>
        <v>0</v>
      </c>
      <c r="S183" s="735">
        <v>0.70000000000000007</v>
      </c>
      <c r="T183" s="737">
        <f t="shared" ca="1" si="23"/>
        <v>0</v>
      </c>
    </row>
    <row r="184" spans="1:28" s="730" customFormat="1">
      <c r="A184" s="844">
        <f ca="1">$Q$179 *(6*4)</f>
        <v>0</v>
      </c>
      <c r="B184" s="730" t="s">
        <v>141</v>
      </c>
      <c r="D184" s="730" t="s">
        <v>820</v>
      </c>
      <c r="G184" s="731" t="s">
        <v>821</v>
      </c>
      <c r="H184" s="732">
        <v>620</v>
      </c>
      <c r="I184" s="730" t="s">
        <v>702</v>
      </c>
      <c r="O184" s="733">
        <v>2</v>
      </c>
      <c r="P184" s="734">
        <v>34669</v>
      </c>
      <c r="Q184" s="735">
        <v>0.7</v>
      </c>
      <c r="R184" s="736">
        <f t="shared" ca="1" si="22"/>
        <v>0</v>
      </c>
      <c r="S184" s="735">
        <v>0.13</v>
      </c>
      <c r="T184" s="737">
        <f t="shared" ca="1" si="23"/>
        <v>0</v>
      </c>
    </row>
    <row r="185" spans="1:28" s="730" customFormat="1">
      <c r="A185" s="844">
        <f ca="1">$Q$179 *(6)</f>
        <v>0</v>
      </c>
      <c r="B185" s="730" t="s">
        <v>326</v>
      </c>
      <c r="D185" s="730" t="s">
        <v>703</v>
      </c>
      <c r="G185" s="731" t="s">
        <v>704</v>
      </c>
      <c r="H185" s="732">
        <v>620</v>
      </c>
      <c r="I185" s="730" t="s">
        <v>674</v>
      </c>
      <c r="O185" s="733">
        <v>2</v>
      </c>
      <c r="P185" s="734">
        <v>38148</v>
      </c>
      <c r="Q185" s="735">
        <v>1.5</v>
      </c>
      <c r="R185" s="736">
        <f t="shared" ca="1" si="22"/>
        <v>0</v>
      </c>
      <c r="S185" s="735">
        <v>0.08</v>
      </c>
      <c r="T185" s="737">
        <f t="shared" ca="1" si="23"/>
        <v>0</v>
      </c>
    </row>
    <row r="186" spans="1:28" s="1" customFormat="1">
      <c r="A186" s="4"/>
      <c r="B186" s="3"/>
      <c r="C186" s="4" t="s">
        <v>183</v>
      </c>
      <c r="D186" s="3"/>
      <c r="E186" s="4"/>
      <c r="F186" s="2"/>
      <c r="G186" s="4"/>
      <c r="H186" s="4"/>
      <c r="I186" s="5"/>
      <c r="J186" s="4"/>
      <c r="K186" s="4"/>
      <c r="L186" s="4"/>
      <c r="M186" s="4"/>
      <c r="N186" s="4"/>
      <c r="O186" s="4"/>
      <c r="P186" s="4"/>
      <c r="Q186" s="5"/>
      <c r="R186" s="159">
        <f t="shared" si="22"/>
        <v>0</v>
      </c>
      <c r="S186" s="5"/>
      <c r="T186" s="160">
        <f t="shared" si="23"/>
        <v>0</v>
      </c>
    </row>
    <row r="187" spans="1:28" s="1" customFormat="1" ht="12.6" thickBot="1">
      <c r="A187" s="46" t="s">
        <v>145</v>
      </c>
      <c r="B187" s="47">
        <f ca="1">(R187+T187)-SUM(R180:R186,T180:T186)</f>
        <v>0</v>
      </c>
      <c r="C187" s="48"/>
      <c r="D187" s="161" t="s">
        <v>184</v>
      </c>
      <c r="E187" s="545">
        <f ca="1">IF($B179=0,0,ROUND(ROUND(($R187*$S$2+($T187*$T$2))/$B179, 2)*$C$2,2))</f>
        <v>0</v>
      </c>
      <c r="F187" s="546">
        <f ca="1">ROUND($B179*$E187,2)</f>
        <v>0</v>
      </c>
      <c r="G187" s="48"/>
      <c r="H187" s="48"/>
      <c r="I187" s="49"/>
      <c r="J187" s="48"/>
      <c r="K187" s="162" t="s">
        <v>143</v>
      </c>
      <c r="L187" s="163" t="s">
        <v>143</v>
      </c>
      <c r="M187" s="163"/>
      <c r="N187" s="163"/>
      <c r="O187" s="163"/>
      <c r="P187" s="163"/>
      <c r="Q187" s="164"/>
      <c r="R187" s="165">
        <f ca="1">SUM(R180:R186)</f>
        <v>0</v>
      </c>
      <c r="S187" s="166"/>
      <c r="T187" s="165">
        <f ca="1">SUM(T180:T186)</f>
        <v>0</v>
      </c>
      <c r="U187" s="486"/>
      <c r="V187" s="486"/>
      <c r="W187" s="486"/>
      <c r="X187" s="486"/>
      <c r="Y187" s="486"/>
      <c r="Z187" s="486"/>
      <c r="AA187" s="486"/>
      <c r="AB187" s="486"/>
    </row>
    <row r="188" spans="1:28" s="1" customFormat="1" ht="12" thickTop="1">
      <c r="A188" s="33"/>
      <c r="B188" s="33"/>
      <c r="C188" s="33"/>
      <c r="D188" s="33"/>
      <c r="E188" s="33"/>
      <c r="F188" s="33"/>
      <c r="G188" s="33"/>
      <c r="H188" s="33"/>
      <c r="I188" s="33"/>
      <c r="J188" s="33"/>
      <c r="K188" s="33"/>
      <c r="L188" s="33"/>
      <c r="M188" s="33"/>
      <c r="N188" s="33"/>
      <c r="O188" s="35"/>
      <c r="P188" s="33"/>
      <c r="Q188" s="42" t="s">
        <v>180</v>
      </c>
      <c r="R188" s="33"/>
      <c r="S188" s="13"/>
      <c r="T188" s="33"/>
    </row>
    <row r="189" spans="1:28" s="1" customFormat="1" ht="12.6" thickBot="1">
      <c r="A189" s="146">
        <v>64</v>
      </c>
      <c r="B189" s="147">
        <f ca="1">Elec_Est!B1054</f>
        <v>0</v>
      </c>
      <c r="C189" s="148"/>
      <c r="D189" s="149" t="s">
        <v>798</v>
      </c>
      <c r="E189" s="150"/>
      <c r="F189" s="150"/>
      <c r="G189" s="151"/>
      <c r="H189" s="151"/>
      <c r="I189" s="152"/>
      <c r="J189" s="151"/>
      <c r="K189" s="153" t="s">
        <v>181</v>
      </c>
      <c r="L189" s="154" t="s">
        <v>181</v>
      </c>
      <c r="M189" s="154"/>
      <c r="N189" s="154"/>
      <c r="O189" s="154"/>
      <c r="P189" s="154"/>
      <c r="Q189" s="155">
        <f ca="1">B189/A189</f>
        <v>0</v>
      </c>
      <c r="R189" s="841">
        <f ca="1">IF($B189=0,0,IF($S$1="R",ROUND(R197/$B189,2),R197/$B189))</f>
        <v>0</v>
      </c>
      <c r="S189" s="156"/>
      <c r="T189" s="843">
        <f ca="1">IF($B189=0,0,IF($S$1="R",ROUND(T197/$B189,2),T197/$B189))</f>
        <v>0</v>
      </c>
    </row>
    <row r="190" spans="1:28" s="1" customFormat="1" ht="13.8" thickTop="1">
      <c r="A190" s="44"/>
      <c r="B190" s="3"/>
      <c r="C190" s="3"/>
      <c r="D190" s="157" t="s">
        <v>182</v>
      </c>
      <c r="E190" s="3"/>
      <c r="F190" s="3"/>
      <c r="G190" s="3"/>
      <c r="H190" s="3"/>
      <c r="I190" s="3"/>
      <c r="J190" s="3"/>
      <c r="K190" s="3"/>
      <c r="L190" s="3"/>
      <c r="M190" s="3"/>
      <c r="N190" s="3"/>
      <c r="O190" s="158"/>
      <c r="P190" s="3"/>
      <c r="Q190" s="3"/>
      <c r="R190" s="3"/>
      <c r="S190" s="3"/>
      <c r="T190" s="3"/>
    </row>
    <row r="191" spans="1:28" s="730" customFormat="1">
      <c r="A191" s="844">
        <f ca="1">$Q$189 *(64)</f>
        <v>0</v>
      </c>
      <c r="B191" s="730" t="s">
        <v>326</v>
      </c>
      <c r="D191" s="730" t="s">
        <v>824</v>
      </c>
      <c r="F191" s="730" t="s">
        <v>1064</v>
      </c>
      <c r="G191" s="731" t="s">
        <v>822</v>
      </c>
      <c r="H191" s="732">
        <v>616</v>
      </c>
      <c r="I191" s="730" t="s">
        <v>561</v>
      </c>
      <c r="J191" s="730" t="s">
        <v>823</v>
      </c>
      <c r="O191" s="733">
        <v>2</v>
      </c>
      <c r="P191" s="734">
        <v>40767</v>
      </c>
      <c r="Q191" s="735">
        <v>49.5</v>
      </c>
      <c r="R191" s="736">
        <f t="shared" ref="R191:R196" ca="1" si="24">$A191*Q191</f>
        <v>0</v>
      </c>
      <c r="S191" s="735">
        <v>0.2</v>
      </c>
      <c r="T191" s="737">
        <f t="shared" ref="T191:T196" ca="1" si="25">$A191*S191*$T$1</f>
        <v>0</v>
      </c>
    </row>
    <row r="192" spans="1:28" s="730" customFormat="1">
      <c r="A192" s="840">
        <f ca="1">$Q$189 *(64)</f>
        <v>0</v>
      </c>
      <c r="B192" s="730" t="s">
        <v>141</v>
      </c>
      <c r="D192" s="730" t="s">
        <v>815</v>
      </c>
      <c r="G192" s="731" t="s">
        <v>816</v>
      </c>
      <c r="H192" s="732">
        <v>875</v>
      </c>
      <c r="I192" s="730" t="s">
        <v>674</v>
      </c>
      <c r="K192" s="730" t="s">
        <v>817</v>
      </c>
      <c r="O192" s="733">
        <v>1</v>
      </c>
      <c r="P192" s="734">
        <v>34669</v>
      </c>
      <c r="Q192" s="735">
        <v>0.05</v>
      </c>
      <c r="R192" s="736">
        <f t="shared" ca="1" si="24"/>
        <v>0</v>
      </c>
      <c r="S192" s="735"/>
      <c r="T192" s="737">
        <f t="shared" ca="1" si="25"/>
        <v>0</v>
      </c>
    </row>
    <row r="193" spans="1:28" s="730" customFormat="1">
      <c r="A193" s="844">
        <f ca="1">$Q$189 *(4)</f>
        <v>0</v>
      </c>
      <c r="B193" s="730" t="s">
        <v>141</v>
      </c>
      <c r="D193" s="730" t="s">
        <v>825</v>
      </c>
      <c r="G193" s="731" t="s">
        <v>826</v>
      </c>
      <c r="H193" s="732">
        <v>620</v>
      </c>
      <c r="I193" s="730" t="s">
        <v>741</v>
      </c>
      <c r="O193" s="733">
        <v>2</v>
      </c>
      <c r="P193" s="734">
        <v>35431</v>
      </c>
      <c r="Q193" s="823">
        <v>22.36</v>
      </c>
      <c r="R193" s="736">
        <f t="shared" ca="1" si="24"/>
        <v>0</v>
      </c>
      <c r="S193" s="735">
        <v>0.6</v>
      </c>
      <c r="T193" s="737">
        <f t="shared" ca="1" si="25"/>
        <v>0</v>
      </c>
    </row>
    <row r="194" spans="1:28" s="730" customFormat="1">
      <c r="A194" s="844">
        <f ca="1">$Q$189 *(4*4)</f>
        <v>0</v>
      </c>
      <c r="B194" s="730" t="s">
        <v>141</v>
      </c>
      <c r="D194" s="730" t="s">
        <v>700</v>
      </c>
      <c r="G194" s="731" t="s">
        <v>701</v>
      </c>
      <c r="H194" s="732">
        <v>620</v>
      </c>
      <c r="I194" s="730" t="s">
        <v>702</v>
      </c>
      <c r="O194" s="733">
        <v>2</v>
      </c>
      <c r="P194" s="734">
        <v>34669</v>
      </c>
      <c r="Q194" s="823">
        <v>0.63</v>
      </c>
      <c r="R194" s="736">
        <f t="shared" ca="1" si="24"/>
        <v>0</v>
      </c>
      <c r="S194" s="735">
        <v>0.11</v>
      </c>
      <c r="T194" s="737">
        <f t="shared" ca="1" si="25"/>
        <v>0</v>
      </c>
    </row>
    <row r="195" spans="1:28" s="730" customFormat="1">
      <c r="A195" s="844">
        <f ca="1">$Q$189 *(4)</f>
        <v>0</v>
      </c>
      <c r="B195" s="730" t="s">
        <v>326</v>
      </c>
      <c r="D195" s="730" t="s">
        <v>703</v>
      </c>
      <c r="G195" s="731" t="s">
        <v>704</v>
      </c>
      <c r="H195" s="732">
        <v>620</v>
      </c>
      <c r="I195" s="730" t="s">
        <v>674</v>
      </c>
      <c r="O195" s="733">
        <v>2</v>
      </c>
      <c r="P195" s="734">
        <v>38148</v>
      </c>
      <c r="Q195" s="735">
        <v>1.5</v>
      </c>
      <c r="R195" s="736">
        <f t="shared" ca="1" si="24"/>
        <v>0</v>
      </c>
      <c r="S195" s="735">
        <v>0.08</v>
      </c>
      <c r="T195" s="737">
        <f t="shared" ca="1" si="25"/>
        <v>0</v>
      </c>
    </row>
    <row r="196" spans="1:28" s="1" customFormat="1">
      <c r="A196" s="4"/>
      <c r="B196" s="3"/>
      <c r="C196" s="4" t="s">
        <v>183</v>
      </c>
      <c r="D196" s="3"/>
      <c r="E196" s="4"/>
      <c r="F196" s="2"/>
      <c r="G196" s="4"/>
      <c r="H196" s="4"/>
      <c r="I196" s="5"/>
      <c r="J196" s="4"/>
      <c r="K196" s="4"/>
      <c r="L196" s="4"/>
      <c r="M196" s="4"/>
      <c r="N196" s="4"/>
      <c r="O196" s="4"/>
      <c r="P196" s="4"/>
      <c r="Q196" s="5"/>
      <c r="R196" s="159">
        <f t="shared" si="24"/>
        <v>0</v>
      </c>
      <c r="S196" s="5"/>
      <c r="T196" s="160">
        <f t="shared" si="25"/>
        <v>0</v>
      </c>
    </row>
    <row r="197" spans="1:28" s="1" customFormat="1" ht="12.6" thickBot="1">
      <c r="A197" s="46" t="s">
        <v>145</v>
      </c>
      <c r="B197" s="47">
        <f ca="1">(R197+T197)-SUM(R190:R196,T190:T196)</f>
        <v>0</v>
      </c>
      <c r="C197" s="48"/>
      <c r="D197" s="161" t="s">
        <v>184</v>
      </c>
      <c r="E197" s="545">
        <f ca="1">IF($B189=0,0,ROUND(ROUND(($R197*$S$2+($T197*$T$2))/$B189, 2)*$C$2,2))</f>
        <v>0</v>
      </c>
      <c r="F197" s="546">
        <f ca="1">ROUND($B189*$E197,2)</f>
        <v>0</v>
      </c>
      <c r="G197" s="48"/>
      <c r="H197" s="48"/>
      <c r="I197" s="49"/>
      <c r="J197" s="48"/>
      <c r="K197" s="162" t="s">
        <v>143</v>
      </c>
      <c r="L197" s="163" t="s">
        <v>143</v>
      </c>
      <c r="M197" s="163"/>
      <c r="N197" s="163"/>
      <c r="O197" s="163"/>
      <c r="P197" s="163"/>
      <c r="Q197" s="164"/>
      <c r="R197" s="165">
        <f ca="1">SUM(R190:R196)</f>
        <v>0</v>
      </c>
      <c r="S197" s="166"/>
      <c r="T197" s="165">
        <f ca="1">SUM(T190:T196)</f>
        <v>0</v>
      </c>
      <c r="U197" s="486"/>
      <c r="V197" s="486"/>
      <c r="W197" s="486"/>
      <c r="X197" s="486"/>
      <c r="Y197" s="486"/>
      <c r="Z197" s="486"/>
      <c r="AA197" s="486"/>
      <c r="AB197" s="486"/>
    </row>
    <row r="198" spans="1:28" s="1" customFormat="1" ht="12" thickTop="1">
      <c r="A198" s="33"/>
      <c r="B198" s="33"/>
      <c r="C198" s="33"/>
      <c r="D198" s="33"/>
      <c r="E198" s="33"/>
      <c r="F198" s="33"/>
      <c r="G198" s="33"/>
      <c r="H198" s="33"/>
      <c r="I198" s="33"/>
      <c r="J198" s="33"/>
      <c r="K198" s="33"/>
      <c r="L198" s="33"/>
      <c r="M198" s="33"/>
      <c r="N198" s="33"/>
      <c r="O198" s="35"/>
      <c r="P198" s="33"/>
      <c r="Q198" s="42" t="s">
        <v>180</v>
      </c>
      <c r="R198" s="33"/>
      <c r="S198" s="13"/>
      <c r="T198" s="33"/>
    </row>
    <row r="199" spans="1:28" s="1" customFormat="1" ht="12.6" thickBot="1">
      <c r="A199" s="146">
        <v>171</v>
      </c>
      <c r="B199" s="147">
        <f ca="1">Elec_Est!B1055</f>
        <v>0</v>
      </c>
      <c r="C199" s="148"/>
      <c r="D199" s="149" t="s">
        <v>799</v>
      </c>
      <c r="E199" s="150"/>
      <c r="F199" s="150"/>
      <c r="G199" s="151"/>
      <c r="H199" s="151"/>
      <c r="I199" s="152"/>
      <c r="J199" s="151"/>
      <c r="K199" s="153" t="s">
        <v>181</v>
      </c>
      <c r="L199" s="154" t="s">
        <v>181</v>
      </c>
      <c r="M199" s="154"/>
      <c r="N199" s="154"/>
      <c r="O199" s="154"/>
      <c r="P199" s="154"/>
      <c r="Q199" s="155">
        <f ca="1">B199/A199</f>
        <v>0</v>
      </c>
      <c r="R199" s="841">
        <f ca="1">IF($B199=0,0,IF($S$1="R",ROUND(R208/$B199,2),R208/$B199))</f>
        <v>0</v>
      </c>
      <c r="S199" s="156"/>
      <c r="T199" s="843">
        <f ca="1">IF($B199=0,0,IF($S$1="R",ROUND(T208/$B199,2),T208/$B199))</f>
        <v>0</v>
      </c>
    </row>
    <row r="200" spans="1:28" s="1" customFormat="1" ht="13.8" thickTop="1">
      <c r="A200" s="44"/>
      <c r="B200" s="3"/>
      <c r="C200" s="3"/>
      <c r="D200" s="157" t="s">
        <v>182</v>
      </c>
      <c r="E200" s="3"/>
      <c r="F200" s="3"/>
      <c r="G200" s="3"/>
      <c r="H200" s="3"/>
      <c r="I200" s="3"/>
      <c r="J200" s="3"/>
      <c r="K200" s="3"/>
      <c r="L200" s="3"/>
      <c r="M200" s="3"/>
      <c r="N200" s="3"/>
      <c r="O200" s="158"/>
      <c r="P200" s="3"/>
      <c r="Q200" s="3"/>
      <c r="R200" s="3"/>
      <c r="S200" s="3"/>
      <c r="T200" s="3"/>
    </row>
    <row r="201" spans="1:28" s="730" customFormat="1">
      <c r="A201" s="844">
        <f ca="1">$Q$199 *(171)</f>
        <v>0</v>
      </c>
      <c r="B201" s="730" t="s">
        <v>326</v>
      </c>
      <c r="D201" s="730" t="s">
        <v>827</v>
      </c>
      <c r="F201" s="730" t="s">
        <v>1064</v>
      </c>
      <c r="G201" s="731" t="s">
        <v>828</v>
      </c>
      <c r="H201" s="732">
        <v>616</v>
      </c>
      <c r="I201" s="730" t="s">
        <v>561</v>
      </c>
      <c r="J201" s="730" t="s">
        <v>829</v>
      </c>
      <c r="O201" s="733">
        <v>2</v>
      </c>
      <c r="P201" s="734">
        <v>40767</v>
      </c>
      <c r="Q201" s="735">
        <v>44.9</v>
      </c>
      <c r="R201" s="736">
        <f t="shared" ref="R201:R206" ca="1" si="26">$A201*Q201</f>
        <v>0</v>
      </c>
      <c r="S201" s="735">
        <v>0.18</v>
      </c>
      <c r="T201" s="737">
        <f t="shared" ref="T201:T206" ca="1" si="27">$A201*S201*$T$1</f>
        <v>0</v>
      </c>
    </row>
    <row r="202" spans="1:28" s="730" customFormat="1">
      <c r="A202" s="840">
        <f ca="1">$Q$199 *(171)</f>
        <v>0</v>
      </c>
      <c r="B202" s="730" t="s">
        <v>141</v>
      </c>
      <c r="D202" s="730" t="s">
        <v>815</v>
      </c>
      <c r="G202" s="731" t="s">
        <v>816</v>
      </c>
      <c r="H202" s="732">
        <v>875</v>
      </c>
      <c r="I202" s="730" t="s">
        <v>674</v>
      </c>
      <c r="K202" s="730" t="s">
        <v>817</v>
      </c>
      <c r="O202" s="733">
        <v>1</v>
      </c>
      <c r="P202" s="734">
        <v>34669</v>
      </c>
      <c r="Q202" s="735">
        <v>0.05</v>
      </c>
      <c r="R202" s="736">
        <f t="shared" ca="1" si="26"/>
        <v>0</v>
      </c>
      <c r="S202" s="735"/>
      <c r="T202" s="737">
        <f t="shared" ca="1" si="27"/>
        <v>0</v>
      </c>
    </row>
    <row r="203" spans="1:28" s="730" customFormat="1">
      <c r="A203" s="844">
        <f ca="1">$Q$199 *(8)</f>
        <v>0</v>
      </c>
      <c r="B203" s="730" t="s">
        <v>141</v>
      </c>
      <c r="D203" s="730" t="s">
        <v>830</v>
      </c>
      <c r="G203" s="731" t="s">
        <v>831</v>
      </c>
      <c r="H203" s="732">
        <v>620</v>
      </c>
      <c r="I203" s="730" t="s">
        <v>741</v>
      </c>
      <c r="O203" s="733">
        <v>2</v>
      </c>
      <c r="P203" s="734">
        <v>35431</v>
      </c>
      <c r="Q203" s="823">
        <v>16.420000000000002</v>
      </c>
      <c r="R203" s="736">
        <f t="shared" ca="1" si="26"/>
        <v>0</v>
      </c>
      <c r="S203" s="735">
        <v>0.5</v>
      </c>
      <c r="T203" s="737">
        <f t="shared" ca="1" si="27"/>
        <v>0</v>
      </c>
    </row>
    <row r="204" spans="1:28" s="730" customFormat="1">
      <c r="A204" s="844">
        <f ca="1">$Q$199 *(8*5)</f>
        <v>0</v>
      </c>
      <c r="B204" s="730" t="s">
        <v>141</v>
      </c>
      <c r="D204" s="730" t="s">
        <v>832</v>
      </c>
      <c r="G204" s="731" t="s">
        <v>833</v>
      </c>
      <c r="H204" s="732">
        <v>620</v>
      </c>
      <c r="I204" s="730" t="s">
        <v>702</v>
      </c>
      <c r="O204" s="733">
        <v>2</v>
      </c>
      <c r="P204" s="734">
        <v>34669</v>
      </c>
      <c r="Q204" s="823">
        <v>0.47</v>
      </c>
      <c r="R204" s="736">
        <f t="shared" ca="1" si="26"/>
        <v>0</v>
      </c>
      <c r="S204" s="735">
        <v>0.1</v>
      </c>
      <c r="T204" s="737">
        <f t="shared" ca="1" si="27"/>
        <v>0</v>
      </c>
    </row>
    <row r="205" spans="1:28" s="730" customFormat="1">
      <c r="A205" s="844">
        <f ca="1">$Q$199 *(8)</f>
        <v>0</v>
      </c>
      <c r="B205" s="730" t="s">
        <v>326</v>
      </c>
      <c r="D205" s="730" t="s">
        <v>703</v>
      </c>
      <c r="G205" s="731" t="s">
        <v>704</v>
      </c>
      <c r="H205" s="732">
        <v>620</v>
      </c>
      <c r="I205" s="730" t="s">
        <v>674</v>
      </c>
      <c r="O205" s="733">
        <v>2</v>
      </c>
      <c r="P205" s="734">
        <v>38148</v>
      </c>
      <c r="Q205" s="735">
        <v>1.9</v>
      </c>
      <c r="R205" s="736">
        <f t="shared" ca="1" si="26"/>
        <v>0</v>
      </c>
      <c r="S205" s="735">
        <v>0.08</v>
      </c>
      <c r="T205" s="737">
        <f t="shared" ca="1" si="27"/>
        <v>0</v>
      </c>
    </row>
    <row r="206" spans="1:28" s="730" customFormat="1">
      <c r="A206" s="844">
        <f ca="1">$Q$199 *(8)</f>
        <v>0</v>
      </c>
      <c r="B206" s="730" t="s">
        <v>141</v>
      </c>
      <c r="D206" s="730" t="s">
        <v>1039</v>
      </c>
      <c r="F206" s="730" t="s">
        <v>1065</v>
      </c>
      <c r="G206" s="731" t="s">
        <v>1040</v>
      </c>
      <c r="H206" s="732">
        <v>900</v>
      </c>
      <c r="I206" s="730" t="s">
        <v>686</v>
      </c>
      <c r="O206" s="733">
        <v>1</v>
      </c>
      <c r="P206" s="734"/>
      <c r="Q206" s="735"/>
      <c r="R206" s="736">
        <f t="shared" ca="1" si="26"/>
        <v>0</v>
      </c>
      <c r="S206" s="735">
        <v>1</v>
      </c>
      <c r="T206" s="737">
        <f t="shared" ca="1" si="27"/>
        <v>0</v>
      </c>
    </row>
    <row r="207" spans="1:28" s="1" customFormat="1">
      <c r="A207" s="4"/>
      <c r="B207" s="3"/>
      <c r="C207" s="4" t="s">
        <v>183</v>
      </c>
      <c r="D207" s="3"/>
      <c r="E207" s="4"/>
      <c r="F207" s="2"/>
      <c r="G207" s="4"/>
      <c r="H207" s="4"/>
      <c r="I207" s="5"/>
      <c r="J207" s="4"/>
      <c r="K207" s="4"/>
      <c r="L207" s="4"/>
      <c r="M207" s="4"/>
      <c r="N207" s="4"/>
      <c r="O207" s="4"/>
      <c r="P207" s="4"/>
      <c r="Q207" s="5"/>
      <c r="R207" s="159">
        <f>$A207*Q207</f>
        <v>0</v>
      </c>
      <c r="S207" s="5"/>
      <c r="T207" s="160">
        <f>$A207*S207*$T$1</f>
        <v>0</v>
      </c>
    </row>
    <row r="208" spans="1:28" s="1" customFormat="1" ht="12.6" thickBot="1">
      <c r="A208" s="46" t="s">
        <v>145</v>
      </c>
      <c r="B208" s="47">
        <f ca="1">(R208+T208)-SUM(R200:R207,T200:T207)</f>
        <v>0</v>
      </c>
      <c r="C208" s="48"/>
      <c r="D208" s="161" t="s">
        <v>184</v>
      </c>
      <c r="E208" s="545">
        <f ca="1">IF($B199=0,0,ROUND(ROUND(($R208*$S$2+($T208*$T$2))/$B199, 2)*$C$2,2))</f>
        <v>0</v>
      </c>
      <c r="F208" s="546">
        <f ca="1">ROUND($B199*$E208,2)</f>
        <v>0</v>
      </c>
      <c r="G208" s="48"/>
      <c r="H208" s="48"/>
      <c r="I208" s="49"/>
      <c r="J208" s="48"/>
      <c r="K208" s="162" t="s">
        <v>143</v>
      </c>
      <c r="L208" s="163" t="s">
        <v>143</v>
      </c>
      <c r="M208" s="163"/>
      <c r="N208" s="163"/>
      <c r="O208" s="163"/>
      <c r="P208" s="163"/>
      <c r="Q208" s="164"/>
      <c r="R208" s="165">
        <f ca="1">SUM(R200:R207)</f>
        <v>0</v>
      </c>
      <c r="S208" s="166"/>
      <c r="T208" s="165">
        <f ca="1">SUM(T200:T207)</f>
        <v>0</v>
      </c>
      <c r="U208" s="486"/>
      <c r="V208" s="486"/>
      <c r="W208" s="486"/>
      <c r="X208" s="486"/>
      <c r="Y208" s="486"/>
      <c r="Z208" s="486"/>
      <c r="AA208" s="486"/>
      <c r="AB208" s="486"/>
    </row>
    <row r="209" spans="1:28" s="1" customFormat="1" ht="12" thickTop="1">
      <c r="A209" s="33"/>
      <c r="B209" s="33"/>
      <c r="C209" s="33"/>
      <c r="D209" s="33"/>
      <c r="E209" s="33"/>
      <c r="F209" s="33"/>
      <c r="G209" s="33"/>
      <c r="H209" s="33"/>
      <c r="I209" s="33"/>
      <c r="J209" s="33"/>
      <c r="K209" s="33"/>
      <c r="L209" s="33"/>
      <c r="M209" s="33"/>
      <c r="N209" s="33"/>
      <c r="O209" s="35"/>
      <c r="P209" s="33"/>
      <c r="Q209" s="42" t="s">
        <v>180</v>
      </c>
      <c r="R209" s="33"/>
      <c r="S209" s="13"/>
      <c r="T209" s="33"/>
    </row>
    <row r="210" spans="1:28" s="1" customFormat="1" ht="12.6" thickBot="1">
      <c r="A210" s="146">
        <v>20</v>
      </c>
      <c r="B210" s="147">
        <f ca="1">Elec_Est!B1056</f>
        <v>0</v>
      </c>
      <c r="C210" s="148"/>
      <c r="D210" s="149" t="s">
        <v>800</v>
      </c>
      <c r="E210" s="150"/>
      <c r="F210" s="150"/>
      <c r="G210" s="151"/>
      <c r="H210" s="151"/>
      <c r="I210" s="152"/>
      <c r="J210" s="151"/>
      <c r="K210" s="153" t="s">
        <v>181</v>
      </c>
      <c r="L210" s="154" t="s">
        <v>181</v>
      </c>
      <c r="M210" s="154"/>
      <c r="N210" s="154"/>
      <c r="O210" s="154"/>
      <c r="P210" s="154"/>
      <c r="Q210" s="155">
        <f ca="1">B210/A210</f>
        <v>0</v>
      </c>
      <c r="R210" s="841">
        <f ca="1">IF($B210=0,0,IF($S$1="R",ROUND(R218/$B210,2),R218/$B210))</f>
        <v>0</v>
      </c>
      <c r="S210" s="156"/>
      <c r="T210" s="843">
        <f ca="1">IF($B210=0,0,IF($S$1="R",ROUND(T218/$B210,2),T218/$B210))</f>
        <v>0</v>
      </c>
    </row>
    <row r="211" spans="1:28" s="1" customFormat="1" ht="13.8" thickTop="1">
      <c r="A211" s="44"/>
      <c r="B211" s="3"/>
      <c r="C211" s="3"/>
      <c r="D211" s="157" t="s">
        <v>182</v>
      </c>
      <c r="E211" s="3"/>
      <c r="F211" s="3"/>
      <c r="G211" s="3"/>
      <c r="H211" s="3"/>
      <c r="I211" s="3"/>
      <c r="J211" s="3"/>
      <c r="K211" s="3"/>
      <c r="L211" s="3"/>
      <c r="M211" s="3"/>
      <c r="N211" s="3"/>
      <c r="O211" s="158"/>
      <c r="P211" s="3"/>
      <c r="Q211" s="3"/>
      <c r="R211" s="3"/>
      <c r="S211" s="3"/>
      <c r="T211" s="3"/>
    </row>
    <row r="212" spans="1:28" s="730" customFormat="1">
      <c r="A212" s="844">
        <f ca="1">$Q$210 *(20)</f>
        <v>0</v>
      </c>
      <c r="B212" s="730" t="s">
        <v>326</v>
      </c>
      <c r="D212" s="730" t="s">
        <v>836</v>
      </c>
      <c r="F212" s="730" t="s">
        <v>1064</v>
      </c>
      <c r="G212" s="731" t="s">
        <v>834</v>
      </c>
      <c r="H212" s="732">
        <v>616</v>
      </c>
      <c r="I212" s="730" t="s">
        <v>561</v>
      </c>
      <c r="J212" s="730" t="s">
        <v>835</v>
      </c>
      <c r="O212" s="733">
        <v>2</v>
      </c>
      <c r="P212" s="734">
        <v>40767</v>
      </c>
      <c r="Q212" s="735">
        <v>30.9</v>
      </c>
      <c r="R212" s="736">
        <f t="shared" ref="R212:R217" ca="1" si="28">$A212*Q212</f>
        <v>0</v>
      </c>
      <c r="S212" s="735">
        <v>0.16</v>
      </c>
      <c r="T212" s="737">
        <f t="shared" ref="T212:T217" ca="1" si="29">$A212*S212*$T$1</f>
        <v>0</v>
      </c>
    </row>
    <row r="213" spans="1:28" s="730" customFormat="1">
      <c r="A213" s="840">
        <f ca="1">$Q$210 *(20)</f>
        <v>0</v>
      </c>
      <c r="B213" s="730" t="s">
        <v>141</v>
      </c>
      <c r="D213" s="730" t="s">
        <v>815</v>
      </c>
      <c r="G213" s="731" t="s">
        <v>816</v>
      </c>
      <c r="H213" s="732">
        <v>875</v>
      </c>
      <c r="I213" s="730" t="s">
        <v>674</v>
      </c>
      <c r="K213" s="730" t="s">
        <v>817</v>
      </c>
      <c r="O213" s="733">
        <v>1</v>
      </c>
      <c r="P213" s="734">
        <v>34669</v>
      </c>
      <c r="Q213" s="735">
        <v>0.05</v>
      </c>
      <c r="R213" s="736">
        <f t="shared" ca="1" si="28"/>
        <v>0</v>
      </c>
      <c r="S213" s="735"/>
      <c r="T213" s="737">
        <f t="shared" ca="1" si="29"/>
        <v>0</v>
      </c>
    </row>
    <row r="214" spans="1:28" s="730" customFormat="1">
      <c r="A214" s="844">
        <f ca="1">$Q$210 *(4)</f>
        <v>0</v>
      </c>
      <c r="B214" s="730" t="s">
        <v>141</v>
      </c>
      <c r="D214" s="730" t="s">
        <v>830</v>
      </c>
      <c r="G214" s="731" t="s">
        <v>831</v>
      </c>
      <c r="H214" s="732">
        <v>620</v>
      </c>
      <c r="I214" s="730" t="s">
        <v>741</v>
      </c>
      <c r="O214" s="733">
        <v>2</v>
      </c>
      <c r="P214" s="734">
        <v>35431</v>
      </c>
      <c r="Q214" s="735">
        <v>16.420000000000002</v>
      </c>
      <c r="R214" s="736">
        <f t="shared" ca="1" si="28"/>
        <v>0</v>
      </c>
      <c r="S214" s="735">
        <v>0.5</v>
      </c>
      <c r="T214" s="737">
        <f t="shared" ca="1" si="29"/>
        <v>0</v>
      </c>
    </row>
    <row r="215" spans="1:28" s="730" customFormat="1">
      <c r="A215" s="844">
        <f ca="1">$Q$210 *(4*5)</f>
        <v>0</v>
      </c>
      <c r="B215" s="730" t="s">
        <v>141</v>
      </c>
      <c r="D215" s="730" t="s">
        <v>837</v>
      </c>
      <c r="G215" s="731" t="s">
        <v>838</v>
      </c>
      <c r="H215" s="732">
        <v>620</v>
      </c>
      <c r="I215" s="730" t="s">
        <v>702</v>
      </c>
      <c r="O215" s="733">
        <v>2</v>
      </c>
      <c r="P215" s="734">
        <v>34669</v>
      </c>
      <c r="Q215" s="735">
        <v>0.28000000000000003</v>
      </c>
      <c r="R215" s="736">
        <f t="shared" ca="1" si="28"/>
        <v>0</v>
      </c>
      <c r="S215" s="735">
        <v>0.1</v>
      </c>
      <c r="T215" s="737">
        <f t="shared" ca="1" si="29"/>
        <v>0</v>
      </c>
    </row>
    <row r="216" spans="1:28" s="730" customFormat="1">
      <c r="A216" s="844">
        <f ca="1">$Q$210 *(4)</f>
        <v>0</v>
      </c>
      <c r="B216" s="730" t="s">
        <v>326</v>
      </c>
      <c r="D216" s="730" t="s">
        <v>703</v>
      </c>
      <c r="G216" s="731" t="s">
        <v>704</v>
      </c>
      <c r="H216" s="732">
        <v>620</v>
      </c>
      <c r="I216" s="730" t="s">
        <v>674</v>
      </c>
      <c r="O216" s="733">
        <v>2</v>
      </c>
      <c r="P216" s="734">
        <v>38148</v>
      </c>
      <c r="Q216" s="735">
        <v>1.5</v>
      </c>
      <c r="R216" s="736">
        <f t="shared" ca="1" si="28"/>
        <v>0</v>
      </c>
      <c r="S216" s="735">
        <v>0.08</v>
      </c>
      <c r="T216" s="737">
        <f t="shared" ca="1" si="29"/>
        <v>0</v>
      </c>
    </row>
    <row r="217" spans="1:28" s="1" customFormat="1">
      <c r="A217" s="4"/>
      <c r="B217" s="3"/>
      <c r="C217" s="4" t="s">
        <v>183</v>
      </c>
      <c r="D217" s="3"/>
      <c r="E217" s="4"/>
      <c r="F217" s="2"/>
      <c r="G217" s="4"/>
      <c r="H217" s="4"/>
      <c r="I217" s="5"/>
      <c r="J217" s="4"/>
      <c r="K217" s="4"/>
      <c r="L217" s="4"/>
      <c r="M217" s="4"/>
      <c r="N217" s="4"/>
      <c r="O217" s="4"/>
      <c r="P217" s="4"/>
      <c r="Q217" s="5"/>
      <c r="R217" s="159">
        <f t="shared" si="28"/>
        <v>0</v>
      </c>
      <c r="S217" s="5"/>
      <c r="T217" s="160">
        <f t="shared" si="29"/>
        <v>0</v>
      </c>
    </row>
    <row r="218" spans="1:28" s="1" customFormat="1" ht="12.6" thickBot="1">
      <c r="A218" s="46" t="s">
        <v>145</v>
      </c>
      <c r="B218" s="47">
        <f ca="1">(R218+T218)-SUM(R211:R217,T211:T217)</f>
        <v>0</v>
      </c>
      <c r="C218" s="48"/>
      <c r="D218" s="161" t="s">
        <v>184</v>
      </c>
      <c r="E218" s="545">
        <f ca="1">IF($B210=0,0,ROUND(ROUND(($R218*$S$2+($T218*$T$2))/$B210, 2)*$C$2,2))</f>
        <v>0</v>
      </c>
      <c r="F218" s="546">
        <f ca="1">ROUND($B210*$E218,2)</f>
        <v>0</v>
      </c>
      <c r="G218" s="48"/>
      <c r="H218" s="48"/>
      <c r="I218" s="49"/>
      <c r="J218" s="48"/>
      <c r="K218" s="162" t="s">
        <v>143</v>
      </c>
      <c r="L218" s="163" t="s">
        <v>143</v>
      </c>
      <c r="M218" s="163"/>
      <c r="N218" s="163"/>
      <c r="O218" s="163"/>
      <c r="P218" s="163"/>
      <c r="Q218" s="164"/>
      <c r="R218" s="165">
        <f ca="1">SUM(R211:R217)</f>
        <v>0</v>
      </c>
      <c r="S218" s="166"/>
      <c r="T218" s="165">
        <f ca="1">SUM(T211:T217)</f>
        <v>0</v>
      </c>
      <c r="U218" s="486"/>
      <c r="V218" s="486"/>
      <c r="W218" s="486"/>
      <c r="X218" s="486"/>
      <c r="Y218" s="486"/>
      <c r="Z218" s="486"/>
      <c r="AA218" s="486"/>
      <c r="AB218" s="486"/>
    </row>
    <row r="219" spans="1:28" s="1" customFormat="1" ht="12" thickTop="1">
      <c r="A219" s="33"/>
      <c r="B219" s="33"/>
      <c r="C219" s="33"/>
      <c r="D219" s="33"/>
      <c r="E219" s="33"/>
      <c r="F219" s="33"/>
      <c r="G219" s="33"/>
      <c r="H219" s="33"/>
      <c r="I219" s="33"/>
      <c r="J219" s="33"/>
      <c r="K219" s="33"/>
      <c r="L219" s="33"/>
      <c r="M219" s="33"/>
      <c r="N219" s="33"/>
      <c r="O219" s="35"/>
      <c r="P219" s="33"/>
      <c r="Q219" s="42" t="s">
        <v>180</v>
      </c>
      <c r="R219" s="33"/>
      <c r="S219" s="13"/>
      <c r="T219" s="33"/>
    </row>
    <row r="220" spans="1:28" s="1" customFormat="1" ht="12.6" thickBot="1">
      <c r="A220" s="146">
        <v>8</v>
      </c>
      <c r="B220" s="147">
        <f ca="1">Elec_Est!B1057</f>
        <v>0</v>
      </c>
      <c r="C220" s="148"/>
      <c r="D220" s="149" t="s">
        <v>801</v>
      </c>
      <c r="E220" s="150"/>
      <c r="F220" s="150"/>
      <c r="G220" s="151"/>
      <c r="H220" s="151"/>
      <c r="I220" s="152"/>
      <c r="J220" s="151"/>
      <c r="K220" s="153" t="s">
        <v>181</v>
      </c>
      <c r="L220" s="154" t="s">
        <v>181</v>
      </c>
      <c r="M220" s="154"/>
      <c r="N220" s="154"/>
      <c r="O220" s="154"/>
      <c r="P220" s="154"/>
      <c r="Q220" s="155">
        <f ca="1">B220/A220</f>
        <v>0</v>
      </c>
      <c r="R220" s="841">
        <f ca="1">IF($B220=0,0,IF($S$1="R",ROUND(R228/$B220,2),R228/$B220))</f>
        <v>0</v>
      </c>
      <c r="S220" s="156"/>
      <c r="T220" s="843">
        <f ca="1">IF($B220=0,0,IF($S$1="R",ROUND(T228/$B220,2),T228/$B220))</f>
        <v>0</v>
      </c>
    </row>
    <row r="221" spans="1:28" s="1" customFormat="1" ht="13.8" thickTop="1">
      <c r="A221" s="44"/>
      <c r="B221" s="3"/>
      <c r="C221" s="3"/>
      <c r="D221" s="157" t="s">
        <v>182</v>
      </c>
      <c r="E221" s="3"/>
      <c r="F221" s="3"/>
      <c r="G221" s="3"/>
      <c r="H221" s="3"/>
      <c r="I221" s="3"/>
      <c r="J221" s="3"/>
      <c r="K221" s="3"/>
      <c r="L221" s="3"/>
      <c r="M221" s="3"/>
      <c r="N221" s="3"/>
      <c r="O221" s="158"/>
      <c r="P221" s="3"/>
      <c r="Q221" s="3"/>
      <c r="R221" s="3"/>
      <c r="S221" s="3"/>
      <c r="T221" s="3"/>
    </row>
    <row r="222" spans="1:28" s="730" customFormat="1">
      <c r="A222" s="844">
        <f ca="1">$Q$220 *(8)</f>
        <v>0</v>
      </c>
      <c r="B222" s="730" t="s">
        <v>326</v>
      </c>
      <c r="D222" s="730" t="s">
        <v>841</v>
      </c>
      <c r="G222" s="731" t="s">
        <v>839</v>
      </c>
      <c r="H222" s="732">
        <v>616</v>
      </c>
      <c r="I222" s="730" t="s">
        <v>561</v>
      </c>
      <c r="J222" s="730" t="s">
        <v>840</v>
      </c>
      <c r="O222" s="733">
        <v>2</v>
      </c>
      <c r="P222" s="734">
        <v>40767</v>
      </c>
      <c r="Q222" s="735"/>
      <c r="R222" s="736">
        <f t="shared" ref="R222:R227" ca="1" si="30">$A222*Q222</f>
        <v>0</v>
      </c>
      <c r="S222" s="735">
        <v>0.14000000000000001</v>
      </c>
      <c r="T222" s="737">
        <f t="shared" ref="T222:T227" ca="1" si="31">$A222*S222*$T$1</f>
        <v>0</v>
      </c>
    </row>
    <row r="223" spans="1:28" s="730" customFormat="1">
      <c r="A223" s="840">
        <f ca="1">$Q$220 *(8)</f>
        <v>0</v>
      </c>
      <c r="B223" s="730" t="s">
        <v>141</v>
      </c>
      <c r="D223" s="730" t="s">
        <v>815</v>
      </c>
      <c r="G223" s="731" t="s">
        <v>816</v>
      </c>
      <c r="H223" s="732">
        <v>875</v>
      </c>
      <c r="I223" s="730" t="s">
        <v>674</v>
      </c>
      <c r="K223" s="730" t="s">
        <v>817</v>
      </c>
      <c r="O223" s="733">
        <v>1</v>
      </c>
      <c r="P223" s="734">
        <v>34669</v>
      </c>
      <c r="Q223" s="735">
        <v>0.05</v>
      </c>
      <c r="R223" s="736">
        <f t="shared" ca="1" si="30"/>
        <v>0</v>
      </c>
      <c r="S223" s="735"/>
      <c r="T223" s="737">
        <f t="shared" ca="1" si="31"/>
        <v>0</v>
      </c>
    </row>
    <row r="224" spans="1:28" s="730" customFormat="1">
      <c r="A224" s="844">
        <f ca="1">$Q$220 *(2)</f>
        <v>0</v>
      </c>
      <c r="B224" s="730" t="s">
        <v>141</v>
      </c>
      <c r="D224" s="730" t="s">
        <v>842</v>
      </c>
      <c r="G224" s="731" t="s">
        <v>843</v>
      </c>
      <c r="H224" s="732">
        <v>620</v>
      </c>
      <c r="I224" s="730" t="s">
        <v>741</v>
      </c>
      <c r="O224" s="733">
        <v>2</v>
      </c>
      <c r="P224" s="734">
        <v>35431</v>
      </c>
      <c r="Q224" s="823">
        <v>9.99</v>
      </c>
      <c r="R224" s="736">
        <f t="shared" ca="1" si="30"/>
        <v>0</v>
      </c>
      <c r="S224" s="735">
        <v>0.4</v>
      </c>
      <c r="T224" s="737">
        <f t="shared" ca="1" si="31"/>
        <v>0</v>
      </c>
    </row>
    <row r="225" spans="1:28" s="730" customFormat="1">
      <c r="A225" s="844">
        <f ca="1">$Q$220 *(10)</f>
        <v>0</v>
      </c>
      <c r="B225" s="730" t="s">
        <v>141</v>
      </c>
      <c r="D225" s="730" t="s">
        <v>844</v>
      </c>
      <c r="G225" s="731" t="s">
        <v>845</v>
      </c>
      <c r="H225" s="732">
        <v>620</v>
      </c>
      <c r="I225" s="730" t="s">
        <v>702</v>
      </c>
      <c r="O225" s="733">
        <v>2</v>
      </c>
      <c r="P225" s="734">
        <v>34669</v>
      </c>
      <c r="Q225" s="823">
        <v>0.21</v>
      </c>
      <c r="R225" s="736">
        <f t="shared" ca="1" si="30"/>
        <v>0</v>
      </c>
      <c r="S225" s="735">
        <v>0.09</v>
      </c>
      <c r="T225" s="737">
        <f t="shared" ca="1" si="31"/>
        <v>0</v>
      </c>
    </row>
    <row r="226" spans="1:28" s="730" customFormat="1">
      <c r="A226" s="844">
        <f ca="1">$Q$220 *(2)</f>
        <v>0</v>
      </c>
      <c r="B226" s="730" t="s">
        <v>326</v>
      </c>
      <c r="D226" s="730" t="s">
        <v>703</v>
      </c>
      <c r="G226" s="731" t="s">
        <v>704</v>
      </c>
      <c r="H226" s="732">
        <v>620</v>
      </c>
      <c r="I226" s="730" t="s">
        <v>674</v>
      </c>
      <c r="O226" s="733">
        <v>2</v>
      </c>
      <c r="P226" s="734">
        <v>38148</v>
      </c>
      <c r="Q226" s="735"/>
      <c r="R226" s="736">
        <f t="shared" ca="1" si="30"/>
        <v>0</v>
      </c>
      <c r="S226" s="735">
        <v>0.08</v>
      </c>
      <c r="T226" s="737">
        <f t="shared" ca="1" si="31"/>
        <v>0</v>
      </c>
    </row>
    <row r="227" spans="1:28" s="1" customFormat="1">
      <c r="A227" s="4"/>
      <c r="B227" s="3"/>
      <c r="C227" s="4" t="s">
        <v>183</v>
      </c>
      <c r="D227" s="3"/>
      <c r="E227" s="4"/>
      <c r="F227" s="2"/>
      <c r="G227" s="4"/>
      <c r="H227" s="4"/>
      <c r="I227" s="5"/>
      <c r="J227" s="4"/>
      <c r="K227" s="4"/>
      <c r="L227" s="4"/>
      <c r="M227" s="4"/>
      <c r="N227" s="4"/>
      <c r="O227" s="4"/>
      <c r="P227" s="4"/>
      <c r="Q227" s="5"/>
      <c r="R227" s="159">
        <f t="shared" si="30"/>
        <v>0</v>
      </c>
      <c r="S227" s="5"/>
      <c r="T227" s="160">
        <f t="shared" si="31"/>
        <v>0</v>
      </c>
    </row>
    <row r="228" spans="1:28" s="1" customFormat="1" ht="12.6" thickBot="1">
      <c r="A228" s="46" t="s">
        <v>145</v>
      </c>
      <c r="B228" s="47">
        <f ca="1">(R228+T228)-SUM(R221:R227,T221:T227)</f>
        <v>0</v>
      </c>
      <c r="C228" s="48"/>
      <c r="D228" s="161" t="s">
        <v>184</v>
      </c>
      <c r="E228" s="545">
        <f ca="1">IF($B220=0,0,ROUND(ROUND(($R228*$S$2+($T228*$T$2))/$B220, 2)*$C$2,2))</f>
        <v>0</v>
      </c>
      <c r="F228" s="546">
        <f ca="1">ROUND($B220*$E228,2)</f>
        <v>0</v>
      </c>
      <c r="G228" s="48"/>
      <c r="H228" s="48"/>
      <c r="I228" s="49"/>
      <c r="J228" s="48"/>
      <c r="K228" s="162" t="s">
        <v>143</v>
      </c>
      <c r="L228" s="163" t="s">
        <v>143</v>
      </c>
      <c r="M228" s="163"/>
      <c r="N228" s="163"/>
      <c r="O228" s="163"/>
      <c r="P228" s="163"/>
      <c r="Q228" s="164"/>
      <c r="R228" s="165">
        <f ca="1">SUM(R221:R227)</f>
        <v>0</v>
      </c>
      <c r="S228" s="166"/>
      <c r="T228" s="165">
        <f ca="1">SUM(T221:T227)</f>
        <v>0</v>
      </c>
      <c r="U228" s="486"/>
      <c r="V228" s="486"/>
      <c r="W228" s="486"/>
      <c r="X228" s="486"/>
      <c r="Y228" s="486"/>
      <c r="Z228" s="486"/>
      <c r="AA228" s="486"/>
      <c r="AB228" s="486"/>
    </row>
    <row r="229" spans="1:28" s="602" customFormat="1" ht="12" thickTop="1">
      <c r="A229" s="63"/>
      <c r="B229" s="63"/>
      <c r="C229" s="63"/>
      <c r="D229" s="63"/>
      <c r="E229" s="63"/>
      <c r="F229" s="63"/>
      <c r="G229" s="63"/>
      <c r="H229" s="63"/>
      <c r="I229" s="63"/>
      <c r="J229" s="63"/>
      <c r="K229" s="63"/>
      <c r="L229" s="63"/>
      <c r="M229" s="63"/>
      <c r="N229" s="63"/>
      <c r="O229" s="64"/>
      <c r="P229" s="63"/>
      <c r="Q229" s="42" t="s">
        <v>180</v>
      </c>
      <c r="R229" s="63"/>
      <c r="S229" s="13"/>
      <c r="T229" s="63"/>
    </row>
    <row r="230" spans="1:28" s="602" customFormat="1" ht="12" customHeight="1" thickBot="1">
      <c r="A230" s="824">
        <v>52</v>
      </c>
      <c r="B230" s="825">
        <f ca="1">Elec_Est!B1058</f>
        <v>0</v>
      </c>
      <c r="C230" s="826"/>
      <c r="D230" s="827" t="s">
        <v>802</v>
      </c>
      <c r="E230" s="828"/>
      <c r="F230" s="828"/>
      <c r="G230" s="676"/>
      <c r="H230" s="676"/>
      <c r="I230" s="829"/>
      <c r="J230" s="676"/>
      <c r="K230" s="826" t="s">
        <v>181</v>
      </c>
      <c r="L230" s="830" t="s">
        <v>181</v>
      </c>
      <c r="M230" s="830"/>
      <c r="N230" s="830"/>
      <c r="O230" s="830"/>
      <c r="P230" s="830"/>
      <c r="Q230" s="831">
        <f ca="1">B230/A230</f>
        <v>0</v>
      </c>
      <c r="R230" s="832">
        <f ca="1">IF($B230=0,0,IF($S$1="R",ROUND(R238/$B230,2),R238/$B230))</f>
        <v>0</v>
      </c>
      <c r="S230" s="833"/>
      <c r="T230" s="832">
        <f ca="1">IF($B230=0,0,IF($S$1="R",ROUND(T238/$B230,2),T238/$B230))</f>
        <v>0</v>
      </c>
    </row>
    <row r="231" spans="1:28" s="602" customFormat="1" ht="13.8" thickTop="1">
      <c r="A231" s="672"/>
      <c r="B231" s="3"/>
      <c r="C231" s="3"/>
      <c r="D231" s="157" t="s">
        <v>182</v>
      </c>
      <c r="E231" s="3"/>
      <c r="F231" s="3"/>
      <c r="G231" s="3"/>
      <c r="H231" s="3"/>
      <c r="I231" s="3"/>
      <c r="J231" s="3"/>
      <c r="K231" s="3"/>
      <c r="L231" s="3"/>
      <c r="M231" s="3"/>
      <c r="N231" s="3"/>
      <c r="O231" s="158"/>
      <c r="P231" s="3"/>
      <c r="Q231" s="3"/>
      <c r="R231" s="3"/>
      <c r="S231" s="3"/>
      <c r="T231" s="3"/>
    </row>
    <row r="232" spans="1:28" s="730" customFormat="1">
      <c r="A232" s="844">
        <f ca="1">$Q$230 *(52)</f>
        <v>0</v>
      </c>
      <c r="B232" s="730" t="s">
        <v>326</v>
      </c>
      <c r="D232" s="730" t="s">
        <v>852</v>
      </c>
      <c r="G232" s="731" t="s">
        <v>846</v>
      </c>
      <c r="H232" s="732">
        <v>616</v>
      </c>
      <c r="I232" s="730" t="s">
        <v>561</v>
      </c>
      <c r="J232" s="730" t="s">
        <v>847</v>
      </c>
      <c r="O232" s="733">
        <v>2</v>
      </c>
      <c r="P232" s="734">
        <v>40767</v>
      </c>
      <c r="Q232" s="735"/>
      <c r="R232" s="736">
        <f t="shared" ref="R232:R237" ca="1" si="32">$A232*Q232</f>
        <v>0</v>
      </c>
      <c r="S232" s="735">
        <v>0.09</v>
      </c>
      <c r="T232" s="737">
        <f t="shared" ref="T232:T237" ca="1" si="33">$A232*S232*$T$1</f>
        <v>0</v>
      </c>
    </row>
    <row r="233" spans="1:28" s="730" customFormat="1">
      <c r="A233" s="840">
        <f ca="1">$Q$230 *(52)</f>
        <v>0</v>
      </c>
      <c r="B233" s="730" t="s">
        <v>141</v>
      </c>
      <c r="D233" s="730" t="s">
        <v>815</v>
      </c>
      <c r="G233" s="731" t="s">
        <v>816</v>
      </c>
      <c r="H233" s="732">
        <v>875</v>
      </c>
      <c r="I233" s="730" t="s">
        <v>674</v>
      </c>
      <c r="K233" s="730" t="s">
        <v>817</v>
      </c>
      <c r="O233" s="733">
        <v>1</v>
      </c>
      <c r="P233" s="734">
        <v>34669</v>
      </c>
      <c r="Q233" s="735">
        <v>0.05</v>
      </c>
      <c r="R233" s="736">
        <f t="shared" ca="1" si="32"/>
        <v>0</v>
      </c>
      <c r="S233" s="735"/>
      <c r="T233" s="737">
        <f t="shared" ca="1" si="33"/>
        <v>0</v>
      </c>
    </row>
    <row r="234" spans="1:28" s="730" customFormat="1">
      <c r="A234" s="844">
        <f ca="1">$Q$230 *(2)</f>
        <v>0</v>
      </c>
      <c r="B234" s="730" t="s">
        <v>141</v>
      </c>
      <c r="D234" s="730" t="s">
        <v>848</v>
      </c>
      <c r="G234" s="731" t="s">
        <v>849</v>
      </c>
      <c r="H234" s="732">
        <v>620</v>
      </c>
      <c r="I234" s="730" t="s">
        <v>741</v>
      </c>
      <c r="O234" s="733">
        <v>2</v>
      </c>
      <c r="P234" s="734">
        <v>35431</v>
      </c>
      <c r="Q234" s="823">
        <v>7.66</v>
      </c>
      <c r="R234" s="736">
        <f t="shared" ca="1" si="32"/>
        <v>0</v>
      </c>
      <c r="S234" s="735">
        <v>0.4</v>
      </c>
      <c r="T234" s="737">
        <f t="shared" ca="1" si="33"/>
        <v>0</v>
      </c>
    </row>
    <row r="235" spans="1:28" s="730" customFormat="1">
      <c r="A235" s="844">
        <f ca="1">$Q$230 *(2)</f>
        <v>0</v>
      </c>
      <c r="B235" s="730" t="s">
        <v>326</v>
      </c>
      <c r="D235" s="730" t="s">
        <v>703</v>
      </c>
      <c r="G235" s="731" t="s">
        <v>704</v>
      </c>
      <c r="H235" s="732">
        <v>620</v>
      </c>
      <c r="I235" s="730" t="s">
        <v>674</v>
      </c>
      <c r="O235" s="733">
        <v>2</v>
      </c>
      <c r="P235" s="734">
        <v>38148</v>
      </c>
      <c r="Q235" s="735"/>
      <c r="R235" s="736">
        <f t="shared" ca="1" si="32"/>
        <v>0</v>
      </c>
      <c r="S235" s="735">
        <v>0.08</v>
      </c>
      <c r="T235" s="737">
        <f t="shared" ca="1" si="33"/>
        <v>0</v>
      </c>
    </row>
    <row r="236" spans="1:28" s="730" customFormat="1">
      <c r="A236" s="844">
        <f ca="1">$Q$230 *(10)</f>
        <v>0</v>
      </c>
      <c r="B236" s="730" t="s">
        <v>141</v>
      </c>
      <c r="D236" s="730" t="s">
        <v>850</v>
      </c>
      <c r="G236" s="731" t="s">
        <v>851</v>
      </c>
      <c r="H236" s="732">
        <v>620</v>
      </c>
      <c r="I236" s="730" t="s">
        <v>702</v>
      </c>
      <c r="O236" s="733">
        <v>2</v>
      </c>
      <c r="P236" s="734">
        <v>34669</v>
      </c>
      <c r="Q236" s="823">
        <v>0.14000000000000001</v>
      </c>
      <c r="R236" s="736">
        <f t="shared" ca="1" si="32"/>
        <v>0</v>
      </c>
      <c r="S236" s="735">
        <v>0.06</v>
      </c>
      <c r="T236" s="737">
        <f t="shared" ca="1" si="33"/>
        <v>0</v>
      </c>
    </row>
    <row r="237" spans="1:28" s="602" customFormat="1">
      <c r="A237" s="663"/>
      <c r="B237" s="3"/>
      <c r="C237" s="663" t="s">
        <v>183</v>
      </c>
      <c r="D237" s="3"/>
      <c r="E237" s="663"/>
      <c r="F237" s="664"/>
      <c r="G237" s="663"/>
      <c r="H237" s="663"/>
      <c r="I237" s="601"/>
      <c r="J237" s="663"/>
      <c r="K237" s="663"/>
      <c r="L237" s="663"/>
      <c r="M237" s="663"/>
      <c r="N237" s="663"/>
      <c r="O237" s="663"/>
      <c r="P237" s="663"/>
      <c r="Q237" s="601"/>
      <c r="R237" s="814">
        <f t="shared" si="32"/>
        <v>0</v>
      </c>
      <c r="S237" s="601"/>
      <c r="T237" s="681">
        <f t="shared" si="33"/>
        <v>0</v>
      </c>
    </row>
    <row r="238" spans="1:28" s="602" customFormat="1" ht="12.6" thickBot="1">
      <c r="A238" s="682" t="s">
        <v>145</v>
      </c>
      <c r="B238" s="683">
        <f>(R237+T237)</f>
        <v>0</v>
      </c>
      <c r="C238" s="684"/>
      <c r="D238" s="834" t="s">
        <v>184</v>
      </c>
      <c r="E238" s="545">
        <f ca="1">IF($B230=0,0,ROUND(ROUND(($R238*$S$2+($T238*$T$2))/$B230, 2)*$C$2,2))</f>
        <v>0</v>
      </c>
      <c r="F238" s="546">
        <f ca="1">ROUND($B230*$E238,2)</f>
        <v>0</v>
      </c>
      <c r="G238" s="684"/>
      <c r="H238" s="684"/>
      <c r="I238" s="686"/>
      <c r="J238" s="684"/>
      <c r="K238" s="835" t="s">
        <v>143</v>
      </c>
      <c r="L238" s="687" t="s">
        <v>143</v>
      </c>
      <c r="M238" s="687"/>
      <c r="N238" s="687"/>
      <c r="O238" s="687"/>
      <c r="P238" s="687"/>
      <c r="Q238" s="835"/>
      <c r="R238" s="836">
        <f ca="1">SUM(R231:R237)</f>
        <v>0</v>
      </c>
      <c r="S238" s="837"/>
      <c r="T238" s="836">
        <f ca="1">SUM(T231:T237)</f>
        <v>0</v>
      </c>
      <c r="U238" s="611"/>
      <c r="V238" s="611"/>
      <c r="W238" s="611"/>
      <c r="X238" s="611"/>
      <c r="Y238" s="611"/>
      <c r="Z238" s="611"/>
      <c r="AA238" s="611"/>
      <c r="AB238" s="611"/>
    </row>
    <row r="239" spans="1:28" s="602" customFormat="1" ht="12" thickTop="1">
      <c r="A239" s="63"/>
      <c r="B239" s="63"/>
      <c r="C239" s="63"/>
      <c r="D239" s="63"/>
      <c r="E239" s="63"/>
      <c r="F239" s="63"/>
      <c r="G239" s="63"/>
      <c r="H239" s="63"/>
      <c r="I239" s="63"/>
      <c r="J239" s="63"/>
      <c r="K239" s="63"/>
      <c r="L239" s="63"/>
      <c r="M239" s="63"/>
      <c r="N239" s="63"/>
      <c r="O239" s="64"/>
      <c r="P239" s="63"/>
      <c r="Q239" s="42" t="s">
        <v>180</v>
      </c>
      <c r="R239" s="63"/>
      <c r="S239" s="13"/>
      <c r="T239" s="63"/>
    </row>
    <row r="240" spans="1:28" s="602" customFormat="1" ht="12" customHeight="1" thickBot="1">
      <c r="A240" s="824">
        <v>10</v>
      </c>
      <c r="B240" s="825">
        <f ca="1">Elec_Est!B1059</f>
        <v>0</v>
      </c>
      <c r="C240" s="826"/>
      <c r="D240" s="827" t="s">
        <v>803</v>
      </c>
      <c r="E240" s="828"/>
      <c r="F240" s="828"/>
      <c r="G240" s="676"/>
      <c r="H240" s="676"/>
      <c r="I240" s="829"/>
      <c r="J240" s="676"/>
      <c r="K240" s="826" t="s">
        <v>181</v>
      </c>
      <c r="L240" s="830" t="s">
        <v>181</v>
      </c>
      <c r="M240" s="830"/>
      <c r="N240" s="830"/>
      <c r="O240" s="830"/>
      <c r="P240" s="830"/>
      <c r="Q240" s="831">
        <f ca="1">B240/A240</f>
        <v>0</v>
      </c>
      <c r="R240" s="832">
        <f ca="1">IF($B240=0,0,IF($S$1="R",ROUND(R248/$B240,2),R248/$B240))</f>
        <v>0</v>
      </c>
      <c r="S240" s="833"/>
      <c r="T240" s="832">
        <f ca="1">IF($B240=0,0,IF($S$1="R",ROUND(T248/$B240,2),T248/$B240))</f>
        <v>0</v>
      </c>
    </row>
    <row r="241" spans="1:28" s="602" customFormat="1" ht="13.8" thickTop="1">
      <c r="A241" s="672"/>
      <c r="B241" s="3"/>
      <c r="C241" s="3"/>
      <c r="D241" s="157" t="s">
        <v>182</v>
      </c>
      <c r="E241" s="3"/>
      <c r="F241" s="3"/>
      <c r="G241" s="3"/>
      <c r="H241" s="3"/>
      <c r="I241" s="3"/>
      <c r="J241" s="3"/>
      <c r="K241" s="3"/>
      <c r="L241" s="3"/>
      <c r="M241" s="3"/>
      <c r="N241" s="3"/>
      <c r="O241" s="158"/>
      <c r="P241" s="3"/>
      <c r="Q241" s="3"/>
      <c r="R241" s="3"/>
      <c r="S241" s="3"/>
      <c r="T241" s="3"/>
    </row>
    <row r="242" spans="1:28" s="730" customFormat="1">
      <c r="A242" s="844">
        <f ca="1">$Q$240 *(10)</f>
        <v>0</v>
      </c>
      <c r="B242" s="730" t="s">
        <v>326</v>
      </c>
      <c r="D242" s="730" t="s">
        <v>853</v>
      </c>
      <c r="G242" s="731" t="s">
        <v>854</v>
      </c>
      <c r="H242" s="732">
        <v>616</v>
      </c>
      <c r="I242" s="730" t="s">
        <v>561</v>
      </c>
      <c r="J242" s="730" t="s">
        <v>855</v>
      </c>
      <c r="O242" s="733">
        <v>2</v>
      </c>
      <c r="P242" s="734">
        <v>40767</v>
      </c>
      <c r="Q242" s="735"/>
      <c r="R242" s="736">
        <f t="shared" ref="R242:R247" ca="1" si="34">$A242*Q242</f>
        <v>0</v>
      </c>
      <c r="S242" s="735">
        <v>7.0000000000000007E-2</v>
      </c>
      <c r="T242" s="737">
        <f t="shared" ref="T242:T247" ca="1" si="35">$A242*S242*$T$1</f>
        <v>0</v>
      </c>
    </row>
    <row r="243" spans="1:28" s="730" customFormat="1">
      <c r="A243" s="840">
        <f ca="1">$Q$240 *(10)</f>
        <v>0</v>
      </c>
      <c r="B243" s="730" t="s">
        <v>141</v>
      </c>
      <c r="D243" s="730" t="s">
        <v>815</v>
      </c>
      <c r="G243" s="731" t="s">
        <v>816</v>
      </c>
      <c r="H243" s="732">
        <v>875</v>
      </c>
      <c r="I243" s="730" t="s">
        <v>674</v>
      </c>
      <c r="K243" s="730" t="s">
        <v>817</v>
      </c>
      <c r="O243" s="733">
        <v>1</v>
      </c>
      <c r="P243" s="734">
        <v>34669</v>
      </c>
      <c r="Q243" s="735">
        <v>0.05</v>
      </c>
      <c r="R243" s="736">
        <f t="shared" ca="1" si="34"/>
        <v>0</v>
      </c>
      <c r="S243" s="735"/>
      <c r="T243" s="737">
        <f t="shared" ca="1" si="35"/>
        <v>0</v>
      </c>
    </row>
    <row r="244" spans="1:28" s="730" customFormat="1">
      <c r="A244" s="844">
        <f ca="1">$Q$240 *(4)</f>
        <v>0</v>
      </c>
      <c r="B244" s="730" t="s">
        <v>141</v>
      </c>
      <c r="D244" s="730" t="s">
        <v>739</v>
      </c>
      <c r="G244" s="731" t="s">
        <v>740</v>
      </c>
      <c r="H244" s="732">
        <v>620</v>
      </c>
      <c r="I244" s="730" t="s">
        <v>741</v>
      </c>
      <c r="O244" s="733">
        <v>2</v>
      </c>
      <c r="P244" s="734">
        <v>35431</v>
      </c>
      <c r="Q244" s="823">
        <v>4.71</v>
      </c>
      <c r="R244" s="736">
        <f t="shared" ca="1" si="34"/>
        <v>0</v>
      </c>
      <c r="S244" s="735">
        <v>0.35000000000000003</v>
      </c>
      <c r="T244" s="737">
        <f t="shared" ca="1" si="35"/>
        <v>0</v>
      </c>
    </row>
    <row r="245" spans="1:28" s="730" customFormat="1">
      <c r="A245" s="844">
        <f ca="1">$Q$240 *(4)</f>
        <v>0</v>
      </c>
      <c r="B245" s="730" t="s">
        <v>326</v>
      </c>
      <c r="D245" s="730" t="s">
        <v>703</v>
      </c>
      <c r="G245" s="731" t="s">
        <v>704</v>
      </c>
      <c r="H245" s="732">
        <v>620</v>
      </c>
      <c r="I245" s="730" t="s">
        <v>674</v>
      </c>
      <c r="O245" s="733">
        <v>2</v>
      </c>
      <c r="P245" s="734">
        <v>38148</v>
      </c>
      <c r="Q245" s="735"/>
      <c r="R245" s="736">
        <f t="shared" ca="1" si="34"/>
        <v>0</v>
      </c>
      <c r="S245" s="735">
        <v>0.08</v>
      </c>
      <c r="T245" s="737">
        <f t="shared" ca="1" si="35"/>
        <v>0</v>
      </c>
    </row>
    <row r="246" spans="1:28" s="730" customFormat="1">
      <c r="A246" s="844">
        <f ca="1">$Q$240 *(16)</f>
        <v>0</v>
      </c>
      <c r="B246" s="730" t="s">
        <v>141</v>
      </c>
      <c r="D246" s="730" t="s">
        <v>856</v>
      </c>
      <c r="G246" s="731" t="s">
        <v>857</v>
      </c>
      <c r="H246" s="732">
        <v>620</v>
      </c>
      <c r="I246" s="730" t="s">
        <v>702</v>
      </c>
      <c r="O246" s="733">
        <v>2</v>
      </c>
      <c r="P246" s="734">
        <v>34669</v>
      </c>
      <c r="Q246" s="823">
        <v>0.05</v>
      </c>
      <c r="R246" s="736">
        <f t="shared" ca="1" si="34"/>
        <v>0</v>
      </c>
      <c r="S246" s="735">
        <v>0.02</v>
      </c>
      <c r="T246" s="737">
        <f t="shared" ca="1" si="35"/>
        <v>0</v>
      </c>
    </row>
    <row r="247" spans="1:28" s="602" customFormat="1">
      <c r="A247" s="663"/>
      <c r="B247" s="3"/>
      <c r="C247" s="663" t="s">
        <v>183</v>
      </c>
      <c r="D247" s="3"/>
      <c r="E247" s="663"/>
      <c r="F247" s="664"/>
      <c r="G247" s="663"/>
      <c r="H247" s="663"/>
      <c r="I247" s="601"/>
      <c r="J247" s="663"/>
      <c r="K247" s="663"/>
      <c r="L247" s="663"/>
      <c r="M247" s="663"/>
      <c r="N247" s="663"/>
      <c r="O247" s="663"/>
      <c r="P247" s="663"/>
      <c r="Q247" s="601"/>
      <c r="R247" s="814">
        <f t="shared" si="34"/>
        <v>0</v>
      </c>
      <c r="S247" s="601"/>
      <c r="T247" s="681">
        <f t="shared" si="35"/>
        <v>0</v>
      </c>
    </row>
    <row r="248" spans="1:28" s="602" customFormat="1" ht="12.6" thickBot="1">
      <c r="A248" s="682" t="s">
        <v>145</v>
      </c>
      <c r="B248" s="683">
        <f>(R247+T247)</f>
        <v>0</v>
      </c>
      <c r="C248" s="684"/>
      <c r="D248" s="834" t="s">
        <v>184</v>
      </c>
      <c r="E248" s="545">
        <f ca="1">IF($B240=0,0,ROUND(ROUND(($R248*$S$2+($T248*$T$2))/$B240, 2)*$C$2,2))</f>
        <v>0</v>
      </c>
      <c r="F248" s="546">
        <f ca="1">ROUND($B240*$E248,2)</f>
        <v>0</v>
      </c>
      <c r="G248" s="684"/>
      <c r="H248" s="684"/>
      <c r="I248" s="686"/>
      <c r="J248" s="684"/>
      <c r="K248" s="835" t="s">
        <v>143</v>
      </c>
      <c r="L248" s="687" t="s">
        <v>143</v>
      </c>
      <c r="M248" s="687"/>
      <c r="N248" s="687"/>
      <c r="O248" s="687"/>
      <c r="P248" s="687"/>
      <c r="Q248" s="835"/>
      <c r="R248" s="836">
        <f ca="1">SUM(R241:R247)</f>
        <v>0</v>
      </c>
      <c r="S248" s="837"/>
      <c r="T248" s="836">
        <f ca="1">SUM(T241:T247)</f>
        <v>0</v>
      </c>
      <c r="U248" s="611"/>
      <c r="V248" s="611"/>
      <c r="W248" s="611"/>
      <c r="X248" s="611"/>
      <c r="Y248" s="611"/>
      <c r="Z248" s="611"/>
      <c r="AA248" s="611"/>
      <c r="AB248" s="611"/>
    </row>
    <row r="249" spans="1:28" s="602" customFormat="1" ht="12" thickTop="1">
      <c r="A249" s="63"/>
      <c r="B249" s="63"/>
      <c r="C249" s="63"/>
      <c r="D249" s="63"/>
      <c r="E249" s="63"/>
      <c r="F249" s="63"/>
      <c r="G249" s="63"/>
      <c r="H249" s="63"/>
      <c r="I249" s="63"/>
      <c r="J249" s="63"/>
      <c r="K249" s="63"/>
      <c r="L249" s="63"/>
      <c r="M249" s="63"/>
      <c r="N249" s="63"/>
      <c r="O249" s="64"/>
      <c r="P249" s="63"/>
      <c r="Q249" s="42" t="s">
        <v>180</v>
      </c>
      <c r="R249" s="63"/>
      <c r="S249" s="13"/>
      <c r="T249" s="63"/>
    </row>
    <row r="250" spans="1:28" s="602" customFormat="1" ht="12" customHeight="1" thickBot="1">
      <c r="A250" s="824">
        <v>4</v>
      </c>
      <c r="B250" s="825">
        <f ca="1">Elec_Est!B1060</f>
        <v>0</v>
      </c>
      <c r="C250" s="826"/>
      <c r="D250" s="827" t="s">
        <v>804</v>
      </c>
      <c r="E250" s="828"/>
      <c r="F250" s="828"/>
      <c r="G250" s="676"/>
      <c r="H250" s="676"/>
      <c r="I250" s="829"/>
      <c r="J250" s="676"/>
      <c r="K250" s="826" t="s">
        <v>181</v>
      </c>
      <c r="L250" s="830" t="s">
        <v>181</v>
      </c>
      <c r="M250" s="830"/>
      <c r="N250" s="830"/>
      <c r="O250" s="830"/>
      <c r="P250" s="830"/>
      <c r="Q250" s="831">
        <f ca="1">B250/A250</f>
        <v>0</v>
      </c>
      <c r="R250" s="832">
        <f ca="1">IF($B250=0,0,IF($S$1="R",ROUND(R256/$B250,2),R256/$B250))</f>
        <v>0</v>
      </c>
      <c r="S250" s="833"/>
      <c r="T250" s="832">
        <f ca="1">IF($B250=0,0,IF($S$1="R",ROUND(T256/$B250,2),T256/$B250))</f>
        <v>0</v>
      </c>
    </row>
    <row r="251" spans="1:28" s="602" customFormat="1" ht="13.8" thickTop="1">
      <c r="A251" s="672"/>
      <c r="B251" s="3"/>
      <c r="C251" s="3"/>
      <c r="D251" s="157" t="s">
        <v>182</v>
      </c>
      <c r="E251" s="3"/>
      <c r="F251" s="3"/>
      <c r="G251" s="3"/>
      <c r="H251" s="3"/>
      <c r="I251" s="3"/>
      <c r="J251" s="3"/>
      <c r="K251" s="3"/>
      <c r="L251" s="3"/>
      <c r="M251" s="3"/>
      <c r="N251" s="3"/>
      <c r="O251" s="158"/>
      <c r="P251" s="3"/>
      <c r="Q251" s="3"/>
      <c r="R251" s="3"/>
      <c r="S251" s="3"/>
      <c r="T251" s="3"/>
    </row>
    <row r="252" spans="1:28" s="730" customFormat="1">
      <c r="A252" s="840">
        <f ca="1">$Q$250 *(4)</f>
        <v>0</v>
      </c>
      <c r="B252" s="730" t="s">
        <v>141</v>
      </c>
      <c r="D252" s="730" t="s">
        <v>710</v>
      </c>
      <c r="E252" s="730" t="s">
        <v>679</v>
      </c>
      <c r="F252" s="730" t="s">
        <v>336</v>
      </c>
      <c r="G252" s="731" t="s">
        <v>711</v>
      </c>
      <c r="H252" s="732">
        <v>835</v>
      </c>
      <c r="I252" s="730" t="s">
        <v>674</v>
      </c>
      <c r="O252" s="733">
        <v>3</v>
      </c>
      <c r="P252" s="734"/>
      <c r="Q252" s="735"/>
      <c r="R252" s="736">
        <f ca="1">$A252*Q252</f>
        <v>0</v>
      </c>
      <c r="S252" s="735">
        <v>0.5</v>
      </c>
      <c r="T252" s="737">
        <f ca="1">$A252*S252*$T$1</f>
        <v>0</v>
      </c>
    </row>
    <row r="253" spans="1:28" s="730" customFormat="1">
      <c r="A253" s="840">
        <f ca="1">$Q$250 *(8)</f>
        <v>0</v>
      </c>
      <c r="B253" s="730" t="s">
        <v>141</v>
      </c>
      <c r="D253" s="730" t="s">
        <v>858</v>
      </c>
      <c r="G253" s="731" t="s">
        <v>859</v>
      </c>
      <c r="H253" s="732">
        <v>875</v>
      </c>
      <c r="I253" s="730" t="s">
        <v>674</v>
      </c>
      <c r="K253" s="730" t="s">
        <v>860</v>
      </c>
      <c r="O253" s="733">
        <v>1</v>
      </c>
      <c r="P253" s="734">
        <v>34669</v>
      </c>
      <c r="Q253" s="823">
        <v>0.61</v>
      </c>
      <c r="R253" s="736">
        <f ca="1">$A253*Q253</f>
        <v>0</v>
      </c>
      <c r="S253" s="735"/>
      <c r="T253" s="737">
        <f ca="1">$A253*S253*$T$1</f>
        <v>0</v>
      </c>
    </row>
    <row r="254" spans="1:28" s="730" customFormat="1">
      <c r="A254" s="840">
        <f ca="1">$Q$250 *(8)</f>
        <v>0</v>
      </c>
      <c r="B254" s="730" t="s">
        <v>141</v>
      </c>
      <c r="D254" s="730" t="s">
        <v>861</v>
      </c>
      <c r="G254" s="731" t="s">
        <v>862</v>
      </c>
      <c r="H254" s="732">
        <v>875</v>
      </c>
      <c r="I254" s="730" t="s">
        <v>674</v>
      </c>
      <c r="K254" s="730" t="s">
        <v>863</v>
      </c>
      <c r="O254" s="733">
        <v>1</v>
      </c>
      <c r="P254" s="734">
        <v>34669</v>
      </c>
      <c r="Q254" s="823">
        <v>0.47</v>
      </c>
      <c r="R254" s="736">
        <f ca="1">$A254*Q254</f>
        <v>0</v>
      </c>
      <c r="S254" s="735"/>
      <c r="T254" s="737">
        <f ca="1">$A254*S254*$T$1</f>
        <v>0</v>
      </c>
    </row>
    <row r="255" spans="1:28" s="602" customFormat="1">
      <c r="A255" s="663"/>
      <c r="B255" s="3"/>
      <c r="C255" s="663" t="s">
        <v>183</v>
      </c>
      <c r="D255" s="3"/>
      <c r="E255" s="663"/>
      <c r="F255" s="664"/>
      <c r="G255" s="663"/>
      <c r="H255" s="663"/>
      <c r="I255" s="601"/>
      <c r="J255" s="663"/>
      <c r="K255" s="663"/>
      <c r="L255" s="663"/>
      <c r="M255" s="663"/>
      <c r="N255" s="663"/>
      <c r="O255" s="663"/>
      <c r="P255" s="663"/>
      <c r="Q255" s="601"/>
      <c r="R255" s="814">
        <f>$A255*Q255</f>
        <v>0</v>
      </c>
      <c r="S255" s="601"/>
      <c r="T255" s="681">
        <f>$A255*S255*$T$1</f>
        <v>0</v>
      </c>
    </row>
    <row r="256" spans="1:28" s="602" customFormat="1" ht="12.6" thickBot="1">
      <c r="A256" s="682" t="s">
        <v>145</v>
      </c>
      <c r="B256" s="683">
        <f>(R255+T255)</f>
        <v>0</v>
      </c>
      <c r="C256" s="684"/>
      <c r="D256" s="834" t="s">
        <v>184</v>
      </c>
      <c r="E256" s="545">
        <f ca="1">IF($B250=0,0,ROUND(ROUND(($R256*$S$2+($T256*$T$2))/$B250, 2)*$C$2,2))</f>
        <v>0</v>
      </c>
      <c r="F256" s="546">
        <f ca="1">ROUND($B250*$E256,2)</f>
        <v>0</v>
      </c>
      <c r="G256" s="684"/>
      <c r="H256" s="684"/>
      <c r="I256" s="686"/>
      <c r="J256" s="684"/>
      <c r="K256" s="835" t="s">
        <v>143</v>
      </c>
      <c r="L256" s="687" t="s">
        <v>143</v>
      </c>
      <c r="M256" s="687"/>
      <c r="N256" s="687"/>
      <c r="O256" s="687"/>
      <c r="P256" s="687"/>
      <c r="Q256" s="835"/>
      <c r="R256" s="836">
        <f ca="1">SUM(R251:R255)</f>
        <v>0</v>
      </c>
      <c r="S256" s="837"/>
      <c r="T256" s="836">
        <f ca="1">SUM(T251:T255)</f>
        <v>0</v>
      </c>
      <c r="U256" s="611"/>
      <c r="V256" s="611"/>
      <c r="W256" s="611"/>
      <c r="X256" s="611"/>
      <c r="Y256" s="611"/>
      <c r="Z256" s="611"/>
      <c r="AA256" s="611"/>
      <c r="AB256" s="611"/>
    </row>
    <row r="257" spans="1:28" s="602" customFormat="1" ht="12" thickTop="1">
      <c r="A257" s="63"/>
      <c r="B257" s="63"/>
      <c r="C257" s="63"/>
      <c r="D257" s="63"/>
      <c r="E257" s="63"/>
      <c r="F257" s="63"/>
      <c r="G257" s="63"/>
      <c r="H257" s="63"/>
      <c r="I257" s="63"/>
      <c r="J257" s="63"/>
      <c r="K257" s="63"/>
      <c r="L257" s="63"/>
      <c r="M257" s="63"/>
      <c r="N257" s="63"/>
      <c r="O257" s="64"/>
      <c r="P257" s="63"/>
      <c r="Q257" s="42" t="s">
        <v>180</v>
      </c>
      <c r="R257" s="63"/>
      <c r="S257" s="13"/>
      <c r="T257" s="63"/>
    </row>
    <row r="258" spans="1:28" s="602" customFormat="1" ht="12" customHeight="1" thickBot="1">
      <c r="A258" s="824">
        <v>4</v>
      </c>
      <c r="B258" s="825">
        <f ca="1">Elec_Est!B1061</f>
        <v>0</v>
      </c>
      <c r="C258" s="826"/>
      <c r="D258" s="827" t="s">
        <v>805</v>
      </c>
      <c r="E258" s="828"/>
      <c r="F258" s="828"/>
      <c r="G258" s="676"/>
      <c r="H258" s="676"/>
      <c r="I258" s="829"/>
      <c r="J258" s="676"/>
      <c r="K258" s="826" t="s">
        <v>181</v>
      </c>
      <c r="L258" s="830" t="s">
        <v>181</v>
      </c>
      <c r="M258" s="830"/>
      <c r="N258" s="830"/>
      <c r="O258" s="830"/>
      <c r="P258" s="830"/>
      <c r="Q258" s="831">
        <f ca="1">B258/A258</f>
        <v>0</v>
      </c>
      <c r="R258" s="832">
        <f ca="1">IF($B258=0,0,IF($S$1="R",ROUND(R264/$B258,2),R264/$B258))</f>
        <v>0</v>
      </c>
      <c r="S258" s="833"/>
      <c r="T258" s="832">
        <f ca="1">IF($B258=0,0,IF($S$1="R",ROUND(T264/$B258,2),T264/$B258))</f>
        <v>0</v>
      </c>
    </row>
    <row r="259" spans="1:28" s="602" customFormat="1" ht="13.8" thickTop="1">
      <c r="A259" s="672"/>
      <c r="B259" s="3"/>
      <c r="C259" s="3"/>
      <c r="D259" s="157" t="s">
        <v>182</v>
      </c>
      <c r="E259" s="3"/>
      <c r="F259" s="3"/>
      <c r="G259" s="3"/>
      <c r="H259" s="3"/>
      <c r="I259" s="3"/>
      <c r="J259" s="3"/>
      <c r="K259" s="3"/>
      <c r="L259" s="3"/>
      <c r="M259" s="3"/>
      <c r="N259" s="3"/>
      <c r="O259" s="158"/>
      <c r="P259" s="3"/>
      <c r="Q259" s="3"/>
      <c r="R259" s="3"/>
      <c r="S259" s="3"/>
      <c r="T259" s="3"/>
    </row>
    <row r="260" spans="1:28" s="730" customFormat="1">
      <c r="A260" s="840">
        <f ca="1">$Q$258 *(4)</f>
        <v>0</v>
      </c>
      <c r="B260" s="730" t="s">
        <v>141</v>
      </c>
      <c r="D260" s="730" t="s">
        <v>712</v>
      </c>
      <c r="E260" s="730" t="s">
        <v>679</v>
      </c>
      <c r="F260" s="730" t="s">
        <v>337</v>
      </c>
      <c r="G260" s="731" t="s">
        <v>713</v>
      </c>
      <c r="H260" s="732">
        <v>835</v>
      </c>
      <c r="I260" s="730" t="s">
        <v>674</v>
      </c>
      <c r="O260" s="733">
        <v>3</v>
      </c>
      <c r="P260" s="734"/>
      <c r="Q260" s="735"/>
      <c r="R260" s="736">
        <f ca="1">$A260*Q260</f>
        <v>0</v>
      </c>
      <c r="S260" s="735">
        <v>0.35</v>
      </c>
      <c r="T260" s="737">
        <f ca="1">$A260*S260*$T$1</f>
        <v>0</v>
      </c>
    </row>
    <row r="261" spans="1:28" s="730" customFormat="1">
      <c r="A261" s="840">
        <f ca="1">$Q$258 *(8)</f>
        <v>0</v>
      </c>
      <c r="B261" s="730" t="s">
        <v>141</v>
      </c>
      <c r="D261" s="730" t="s">
        <v>718</v>
      </c>
      <c r="G261" s="731" t="s">
        <v>719</v>
      </c>
      <c r="H261" s="732">
        <v>875</v>
      </c>
      <c r="I261" s="730" t="s">
        <v>674</v>
      </c>
      <c r="K261" s="730" t="s">
        <v>720</v>
      </c>
      <c r="O261" s="733">
        <v>1</v>
      </c>
      <c r="P261" s="734">
        <v>34669</v>
      </c>
      <c r="Q261" s="823">
        <v>0.02</v>
      </c>
      <c r="R261" s="736">
        <f ca="1">$A261*Q261</f>
        <v>0</v>
      </c>
      <c r="S261" s="735"/>
      <c r="T261" s="737">
        <f ca="1">$A261*S261*$T$1</f>
        <v>0</v>
      </c>
    </row>
    <row r="262" spans="1:28" s="730" customFormat="1">
      <c r="A262" s="840">
        <f ca="1">$Q$258 *(8)</f>
        <v>0</v>
      </c>
      <c r="B262" s="730" t="s">
        <v>141</v>
      </c>
      <c r="D262" s="730" t="s">
        <v>721</v>
      </c>
      <c r="G262" s="731" t="s">
        <v>722</v>
      </c>
      <c r="H262" s="732">
        <v>875</v>
      </c>
      <c r="I262" s="730" t="s">
        <v>674</v>
      </c>
      <c r="K262" s="730" t="s">
        <v>723</v>
      </c>
      <c r="O262" s="733">
        <v>1</v>
      </c>
      <c r="P262" s="734">
        <v>34669</v>
      </c>
      <c r="Q262" s="823">
        <v>0.02</v>
      </c>
      <c r="R262" s="736">
        <f ca="1">$A262*Q262</f>
        <v>0</v>
      </c>
      <c r="S262" s="735"/>
      <c r="T262" s="737">
        <f ca="1">$A262*S262*$T$1</f>
        <v>0</v>
      </c>
    </row>
    <row r="263" spans="1:28" s="602" customFormat="1">
      <c r="A263" s="663"/>
      <c r="B263" s="3"/>
      <c r="C263" s="663" t="s">
        <v>183</v>
      </c>
      <c r="D263" s="3"/>
      <c r="E263" s="663"/>
      <c r="F263" s="664"/>
      <c r="G263" s="663"/>
      <c r="H263" s="663"/>
      <c r="I263" s="601"/>
      <c r="J263" s="663"/>
      <c r="K263" s="663"/>
      <c r="L263" s="663"/>
      <c r="M263" s="663"/>
      <c r="N263" s="663"/>
      <c r="O263" s="663"/>
      <c r="P263" s="663"/>
      <c r="Q263" s="601"/>
      <c r="R263" s="814">
        <f>$A263*Q263</f>
        <v>0</v>
      </c>
      <c r="S263" s="601"/>
      <c r="T263" s="681">
        <f>$A263*S263*$T$1</f>
        <v>0</v>
      </c>
    </row>
    <row r="264" spans="1:28" s="602" customFormat="1" ht="12.6" thickBot="1">
      <c r="A264" s="682" t="s">
        <v>145</v>
      </c>
      <c r="B264" s="683">
        <f>(R263+T263)</f>
        <v>0</v>
      </c>
      <c r="C264" s="684"/>
      <c r="D264" s="834" t="s">
        <v>184</v>
      </c>
      <c r="E264" s="545">
        <f ca="1">IF($B258=0,0,ROUND(ROUND(($R264*$S$2+($T264*$T$2))/$B258, 2)*$C$2,2))</f>
        <v>0</v>
      </c>
      <c r="F264" s="546">
        <f ca="1">ROUND($B258*$E264,2)</f>
        <v>0</v>
      </c>
      <c r="G264" s="684"/>
      <c r="H264" s="684"/>
      <c r="I264" s="686"/>
      <c r="J264" s="684"/>
      <c r="K264" s="835" t="s">
        <v>143</v>
      </c>
      <c r="L264" s="687" t="s">
        <v>143</v>
      </c>
      <c r="M264" s="687"/>
      <c r="N264" s="687"/>
      <c r="O264" s="687"/>
      <c r="P264" s="687"/>
      <c r="Q264" s="835"/>
      <c r="R264" s="836">
        <f ca="1">SUM(R259:R263)</f>
        <v>0</v>
      </c>
      <c r="S264" s="837"/>
      <c r="T264" s="836">
        <f ca="1">SUM(T259:T263)</f>
        <v>0</v>
      </c>
      <c r="U264" s="611"/>
      <c r="V264" s="611"/>
      <c r="W264" s="611"/>
      <c r="X264" s="611"/>
      <c r="Y264" s="611"/>
      <c r="Z264" s="611"/>
      <c r="AA264" s="611"/>
      <c r="AB264" s="611"/>
    </row>
    <row r="265" spans="1:28" s="602" customFormat="1" ht="12" thickTop="1">
      <c r="A265" s="63"/>
      <c r="B265" s="63"/>
      <c r="C265" s="63"/>
      <c r="D265" s="63"/>
      <c r="E265" s="63"/>
      <c r="F265" s="63"/>
      <c r="G265" s="63"/>
      <c r="H265" s="63"/>
      <c r="I265" s="63"/>
      <c r="J265" s="63"/>
      <c r="K265" s="63"/>
      <c r="L265" s="63"/>
      <c r="M265" s="63"/>
      <c r="N265" s="63"/>
      <c r="O265" s="64"/>
      <c r="P265" s="63"/>
      <c r="Q265" s="42" t="s">
        <v>180</v>
      </c>
      <c r="R265" s="63"/>
      <c r="S265" s="13"/>
      <c r="T265" s="63"/>
    </row>
    <row r="266" spans="1:28" s="602" customFormat="1" ht="12" customHeight="1" thickBot="1">
      <c r="A266" s="824">
        <v>45</v>
      </c>
      <c r="B266" s="825">
        <f ca="1">Elec_Est!B1062</f>
        <v>0</v>
      </c>
      <c r="C266" s="826"/>
      <c r="D266" s="827" t="s">
        <v>806</v>
      </c>
      <c r="E266" s="828"/>
      <c r="F266" s="828"/>
      <c r="G266" s="676"/>
      <c r="H266" s="676"/>
      <c r="I266" s="829"/>
      <c r="J266" s="676"/>
      <c r="K266" s="826" t="s">
        <v>181</v>
      </c>
      <c r="L266" s="830" t="s">
        <v>181</v>
      </c>
      <c r="M266" s="830"/>
      <c r="N266" s="830"/>
      <c r="O266" s="830"/>
      <c r="P266" s="830"/>
      <c r="Q266" s="831">
        <f ca="1">B266/A266</f>
        <v>0</v>
      </c>
      <c r="R266" s="832">
        <f ca="1">IF($B266=0,0,IF($S$1="R",ROUND(R275/$B266,2),R275/$B266))</f>
        <v>0</v>
      </c>
      <c r="S266" s="833"/>
      <c r="T266" s="832">
        <f ca="1">IF($B266=0,0,IF($S$1="R",ROUND(T275/$B266,2),T275/$B266))</f>
        <v>0</v>
      </c>
    </row>
    <row r="267" spans="1:28" s="602" customFormat="1" ht="13.8" thickTop="1">
      <c r="A267" s="672"/>
      <c r="B267" s="3"/>
      <c r="C267" s="3"/>
      <c r="D267" s="157" t="s">
        <v>182</v>
      </c>
      <c r="E267" s="3"/>
      <c r="F267" s="3"/>
      <c r="G267" s="3"/>
      <c r="H267" s="3"/>
      <c r="I267" s="3"/>
      <c r="J267" s="3"/>
      <c r="K267" s="3"/>
      <c r="L267" s="3"/>
      <c r="M267" s="3"/>
      <c r="N267" s="3"/>
      <c r="O267" s="158"/>
      <c r="P267" s="3"/>
      <c r="Q267" s="3"/>
      <c r="R267" s="3"/>
      <c r="S267" s="3"/>
      <c r="T267" s="3"/>
    </row>
    <row r="268" spans="1:28" s="730" customFormat="1">
      <c r="A268" s="844">
        <f ca="1">$Q$266 *(45)</f>
        <v>0</v>
      </c>
      <c r="B268" s="730" t="s">
        <v>326</v>
      </c>
      <c r="D268" s="730" t="s">
        <v>891</v>
      </c>
      <c r="G268" s="731" t="s">
        <v>892</v>
      </c>
      <c r="H268" s="732">
        <v>650</v>
      </c>
      <c r="I268" s="730" t="s">
        <v>674</v>
      </c>
      <c r="O268" s="733">
        <v>1</v>
      </c>
      <c r="P268" s="734"/>
      <c r="Q268" s="735"/>
      <c r="R268" s="736">
        <f t="shared" ref="R268:R274" ca="1" si="36">$A268*Q268</f>
        <v>0</v>
      </c>
      <c r="S268" s="735">
        <v>0.18</v>
      </c>
      <c r="T268" s="737">
        <f t="shared" ref="T268:T274" ca="1" si="37">$A268*S268*$T$1</f>
        <v>0</v>
      </c>
    </row>
    <row r="269" spans="1:28" s="730" customFormat="1">
      <c r="A269" s="844">
        <f ca="1">$Q$266 *(ROUNDUP(45/3,0))</f>
        <v>0</v>
      </c>
      <c r="B269" s="730" t="s">
        <v>326</v>
      </c>
      <c r="D269" s="730" t="s">
        <v>868</v>
      </c>
      <c r="E269" s="730" t="s">
        <v>866</v>
      </c>
      <c r="G269" s="731" t="s">
        <v>869</v>
      </c>
      <c r="H269" s="732">
        <v>650</v>
      </c>
      <c r="I269" s="730" t="s">
        <v>674</v>
      </c>
      <c r="O269" s="733">
        <v>1</v>
      </c>
      <c r="P269" s="734">
        <v>35705</v>
      </c>
      <c r="Q269" s="845">
        <f>ROUNDUP(0.22*2*1.145,2)</f>
        <v>0.51</v>
      </c>
      <c r="R269" s="736">
        <f t="shared" ca="1" si="36"/>
        <v>0</v>
      </c>
      <c r="S269" s="735"/>
      <c r="T269" s="737">
        <f t="shared" ca="1" si="37"/>
        <v>0</v>
      </c>
    </row>
    <row r="270" spans="1:28" s="730" customFormat="1">
      <c r="A270" s="844">
        <f ca="1">$Q$266 *(ROUNDUP(45/3*8,0))</f>
        <v>0</v>
      </c>
      <c r="B270" s="730" t="s">
        <v>141</v>
      </c>
      <c r="D270" s="730" t="s">
        <v>870</v>
      </c>
      <c r="G270" s="731" t="s">
        <v>871</v>
      </c>
      <c r="H270" s="732">
        <v>875</v>
      </c>
      <c r="I270" s="730" t="s">
        <v>674</v>
      </c>
      <c r="K270" s="730" t="s">
        <v>872</v>
      </c>
      <c r="O270" s="733">
        <v>1</v>
      </c>
      <c r="P270" s="734">
        <v>34669</v>
      </c>
      <c r="Q270" s="845">
        <v>7.0000000000000007E-2</v>
      </c>
      <c r="R270" s="736">
        <f t="shared" ca="1" si="36"/>
        <v>0</v>
      </c>
      <c r="S270" s="735"/>
      <c r="T270" s="737">
        <f t="shared" ca="1" si="37"/>
        <v>0</v>
      </c>
    </row>
    <row r="271" spans="1:28" s="730" customFormat="1">
      <c r="A271" s="844">
        <f ca="1">$Q$266 *(ROUNDUP(45*2,0))</f>
        <v>0</v>
      </c>
      <c r="B271" s="730" t="s">
        <v>141</v>
      </c>
      <c r="D271" s="730" t="s">
        <v>873</v>
      </c>
      <c r="G271" s="731" t="s">
        <v>874</v>
      </c>
      <c r="H271" s="732">
        <v>501</v>
      </c>
      <c r="I271" s="730" t="s">
        <v>875</v>
      </c>
      <c r="J271" s="730" t="s">
        <v>876</v>
      </c>
      <c r="K271" s="730" t="s">
        <v>877</v>
      </c>
      <c r="O271" s="733">
        <v>1</v>
      </c>
      <c r="P271" s="734">
        <v>36175</v>
      </c>
      <c r="Q271" s="845">
        <v>0.51</v>
      </c>
      <c r="R271" s="736">
        <f t="shared" ca="1" si="36"/>
        <v>0</v>
      </c>
      <c r="S271" s="735"/>
      <c r="T271" s="737">
        <f t="shared" ca="1" si="37"/>
        <v>0</v>
      </c>
    </row>
    <row r="272" spans="1:28" s="730" customFormat="1">
      <c r="A272" s="844">
        <f ca="1">$Q$266 *(ROUNDUP(45*2,0))</f>
        <v>0</v>
      </c>
      <c r="B272" s="730" t="s">
        <v>141</v>
      </c>
      <c r="D272" s="730" t="s">
        <v>878</v>
      </c>
      <c r="G272" s="731" t="s">
        <v>879</v>
      </c>
      <c r="H272" s="732">
        <v>501</v>
      </c>
      <c r="I272" s="730" t="s">
        <v>674</v>
      </c>
      <c r="K272" s="730" t="s">
        <v>733</v>
      </c>
      <c r="O272" s="733">
        <v>1</v>
      </c>
      <c r="P272" s="734"/>
      <c r="Q272" s="735">
        <v>0.05</v>
      </c>
      <c r="R272" s="736">
        <f t="shared" ca="1" si="36"/>
        <v>0</v>
      </c>
      <c r="S272" s="735"/>
      <c r="T272" s="737">
        <f t="shared" ca="1" si="37"/>
        <v>0</v>
      </c>
    </row>
    <row r="273" spans="1:28" s="730" customFormat="1">
      <c r="A273" s="844">
        <f ca="1">$Q$266 *(ROUNDUP(45/3,0))</f>
        <v>0</v>
      </c>
      <c r="B273" s="730" t="s">
        <v>141</v>
      </c>
      <c r="D273" s="730" t="s">
        <v>880</v>
      </c>
      <c r="G273" s="731" t="s">
        <v>881</v>
      </c>
      <c r="H273" s="732">
        <v>875</v>
      </c>
      <c r="I273" s="730" t="s">
        <v>674</v>
      </c>
      <c r="K273" s="730" t="s">
        <v>882</v>
      </c>
      <c r="O273" s="733">
        <v>1</v>
      </c>
      <c r="P273" s="734">
        <v>34669</v>
      </c>
      <c r="Q273" s="845">
        <v>0.5</v>
      </c>
      <c r="R273" s="736">
        <f t="shared" ca="1" si="36"/>
        <v>0</v>
      </c>
      <c r="S273" s="735">
        <v>0</v>
      </c>
      <c r="T273" s="737">
        <f t="shared" ca="1" si="37"/>
        <v>0</v>
      </c>
    </row>
    <row r="274" spans="1:28" s="602" customFormat="1">
      <c r="A274" s="663"/>
      <c r="B274" s="3"/>
      <c r="C274" s="663" t="s">
        <v>183</v>
      </c>
      <c r="D274" s="3"/>
      <c r="E274" s="663"/>
      <c r="F274" s="664"/>
      <c r="G274" s="663"/>
      <c r="H274" s="663"/>
      <c r="I274" s="601"/>
      <c r="J274" s="663"/>
      <c r="K274" s="663"/>
      <c r="L274" s="663"/>
      <c r="M274" s="663"/>
      <c r="N274" s="663"/>
      <c r="O274" s="663"/>
      <c r="P274" s="663"/>
      <c r="Q274" s="601"/>
      <c r="R274" s="814">
        <f t="shared" si="36"/>
        <v>0</v>
      </c>
      <c r="S274" s="601"/>
      <c r="T274" s="681">
        <f t="shared" si="37"/>
        <v>0</v>
      </c>
    </row>
    <row r="275" spans="1:28" s="602" customFormat="1" ht="12.6" thickBot="1">
      <c r="A275" s="682" t="s">
        <v>145</v>
      </c>
      <c r="B275" s="683">
        <f>(R274+T274)</f>
        <v>0</v>
      </c>
      <c r="C275" s="684"/>
      <c r="D275" s="834" t="s">
        <v>184</v>
      </c>
      <c r="E275" s="545">
        <f ca="1">IF($B266=0,0,ROUND(ROUND(($R275*$S$2+($T275*$T$2))/$B266, 2)*$C$2,2))</f>
        <v>0</v>
      </c>
      <c r="F275" s="546">
        <f ca="1">ROUND($B266*$E275,2)</f>
        <v>0</v>
      </c>
      <c r="G275" s="684"/>
      <c r="H275" s="684"/>
      <c r="I275" s="686"/>
      <c r="J275" s="684"/>
      <c r="K275" s="835" t="s">
        <v>143</v>
      </c>
      <c r="L275" s="687" t="s">
        <v>143</v>
      </c>
      <c r="M275" s="687"/>
      <c r="N275" s="687"/>
      <c r="O275" s="687"/>
      <c r="P275" s="687"/>
      <c r="Q275" s="835"/>
      <c r="R275" s="836">
        <f ca="1">SUM(R267:R274)</f>
        <v>0</v>
      </c>
      <c r="S275" s="837"/>
      <c r="T275" s="836">
        <f ca="1">SUM(T267:T274)</f>
        <v>0</v>
      </c>
      <c r="U275" s="611"/>
      <c r="V275" s="611"/>
      <c r="W275" s="611"/>
      <c r="X275" s="611"/>
      <c r="Y275" s="611"/>
      <c r="Z275" s="611"/>
      <c r="AA275" s="611"/>
      <c r="AB275" s="611"/>
    </row>
    <row r="276" spans="1:28" s="602" customFormat="1" ht="12" thickTop="1">
      <c r="A276" s="63"/>
      <c r="B276" s="63"/>
      <c r="C276" s="63"/>
      <c r="D276" s="63"/>
      <c r="E276" s="63"/>
      <c r="F276" s="63"/>
      <c r="G276" s="63"/>
      <c r="H276" s="63"/>
      <c r="I276" s="63"/>
      <c r="J276" s="63"/>
      <c r="K276" s="63"/>
      <c r="L276" s="63"/>
      <c r="M276" s="63"/>
      <c r="N276" s="63"/>
      <c r="O276" s="64"/>
      <c r="P276" s="63"/>
      <c r="Q276" s="42" t="s">
        <v>180</v>
      </c>
      <c r="R276" s="63"/>
      <c r="S276" s="13"/>
      <c r="T276" s="63"/>
    </row>
    <row r="277" spans="1:28" s="602" customFormat="1" ht="12" customHeight="1" thickBot="1">
      <c r="A277" s="824">
        <v>57</v>
      </c>
      <c r="B277" s="825">
        <f ca="1">Elec_Est!B1063</f>
        <v>0</v>
      </c>
      <c r="C277" s="826"/>
      <c r="D277" s="827" t="s">
        <v>807</v>
      </c>
      <c r="E277" s="828"/>
      <c r="F277" s="828"/>
      <c r="G277" s="676"/>
      <c r="H277" s="676"/>
      <c r="I277" s="829"/>
      <c r="J277" s="676"/>
      <c r="K277" s="826" t="s">
        <v>181</v>
      </c>
      <c r="L277" s="830" t="s">
        <v>181</v>
      </c>
      <c r="M277" s="830"/>
      <c r="N277" s="830"/>
      <c r="O277" s="830"/>
      <c r="P277" s="830"/>
      <c r="Q277" s="831">
        <f ca="1">B277/A277</f>
        <v>0</v>
      </c>
      <c r="R277" s="832">
        <f ca="1">IF($B277=0,0,IF($S$1="R",ROUND(R286/$B277,2),R286/$B277))</f>
        <v>0</v>
      </c>
      <c r="S277" s="833"/>
      <c r="T277" s="832">
        <f ca="1">IF($B277=0,0,IF($S$1="R",ROUND(T286/$B277,2),T286/$B277))</f>
        <v>0</v>
      </c>
    </row>
    <row r="278" spans="1:28" s="602" customFormat="1" ht="13.8" thickTop="1">
      <c r="A278" s="672"/>
      <c r="B278" s="3"/>
      <c r="C278" s="3"/>
      <c r="D278" s="157" t="s">
        <v>182</v>
      </c>
      <c r="E278" s="3"/>
      <c r="F278" s="3"/>
      <c r="G278" s="3"/>
      <c r="H278" s="3"/>
      <c r="I278" s="3"/>
      <c r="J278" s="3"/>
      <c r="K278" s="3"/>
      <c r="L278" s="3"/>
      <c r="M278" s="3"/>
      <c r="N278" s="3"/>
      <c r="O278" s="158"/>
      <c r="P278" s="3"/>
      <c r="Q278" s="3"/>
      <c r="R278" s="3"/>
      <c r="S278" s="3"/>
      <c r="T278" s="3"/>
    </row>
    <row r="279" spans="1:28" s="730" customFormat="1">
      <c r="A279" s="844">
        <f ca="1">$Q$277 *(57)</f>
        <v>0</v>
      </c>
      <c r="B279" s="730" t="s">
        <v>326</v>
      </c>
      <c r="D279" s="730" t="s">
        <v>889</v>
      </c>
      <c r="E279" s="730" t="s">
        <v>866</v>
      </c>
      <c r="F279" s="730" t="s">
        <v>867</v>
      </c>
      <c r="G279" s="731" t="s">
        <v>890</v>
      </c>
      <c r="H279" s="732">
        <v>650</v>
      </c>
      <c r="I279" s="730" t="s">
        <v>674</v>
      </c>
      <c r="O279" s="733">
        <v>1</v>
      </c>
      <c r="P279" s="734">
        <v>36897</v>
      </c>
      <c r="Q279" s="845">
        <f>ROUNDUP(5.77*1.145,2)</f>
        <v>6.6099999999999994</v>
      </c>
      <c r="R279" s="736">
        <f t="shared" ref="R279:R285" ca="1" si="38">$A279*Q279</f>
        <v>0</v>
      </c>
      <c r="S279" s="735">
        <v>0.3</v>
      </c>
      <c r="T279" s="737">
        <f t="shared" ref="T279:T285" ca="1" si="39">$A279*S279*$T$1</f>
        <v>0</v>
      </c>
    </row>
    <row r="280" spans="1:28" s="730" customFormat="1">
      <c r="A280" s="844">
        <f ca="1">$Q$277 *(ROUNDUP(57/3,0))</f>
        <v>0</v>
      </c>
      <c r="B280" s="730" t="s">
        <v>326</v>
      </c>
      <c r="D280" s="730" t="s">
        <v>868</v>
      </c>
      <c r="E280" s="730" t="s">
        <v>866</v>
      </c>
      <c r="G280" s="731" t="s">
        <v>869</v>
      </c>
      <c r="H280" s="732">
        <v>650</v>
      </c>
      <c r="I280" s="730" t="s">
        <v>674</v>
      </c>
      <c r="O280" s="733">
        <v>1</v>
      </c>
      <c r="P280" s="734">
        <v>35705</v>
      </c>
      <c r="Q280" s="845">
        <f>ROUNDUP(0.22*2*1.145,2)</f>
        <v>0.51</v>
      </c>
      <c r="R280" s="736">
        <f t="shared" ca="1" si="38"/>
        <v>0</v>
      </c>
      <c r="S280" s="735"/>
      <c r="T280" s="737">
        <f t="shared" ca="1" si="39"/>
        <v>0</v>
      </c>
    </row>
    <row r="281" spans="1:28" s="730" customFormat="1">
      <c r="A281" s="844">
        <f ca="1">$Q$277 *(ROUNDUP(57/3*8,0))</f>
        <v>0</v>
      </c>
      <c r="B281" s="730" t="s">
        <v>141</v>
      </c>
      <c r="D281" s="730" t="s">
        <v>870</v>
      </c>
      <c r="G281" s="731" t="s">
        <v>871</v>
      </c>
      <c r="H281" s="732">
        <v>875</v>
      </c>
      <c r="I281" s="730" t="s">
        <v>674</v>
      </c>
      <c r="K281" s="730" t="s">
        <v>872</v>
      </c>
      <c r="O281" s="733">
        <v>1</v>
      </c>
      <c r="P281" s="734">
        <v>34669</v>
      </c>
      <c r="Q281" s="845">
        <v>7.0000000000000007E-2</v>
      </c>
      <c r="R281" s="736">
        <f t="shared" ca="1" si="38"/>
        <v>0</v>
      </c>
      <c r="S281" s="735"/>
      <c r="T281" s="737">
        <f t="shared" ca="1" si="39"/>
        <v>0</v>
      </c>
    </row>
    <row r="282" spans="1:28" s="730" customFormat="1">
      <c r="A282" s="844">
        <f ca="1">$Q$277 *(ROUNDUP(57*2,0))</f>
        <v>0</v>
      </c>
      <c r="B282" s="730" t="s">
        <v>141</v>
      </c>
      <c r="D282" s="730" t="s">
        <v>873</v>
      </c>
      <c r="G282" s="731" t="s">
        <v>874</v>
      </c>
      <c r="H282" s="732">
        <v>501</v>
      </c>
      <c r="I282" s="730" t="s">
        <v>875</v>
      </c>
      <c r="J282" s="730" t="s">
        <v>876</v>
      </c>
      <c r="K282" s="730" t="s">
        <v>877</v>
      </c>
      <c r="O282" s="733">
        <v>1</v>
      </c>
      <c r="P282" s="734">
        <v>36175</v>
      </c>
      <c r="Q282" s="845">
        <v>0.51</v>
      </c>
      <c r="R282" s="736">
        <f t="shared" ca="1" si="38"/>
        <v>0</v>
      </c>
      <c r="S282" s="735"/>
      <c r="T282" s="737">
        <f t="shared" ca="1" si="39"/>
        <v>0</v>
      </c>
    </row>
    <row r="283" spans="1:28" s="730" customFormat="1">
      <c r="A283" s="844">
        <f ca="1">$Q$277 *(ROUNDUP(57*2,0))</f>
        <v>0</v>
      </c>
      <c r="B283" s="730" t="s">
        <v>141</v>
      </c>
      <c r="D283" s="730" t="s">
        <v>878</v>
      </c>
      <c r="G283" s="731" t="s">
        <v>879</v>
      </c>
      <c r="H283" s="732">
        <v>501</v>
      </c>
      <c r="I283" s="730" t="s">
        <v>674</v>
      </c>
      <c r="K283" s="730" t="s">
        <v>733</v>
      </c>
      <c r="O283" s="733">
        <v>1</v>
      </c>
      <c r="P283" s="734"/>
      <c r="Q283" s="735">
        <v>0.05</v>
      </c>
      <c r="R283" s="736">
        <f t="shared" ca="1" si="38"/>
        <v>0</v>
      </c>
      <c r="S283" s="735"/>
      <c r="T283" s="737">
        <f t="shared" ca="1" si="39"/>
        <v>0</v>
      </c>
    </row>
    <row r="284" spans="1:28" s="730" customFormat="1">
      <c r="A284" s="844">
        <f ca="1">$Q$277 *(ROUNDUP(57/3,0))</f>
        <v>0</v>
      </c>
      <c r="B284" s="730" t="s">
        <v>141</v>
      </c>
      <c r="D284" s="730" t="s">
        <v>880</v>
      </c>
      <c r="G284" s="731" t="s">
        <v>881</v>
      </c>
      <c r="H284" s="732">
        <v>875</v>
      </c>
      <c r="I284" s="730" t="s">
        <v>674</v>
      </c>
      <c r="K284" s="730" t="s">
        <v>882</v>
      </c>
      <c r="O284" s="733">
        <v>1</v>
      </c>
      <c r="P284" s="734">
        <v>34669</v>
      </c>
      <c r="Q284" s="845">
        <v>0.5</v>
      </c>
      <c r="R284" s="736">
        <f t="shared" ca="1" si="38"/>
        <v>0</v>
      </c>
      <c r="S284" s="735">
        <v>0</v>
      </c>
      <c r="T284" s="737">
        <f t="shared" ca="1" si="39"/>
        <v>0</v>
      </c>
    </row>
    <row r="285" spans="1:28" s="602" customFormat="1">
      <c r="A285" s="663"/>
      <c r="B285" s="3"/>
      <c r="C285" s="663" t="s">
        <v>183</v>
      </c>
      <c r="D285" s="3"/>
      <c r="E285" s="663"/>
      <c r="F285" s="664"/>
      <c r="G285" s="663"/>
      <c r="H285" s="663"/>
      <c r="I285" s="601"/>
      <c r="J285" s="663"/>
      <c r="K285" s="663"/>
      <c r="L285" s="663"/>
      <c r="M285" s="663"/>
      <c r="N285" s="663"/>
      <c r="O285" s="663"/>
      <c r="P285" s="663"/>
      <c r="Q285" s="601"/>
      <c r="R285" s="814">
        <f t="shared" si="38"/>
        <v>0</v>
      </c>
      <c r="S285" s="601"/>
      <c r="T285" s="681">
        <f t="shared" si="39"/>
        <v>0</v>
      </c>
    </row>
    <row r="286" spans="1:28" s="602" customFormat="1" ht="12.6" thickBot="1">
      <c r="A286" s="682" t="s">
        <v>145</v>
      </c>
      <c r="B286" s="683">
        <f>(R285+T285)</f>
        <v>0</v>
      </c>
      <c r="C286" s="684"/>
      <c r="D286" s="834" t="s">
        <v>184</v>
      </c>
      <c r="E286" s="545">
        <f ca="1">IF($B277=0,0,ROUND(ROUND(($R286*$S$2+($T286*$T$2))/$B277, 2)*$C$2,2))</f>
        <v>0</v>
      </c>
      <c r="F286" s="546">
        <f ca="1">ROUND($B277*$E286,2)</f>
        <v>0</v>
      </c>
      <c r="G286" s="684"/>
      <c r="H286" s="684"/>
      <c r="I286" s="686"/>
      <c r="J286" s="684"/>
      <c r="K286" s="835" t="s">
        <v>143</v>
      </c>
      <c r="L286" s="687" t="s">
        <v>143</v>
      </c>
      <c r="M286" s="687"/>
      <c r="N286" s="687"/>
      <c r="O286" s="687"/>
      <c r="P286" s="687"/>
      <c r="Q286" s="835"/>
      <c r="R286" s="836">
        <f ca="1">SUM(R278:R285)</f>
        <v>0</v>
      </c>
      <c r="S286" s="837"/>
      <c r="T286" s="836">
        <f ca="1">SUM(T278:T285)</f>
        <v>0</v>
      </c>
      <c r="U286" s="611"/>
      <c r="V286" s="611"/>
      <c r="W286" s="611"/>
      <c r="X286" s="611"/>
      <c r="Y286" s="611"/>
      <c r="Z286" s="611"/>
      <c r="AA286" s="611"/>
      <c r="AB286" s="611"/>
    </row>
    <row r="287" spans="1:28" s="602" customFormat="1" ht="12" thickTop="1">
      <c r="A287" s="63"/>
      <c r="B287" s="63"/>
      <c r="C287" s="63"/>
      <c r="D287" s="63"/>
      <c r="E287" s="63"/>
      <c r="F287" s="63"/>
      <c r="G287" s="63"/>
      <c r="H287" s="63"/>
      <c r="I287" s="63"/>
      <c r="J287" s="63"/>
      <c r="K287" s="63"/>
      <c r="L287" s="63"/>
      <c r="M287" s="63"/>
      <c r="N287" s="63"/>
      <c r="O287" s="64"/>
      <c r="P287" s="63"/>
      <c r="Q287" s="42" t="s">
        <v>180</v>
      </c>
      <c r="R287" s="63"/>
      <c r="S287" s="13"/>
      <c r="T287" s="63"/>
    </row>
    <row r="288" spans="1:28" s="602" customFormat="1" ht="12" customHeight="1" thickBot="1">
      <c r="A288" s="824">
        <v>80</v>
      </c>
      <c r="B288" s="825">
        <f ca="1">Elec_Est!B1064</f>
        <v>50</v>
      </c>
      <c r="C288" s="826"/>
      <c r="D288" s="827" t="s">
        <v>808</v>
      </c>
      <c r="E288" s="828"/>
      <c r="F288" s="828"/>
      <c r="G288" s="676"/>
      <c r="H288" s="676"/>
      <c r="I288" s="829"/>
      <c r="J288" s="676"/>
      <c r="K288" s="826" t="s">
        <v>181</v>
      </c>
      <c r="L288" s="830" t="s">
        <v>181</v>
      </c>
      <c r="M288" s="830"/>
      <c r="N288" s="830"/>
      <c r="O288" s="830"/>
      <c r="P288" s="830"/>
      <c r="Q288" s="831">
        <f ca="1">B288/A288</f>
        <v>0.625</v>
      </c>
      <c r="R288" s="832">
        <f ca="1">IF($B288=0,0,IF($S$1="R",ROUND(R297/$B288,2),R297/$B288))</f>
        <v>8.26</v>
      </c>
      <c r="S288" s="833"/>
      <c r="T288" s="832">
        <f ca="1">IF($B288=0,0,IF($S$1="R",ROUND(T297/$B288,2),T297/$B288))</f>
        <v>0.35</v>
      </c>
    </row>
    <row r="289" spans="1:28" s="602" customFormat="1" ht="13.8" thickTop="1">
      <c r="A289" s="672"/>
      <c r="B289" s="3"/>
      <c r="C289" s="3"/>
      <c r="D289" s="157" t="s">
        <v>182</v>
      </c>
      <c r="E289" s="3"/>
      <c r="F289" s="3"/>
      <c r="G289" s="3"/>
      <c r="H289" s="3"/>
      <c r="I289" s="3"/>
      <c r="J289" s="3"/>
      <c r="K289" s="3"/>
      <c r="L289" s="3"/>
      <c r="M289" s="3"/>
      <c r="N289" s="3"/>
      <c r="O289" s="158"/>
      <c r="P289" s="3"/>
      <c r="Q289" s="3"/>
      <c r="R289" s="3"/>
      <c r="S289" s="3"/>
      <c r="T289" s="3"/>
    </row>
    <row r="290" spans="1:28" s="730" customFormat="1">
      <c r="A290" s="844">
        <f ca="1">$Q$288 *(80)</f>
        <v>50</v>
      </c>
      <c r="B290" s="730" t="s">
        <v>326</v>
      </c>
      <c r="D290" s="730" t="s">
        <v>887</v>
      </c>
      <c r="E290" s="730" t="s">
        <v>866</v>
      </c>
      <c r="F290" s="730" t="s">
        <v>867</v>
      </c>
      <c r="G290" s="731" t="s">
        <v>888</v>
      </c>
      <c r="H290" s="732">
        <v>650</v>
      </c>
      <c r="I290" s="730" t="s">
        <v>674</v>
      </c>
      <c r="O290" s="733">
        <v>1</v>
      </c>
      <c r="P290" s="734">
        <v>36897</v>
      </c>
      <c r="Q290" s="845">
        <f>ROUNDUP(5.77*1.145,2)</f>
        <v>6.6099999999999994</v>
      </c>
      <c r="R290" s="736">
        <f t="shared" ref="R290:R295" ca="1" si="40">$A290*Q290</f>
        <v>330.5</v>
      </c>
      <c r="S290" s="735">
        <v>0.35000000000000003</v>
      </c>
      <c r="T290" s="737">
        <f t="shared" ref="T290:T295" ca="1" si="41">$A290*S290*$T$1</f>
        <v>17.5</v>
      </c>
    </row>
    <row r="291" spans="1:28" s="730" customFormat="1">
      <c r="A291" s="844">
        <f ca="1">$Q$288 *(ROUNDUP(80/3,0))</f>
        <v>16.875</v>
      </c>
      <c r="B291" s="730" t="s">
        <v>326</v>
      </c>
      <c r="D291" s="730" t="s">
        <v>868</v>
      </c>
      <c r="E291" s="730" t="s">
        <v>866</v>
      </c>
      <c r="G291" s="731" t="s">
        <v>869</v>
      </c>
      <c r="H291" s="732">
        <v>650</v>
      </c>
      <c r="I291" s="730" t="s">
        <v>674</v>
      </c>
      <c r="O291" s="733">
        <v>1</v>
      </c>
      <c r="P291" s="734">
        <v>35705</v>
      </c>
      <c r="Q291" s="845">
        <f>ROUNDUP(0.22*2*1.145,2)</f>
        <v>0.51</v>
      </c>
      <c r="R291" s="736">
        <f t="shared" ca="1" si="40"/>
        <v>8.6062499999999993</v>
      </c>
      <c r="S291" s="735"/>
      <c r="T291" s="737">
        <f t="shared" ca="1" si="41"/>
        <v>0</v>
      </c>
    </row>
    <row r="292" spans="1:28" s="730" customFormat="1">
      <c r="A292" s="844">
        <f ca="1">$Q$288 *(ROUNDUP(80/3*8,0))</f>
        <v>133.75</v>
      </c>
      <c r="B292" s="730" t="s">
        <v>141</v>
      </c>
      <c r="D292" s="730" t="s">
        <v>870</v>
      </c>
      <c r="G292" s="731" t="s">
        <v>871</v>
      </c>
      <c r="H292" s="732">
        <v>875</v>
      </c>
      <c r="I292" s="730" t="s">
        <v>674</v>
      </c>
      <c r="K292" s="730" t="s">
        <v>872</v>
      </c>
      <c r="O292" s="733">
        <v>1</v>
      </c>
      <c r="P292" s="734">
        <v>34669</v>
      </c>
      <c r="Q292" s="845">
        <v>7.0000000000000007E-2</v>
      </c>
      <c r="R292" s="736">
        <f t="shared" ca="1" si="40"/>
        <v>9.3625000000000007</v>
      </c>
      <c r="S292" s="735"/>
      <c r="T292" s="737">
        <f t="shared" ca="1" si="41"/>
        <v>0</v>
      </c>
    </row>
    <row r="293" spans="1:28" s="730" customFormat="1">
      <c r="A293" s="844">
        <f ca="1">$Q$288 *(ROUNDUP(80*2,0))</f>
        <v>100</v>
      </c>
      <c r="B293" s="730" t="s">
        <v>141</v>
      </c>
      <c r="D293" s="730" t="s">
        <v>873</v>
      </c>
      <c r="G293" s="731" t="s">
        <v>874</v>
      </c>
      <c r="H293" s="732">
        <v>501</v>
      </c>
      <c r="I293" s="730" t="s">
        <v>875</v>
      </c>
      <c r="J293" s="730" t="s">
        <v>876</v>
      </c>
      <c r="K293" s="730" t="s">
        <v>877</v>
      </c>
      <c r="O293" s="733">
        <v>1</v>
      </c>
      <c r="P293" s="734">
        <v>36175</v>
      </c>
      <c r="Q293" s="845">
        <v>0.51</v>
      </c>
      <c r="R293" s="736">
        <f t="shared" ca="1" si="40"/>
        <v>51</v>
      </c>
      <c r="S293" s="735"/>
      <c r="T293" s="737">
        <f t="shared" ca="1" si="41"/>
        <v>0</v>
      </c>
    </row>
    <row r="294" spans="1:28" s="730" customFormat="1">
      <c r="A294" s="844">
        <f ca="1">$Q$288 *(ROUNDUP(80*2,0))</f>
        <v>100</v>
      </c>
      <c r="B294" s="730" t="s">
        <v>141</v>
      </c>
      <c r="D294" s="730" t="s">
        <v>878</v>
      </c>
      <c r="G294" s="731" t="s">
        <v>879</v>
      </c>
      <c r="H294" s="732">
        <v>501</v>
      </c>
      <c r="I294" s="730" t="s">
        <v>674</v>
      </c>
      <c r="K294" s="730" t="s">
        <v>733</v>
      </c>
      <c r="O294" s="733">
        <v>1</v>
      </c>
      <c r="P294" s="734"/>
      <c r="Q294" s="735">
        <v>0.05</v>
      </c>
      <c r="R294" s="736">
        <f t="shared" ca="1" si="40"/>
        <v>5</v>
      </c>
      <c r="S294" s="735"/>
      <c r="T294" s="737">
        <f t="shared" ca="1" si="41"/>
        <v>0</v>
      </c>
    </row>
    <row r="295" spans="1:28" s="730" customFormat="1">
      <c r="A295" s="844">
        <f ca="1">$Q$288 *(ROUNDUP(80/3,0))</f>
        <v>16.875</v>
      </c>
      <c r="B295" s="730" t="s">
        <v>141</v>
      </c>
      <c r="D295" s="730" t="s">
        <v>880</v>
      </c>
      <c r="G295" s="731" t="s">
        <v>881</v>
      </c>
      <c r="H295" s="732">
        <v>875</v>
      </c>
      <c r="I295" s="730" t="s">
        <v>674</v>
      </c>
      <c r="K295" s="730" t="s">
        <v>882</v>
      </c>
      <c r="O295" s="733">
        <v>1</v>
      </c>
      <c r="P295" s="734">
        <v>34669</v>
      </c>
      <c r="Q295" s="845">
        <v>0.5</v>
      </c>
      <c r="R295" s="736">
        <f t="shared" ca="1" si="40"/>
        <v>8.4375</v>
      </c>
      <c r="S295" s="735">
        <v>0</v>
      </c>
      <c r="T295" s="737">
        <f t="shared" ca="1" si="41"/>
        <v>0</v>
      </c>
    </row>
    <row r="296" spans="1:28" s="602" customFormat="1">
      <c r="A296" s="663"/>
      <c r="B296" s="3"/>
      <c r="C296" s="663" t="s">
        <v>183</v>
      </c>
      <c r="D296" s="3"/>
      <c r="E296" s="663"/>
      <c r="F296" s="664"/>
      <c r="G296" s="663"/>
      <c r="H296" s="663"/>
      <c r="I296" s="601"/>
      <c r="J296" s="663"/>
      <c r="K296" s="663"/>
      <c r="L296" s="663"/>
      <c r="M296" s="663"/>
      <c r="N296" s="663"/>
      <c r="O296" s="663"/>
      <c r="P296" s="663"/>
      <c r="Q296" s="601"/>
      <c r="R296" s="814">
        <f>$A296*Q296</f>
        <v>0</v>
      </c>
      <c r="S296" s="601"/>
      <c r="T296" s="681">
        <f>$A296*S296*$T$1</f>
        <v>0</v>
      </c>
    </row>
    <row r="297" spans="1:28" s="602" customFormat="1" ht="12.6" thickBot="1">
      <c r="A297" s="682" t="s">
        <v>145</v>
      </c>
      <c r="B297" s="683">
        <f>(R296+T296)</f>
        <v>0</v>
      </c>
      <c r="C297" s="684"/>
      <c r="D297" s="834" t="s">
        <v>184</v>
      </c>
      <c r="E297" s="545">
        <f ca="1">IF($B288=0,0,ROUND(ROUND(($R297*$S$2+($T297*$T$2))/$B288, 2)*$C$2,2))</f>
        <v>23.49</v>
      </c>
      <c r="F297" s="546">
        <f ca="1">ROUND($B288*$E297,2)</f>
        <v>1174.5</v>
      </c>
      <c r="G297" s="684"/>
      <c r="H297" s="684"/>
      <c r="I297" s="686"/>
      <c r="J297" s="684"/>
      <c r="K297" s="835" t="s">
        <v>143</v>
      </c>
      <c r="L297" s="687" t="s">
        <v>143</v>
      </c>
      <c r="M297" s="687"/>
      <c r="N297" s="687"/>
      <c r="O297" s="687"/>
      <c r="P297" s="687"/>
      <c r="Q297" s="835"/>
      <c r="R297" s="836">
        <f ca="1">SUM(R289:R296)</f>
        <v>412.90625</v>
      </c>
      <c r="S297" s="837"/>
      <c r="T297" s="836">
        <f ca="1">SUM(T289:T296)</f>
        <v>17.5</v>
      </c>
      <c r="U297" s="611"/>
      <c r="V297" s="611"/>
      <c r="W297" s="611"/>
      <c r="X297" s="611"/>
      <c r="Y297" s="611"/>
      <c r="Z297" s="611"/>
      <c r="AA297" s="611"/>
      <c r="AB297" s="611"/>
    </row>
    <row r="298" spans="1:28" s="602" customFormat="1" ht="12" thickTop="1">
      <c r="A298" s="63"/>
      <c r="B298" s="63"/>
      <c r="C298" s="63"/>
      <c r="D298" s="63"/>
      <c r="E298" s="63"/>
      <c r="F298" s="63"/>
      <c r="G298" s="63"/>
      <c r="H298" s="63"/>
      <c r="I298" s="63"/>
      <c r="J298" s="63"/>
      <c r="K298" s="63"/>
      <c r="L298" s="63"/>
      <c r="M298" s="63"/>
      <c r="N298" s="63"/>
      <c r="O298" s="64"/>
      <c r="P298" s="63"/>
      <c r="Q298" s="42" t="s">
        <v>180</v>
      </c>
      <c r="R298" s="63"/>
      <c r="S298" s="13"/>
      <c r="T298" s="63"/>
    </row>
    <row r="299" spans="1:28" s="602" customFormat="1" ht="12" customHeight="1" thickBot="1">
      <c r="A299" s="824">
        <v>155</v>
      </c>
      <c r="B299" s="825">
        <f ca="1">Elec_Est!B1065</f>
        <v>0</v>
      </c>
      <c r="C299" s="826"/>
      <c r="D299" s="827" t="s">
        <v>809</v>
      </c>
      <c r="E299" s="828"/>
      <c r="F299" s="828"/>
      <c r="G299" s="676"/>
      <c r="H299" s="676"/>
      <c r="I299" s="829"/>
      <c r="J299" s="676"/>
      <c r="K299" s="826" t="s">
        <v>181</v>
      </c>
      <c r="L299" s="830" t="s">
        <v>181</v>
      </c>
      <c r="M299" s="830"/>
      <c r="N299" s="830"/>
      <c r="O299" s="830"/>
      <c r="P299" s="830"/>
      <c r="Q299" s="831">
        <f ca="1">B299/A299</f>
        <v>0</v>
      </c>
      <c r="R299" s="832">
        <f ca="1">IF($B299=0,0,IF($S$1="R",ROUND(R308/$B299,2),R308/$B299))</f>
        <v>0</v>
      </c>
      <c r="S299" s="833"/>
      <c r="T299" s="832">
        <f ca="1">IF($B299=0,0,IF($S$1="R",ROUND(T308/$B299,2),T308/$B299))</f>
        <v>0</v>
      </c>
    </row>
    <row r="300" spans="1:28" s="602" customFormat="1" ht="13.8" thickTop="1">
      <c r="A300" s="672"/>
      <c r="B300" s="3"/>
      <c r="C300" s="3"/>
      <c r="D300" s="157" t="s">
        <v>182</v>
      </c>
      <c r="E300" s="3"/>
      <c r="F300" s="3"/>
      <c r="G300" s="3"/>
      <c r="H300" s="3"/>
      <c r="I300" s="3"/>
      <c r="J300" s="3"/>
      <c r="K300" s="3"/>
      <c r="L300" s="3"/>
      <c r="M300" s="3"/>
      <c r="N300" s="3"/>
      <c r="O300" s="158"/>
      <c r="P300" s="3"/>
      <c r="Q300" s="3"/>
      <c r="R300" s="3"/>
      <c r="S300" s="3"/>
      <c r="T300" s="3"/>
    </row>
    <row r="301" spans="1:28" s="730" customFormat="1">
      <c r="A301" s="844">
        <f ca="1">$Q$299 *(155)</f>
        <v>0</v>
      </c>
      <c r="B301" s="730" t="s">
        <v>326</v>
      </c>
      <c r="D301" s="730" t="s">
        <v>864</v>
      </c>
      <c r="E301" s="730" t="s">
        <v>866</v>
      </c>
      <c r="F301" s="730" t="s">
        <v>867</v>
      </c>
      <c r="G301" s="731" t="s">
        <v>865</v>
      </c>
      <c r="H301" s="732">
        <v>650</v>
      </c>
      <c r="I301" s="730" t="s">
        <v>674</v>
      </c>
      <c r="O301" s="733">
        <v>1</v>
      </c>
      <c r="P301" s="734">
        <v>38052</v>
      </c>
      <c r="Q301" s="845">
        <f>ROUNDUP(9.79*1.145,2)</f>
        <v>11.209999999999999</v>
      </c>
      <c r="R301" s="736">
        <f t="shared" ref="R301:R306" ca="1" si="42">$A301*Q301</f>
        <v>0</v>
      </c>
      <c r="S301" s="735">
        <v>0.45</v>
      </c>
      <c r="T301" s="737">
        <f t="shared" ref="T301:T306" ca="1" si="43">$A301*S301*$T$1</f>
        <v>0</v>
      </c>
    </row>
    <row r="302" spans="1:28" s="730" customFormat="1">
      <c r="A302" s="844">
        <f ca="1">$Q$299 *(ROUNDUP(155/3,0))</f>
        <v>0</v>
      </c>
      <c r="B302" s="730" t="s">
        <v>326</v>
      </c>
      <c r="D302" s="730" t="s">
        <v>868</v>
      </c>
      <c r="E302" s="730" t="s">
        <v>866</v>
      </c>
      <c r="G302" s="731" t="s">
        <v>869</v>
      </c>
      <c r="H302" s="732">
        <v>650</v>
      </c>
      <c r="I302" s="730" t="s">
        <v>674</v>
      </c>
      <c r="O302" s="733">
        <v>1</v>
      </c>
      <c r="P302" s="734">
        <v>35705</v>
      </c>
      <c r="Q302" s="845">
        <f>ROUNDUP(0.22*2*1.145,2)</f>
        <v>0.51</v>
      </c>
      <c r="R302" s="736">
        <f t="shared" ca="1" si="42"/>
        <v>0</v>
      </c>
      <c r="S302" s="735"/>
      <c r="T302" s="737">
        <f t="shared" ca="1" si="43"/>
        <v>0</v>
      </c>
    </row>
    <row r="303" spans="1:28" s="730" customFormat="1">
      <c r="A303" s="844">
        <f ca="1">$Q$299 *(ROUNDUP(155/3*8,0))</f>
        <v>0</v>
      </c>
      <c r="B303" s="730" t="s">
        <v>141</v>
      </c>
      <c r="D303" s="730" t="s">
        <v>870</v>
      </c>
      <c r="G303" s="731" t="s">
        <v>871</v>
      </c>
      <c r="H303" s="732">
        <v>875</v>
      </c>
      <c r="I303" s="730" t="s">
        <v>674</v>
      </c>
      <c r="K303" s="730" t="s">
        <v>872</v>
      </c>
      <c r="O303" s="733">
        <v>1</v>
      </c>
      <c r="P303" s="734">
        <v>34669</v>
      </c>
      <c r="Q303" s="845">
        <v>7.0000000000000007E-2</v>
      </c>
      <c r="R303" s="736">
        <f t="shared" ca="1" si="42"/>
        <v>0</v>
      </c>
      <c r="S303" s="735"/>
      <c r="T303" s="737">
        <f t="shared" ca="1" si="43"/>
        <v>0</v>
      </c>
    </row>
    <row r="304" spans="1:28" s="730" customFormat="1">
      <c r="A304" s="844">
        <f ca="1">$Q$299 *(ROUNDUP(155*3,0))</f>
        <v>0</v>
      </c>
      <c r="B304" s="730" t="s">
        <v>141</v>
      </c>
      <c r="D304" s="730" t="s">
        <v>873</v>
      </c>
      <c r="G304" s="731" t="s">
        <v>874</v>
      </c>
      <c r="H304" s="732">
        <v>501</v>
      </c>
      <c r="I304" s="730" t="s">
        <v>875</v>
      </c>
      <c r="J304" s="730" t="s">
        <v>876</v>
      </c>
      <c r="K304" s="730" t="s">
        <v>877</v>
      </c>
      <c r="O304" s="733">
        <v>1</v>
      </c>
      <c r="P304" s="734">
        <v>36175</v>
      </c>
      <c r="Q304" s="845">
        <v>0.51</v>
      </c>
      <c r="R304" s="736">
        <f t="shared" ca="1" si="42"/>
        <v>0</v>
      </c>
      <c r="S304" s="735"/>
      <c r="T304" s="737">
        <f t="shared" ca="1" si="43"/>
        <v>0</v>
      </c>
    </row>
    <row r="305" spans="1:256" s="730" customFormat="1">
      <c r="A305" s="844">
        <f ca="1">$Q$299 *(ROUNDUP(155*3,0))</f>
        <v>0</v>
      </c>
      <c r="B305" s="730" t="s">
        <v>141</v>
      </c>
      <c r="D305" s="730" t="s">
        <v>878</v>
      </c>
      <c r="G305" s="731" t="s">
        <v>879</v>
      </c>
      <c r="H305" s="732">
        <v>501</v>
      </c>
      <c r="I305" s="730" t="s">
        <v>674</v>
      </c>
      <c r="K305" s="730" t="s">
        <v>733</v>
      </c>
      <c r="O305" s="733">
        <v>1</v>
      </c>
      <c r="P305" s="734"/>
      <c r="Q305" s="735">
        <v>0.05</v>
      </c>
      <c r="R305" s="736">
        <f t="shared" ca="1" si="42"/>
        <v>0</v>
      </c>
      <c r="S305" s="735"/>
      <c r="T305" s="737">
        <f t="shared" ca="1" si="43"/>
        <v>0</v>
      </c>
    </row>
    <row r="306" spans="1:256" s="730" customFormat="1">
      <c r="A306" s="844">
        <f ca="1">$Q$299 *(ROUNDUP(155/3,0))</f>
        <v>0</v>
      </c>
      <c r="B306" s="730" t="s">
        <v>141</v>
      </c>
      <c r="D306" s="730" t="s">
        <v>880</v>
      </c>
      <c r="G306" s="731" t="s">
        <v>881</v>
      </c>
      <c r="H306" s="732">
        <v>875</v>
      </c>
      <c r="I306" s="730" t="s">
        <v>674</v>
      </c>
      <c r="K306" s="730" t="s">
        <v>882</v>
      </c>
      <c r="O306" s="733">
        <v>1</v>
      </c>
      <c r="P306" s="734">
        <v>34669</v>
      </c>
      <c r="Q306" s="845">
        <v>0.5</v>
      </c>
      <c r="R306" s="736">
        <f t="shared" ca="1" si="42"/>
        <v>0</v>
      </c>
      <c r="S306" s="735">
        <v>0</v>
      </c>
      <c r="T306" s="737">
        <f t="shared" ca="1" si="43"/>
        <v>0</v>
      </c>
    </row>
    <row r="307" spans="1:256" s="602" customFormat="1">
      <c r="A307" s="663"/>
      <c r="B307" s="3"/>
      <c r="C307" s="663" t="s">
        <v>183</v>
      </c>
      <c r="D307" s="3"/>
      <c r="E307" s="663"/>
      <c r="F307" s="664"/>
      <c r="G307" s="663"/>
      <c r="H307" s="663"/>
      <c r="I307" s="601"/>
      <c r="J307" s="663"/>
      <c r="K307" s="663"/>
      <c r="L307" s="663"/>
      <c r="M307" s="663"/>
      <c r="N307" s="663"/>
      <c r="O307" s="663"/>
      <c r="P307" s="663"/>
      <c r="Q307" s="601"/>
      <c r="R307" s="814">
        <f>$A307*Q307</f>
        <v>0</v>
      </c>
      <c r="S307" s="601"/>
      <c r="T307" s="681">
        <f>$A307*S307*$T$1</f>
        <v>0</v>
      </c>
    </row>
    <row r="308" spans="1:256" s="602" customFormat="1" ht="12.6" thickBot="1">
      <c r="A308" s="682" t="s">
        <v>145</v>
      </c>
      <c r="B308" s="683">
        <f>(R307+T307)</f>
        <v>0</v>
      </c>
      <c r="C308" s="684"/>
      <c r="D308" s="834" t="s">
        <v>184</v>
      </c>
      <c r="E308" s="545">
        <f ca="1">IF($B299=0,0,ROUND(ROUND(($R308*$S$2+($T308*$T$2))/$B299, 2)*$C$2,2))</f>
        <v>0</v>
      </c>
      <c r="F308" s="546">
        <f ca="1">ROUND($B299*$E308,2)</f>
        <v>0</v>
      </c>
      <c r="G308" s="684"/>
      <c r="H308" s="684"/>
      <c r="I308" s="686"/>
      <c r="J308" s="684"/>
      <c r="K308" s="835" t="s">
        <v>143</v>
      </c>
      <c r="L308" s="687" t="s">
        <v>143</v>
      </c>
      <c r="M308" s="687"/>
      <c r="N308" s="687"/>
      <c r="O308" s="687"/>
      <c r="P308" s="687"/>
      <c r="Q308" s="835"/>
      <c r="R308" s="836">
        <f ca="1">SUM(R300:R307)</f>
        <v>0</v>
      </c>
      <c r="S308" s="837"/>
      <c r="T308" s="836">
        <f ca="1">SUM(T300:T307)</f>
        <v>0</v>
      </c>
      <c r="U308" s="611"/>
      <c r="V308" s="611"/>
      <c r="W308" s="611"/>
      <c r="X308" s="611"/>
      <c r="Y308" s="611"/>
      <c r="Z308" s="611"/>
      <c r="AA308" s="611"/>
      <c r="AB308" s="611"/>
    </row>
    <row r="309" spans="1:256" s="602" customFormat="1" ht="12" customHeight="1" thickTop="1">
      <c r="A309" s="63"/>
      <c r="B309" s="63"/>
      <c r="C309" s="63"/>
      <c r="D309" s="63"/>
      <c r="E309" s="63"/>
      <c r="F309" s="63"/>
      <c r="G309" s="63"/>
      <c r="H309" s="63"/>
      <c r="I309" s="63"/>
      <c r="J309" s="63"/>
      <c r="K309" s="63"/>
      <c r="L309" s="63"/>
      <c r="M309" s="63"/>
      <c r="N309" s="63"/>
      <c r="O309" s="64"/>
      <c r="P309" s="63"/>
      <c r="Q309" s="42" t="s">
        <v>180</v>
      </c>
      <c r="R309" s="63"/>
      <c r="S309" s="13"/>
      <c r="T309" s="63"/>
      <c r="AC309" s="719"/>
    </row>
    <row r="310" spans="1:256" s="730" customFormat="1" ht="12" customHeight="1" thickBot="1">
      <c r="A310" s="824">
        <v>1</v>
      </c>
      <c r="B310" s="825">
        <f ca="1">Elec_Est!B1066</f>
        <v>0</v>
      </c>
      <c r="C310" s="826"/>
      <c r="D310" s="827" t="s">
        <v>953</v>
      </c>
      <c r="E310" s="828"/>
      <c r="F310" s="828"/>
      <c r="G310" s="676"/>
      <c r="H310" s="676"/>
      <c r="I310" s="829"/>
      <c r="J310" s="676"/>
      <c r="K310" s="826" t="s">
        <v>181</v>
      </c>
      <c r="L310" s="830" t="s">
        <v>181</v>
      </c>
      <c r="M310" s="830"/>
      <c r="N310" s="830"/>
      <c r="O310" s="830"/>
      <c r="P310" s="830"/>
      <c r="Q310" s="831">
        <f ca="1">B310/A310</f>
        <v>0</v>
      </c>
      <c r="R310" s="832">
        <f ca="1">IF($B310=0,0,IF($S$1="R",ROUND(R319/$B310,2),R319/$B310))</f>
        <v>0</v>
      </c>
      <c r="S310" s="833"/>
      <c r="T310" s="832">
        <f ca="1">IF($B310=0,0,IF($S$1="R",ROUND(T319/$B310,2),T319/$B310))</f>
        <v>0</v>
      </c>
      <c r="U310" s="602"/>
      <c r="V310" s="602"/>
      <c r="W310" s="602"/>
      <c r="X310" s="602"/>
      <c r="Y310" s="602"/>
      <c r="Z310" s="602"/>
      <c r="AA310" s="719"/>
      <c r="AB310" s="719"/>
      <c r="AC310" s="719"/>
      <c r="AD310" s="719"/>
      <c r="AE310" s="719"/>
      <c r="AF310" s="602"/>
      <c r="AG310" s="602"/>
      <c r="AH310" s="602"/>
      <c r="AI310" s="602"/>
      <c r="AJ310" s="602"/>
      <c r="AK310" s="602"/>
      <c r="AL310" s="602"/>
      <c r="AM310" s="602"/>
      <c r="AN310" s="602"/>
      <c r="AO310" s="602"/>
      <c r="AP310" s="602"/>
      <c r="AQ310" s="602"/>
      <c r="AR310" s="602"/>
      <c r="AS310" s="602"/>
      <c r="AT310" s="602"/>
      <c r="AU310" s="602"/>
      <c r="AV310" s="602"/>
      <c r="AW310" s="602"/>
      <c r="AX310" s="602"/>
      <c r="AY310" s="602"/>
      <c r="AZ310" s="602"/>
      <c r="BA310" s="602"/>
      <c r="BB310" s="602"/>
      <c r="BC310" s="602"/>
      <c r="BD310" s="602"/>
      <c r="BE310" s="602"/>
      <c r="BF310" s="602"/>
      <c r="BG310" s="602"/>
      <c r="BH310" s="602"/>
      <c r="BI310" s="602"/>
      <c r="BJ310" s="602"/>
      <c r="BK310" s="602"/>
      <c r="BL310" s="602"/>
      <c r="BM310" s="602"/>
      <c r="BN310" s="602"/>
      <c r="BO310" s="602"/>
      <c r="BP310" s="602"/>
      <c r="BQ310" s="602"/>
      <c r="BR310" s="602"/>
      <c r="BS310" s="602"/>
      <c r="BT310" s="602"/>
      <c r="BU310" s="602"/>
      <c r="BV310" s="602"/>
      <c r="BW310" s="602"/>
      <c r="BX310" s="602"/>
      <c r="BY310" s="602"/>
      <c r="BZ310" s="602"/>
      <c r="CA310" s="602"/>
      <c r="CB310" s="602"/>
      <c r="CC310" s="602"/>
      <c r="CD310" s="602"/>
      <c r="CE310" s="602"/>
      <c r="CF310" s="602"/>
      <c r="CG310" s="602"/>
      <c r="CH310" s="602"/>
      <c r="CI310" s="602"/>
      <c r="CJ310" s="602"/>
      <c r="CK310" s="602"/>
      <c r="CL310" s="602"/>
      <c r="CM310" s="602"/>
      <c r="CN310" s="602"/>
      <c r="CO310" s="602"/>
      <c r="CP310" s="602"/>
      <c r="CQ310" s="602"/>
      <c r="CR310" s="602"/>
      <c r="CS310" s="602"/>
      <c r="CT310" s="602"/>
      <c r="CU310" s="602"/>
      <c r="CV310" s="602"/>
      <c r="CW310" s="602"/>
      <c r="CX310" s="602"/>
      <c r="CY310" s="602"/>
      <c r="CZ310" s="602"/>
      <c r="DA310" s="602"/>
      <c r="DB310" s="602"/>
      <c r="DC310" s="602"/>
      <c r="DD310" s="602"/>
      <c r="DE310" s="602"/>
      <c r="DF310" s="602"/>
      <c r="DG310" s="602"/>
      <c r="DH310" s="602"/>
      <c r="DI310" s="602"/>
      <c r="DJ310" s="602"/>
      <c r="DK310" s="602"/>
      <c r="DL310" s="602"/>
      <c r="DM310" s="602"/>
      <c r="DN310" s="602"/>
      <c r="DO310" s="602"/>
      <c r="DP310" s="602"/>
      <c r="DQ310" s="602"/>
      <c r="DR310" s="602"/>
      <c r="DS310" s="602"/>
      <c r="DT310" s="602"/>
      <c r="DU310" s="602"/>
      <c r="DV310" s="602"/>
      <c r="DW310" s="602"/>
      <c r="DX310" s="602"/>
      <c r="DY310" s="602"/>
      <c r="DZ310" s="602"/>
      <c r="EA310" s="602"/>
      <c r="EB310" s="602"/>
      <c r="EC310" s="602"/>
      <c r="ED310" s="602"/>
      <c r="EE310" s="602"/>
      <c r="EF310" s="602"/>
      <c r="EG310" s="602"/>
      <c r="EH310" s="602"/>
      <c r="EI310" s="602"/>
      <c r="EJ310" s="602"/>
      <c r="EK310" s="602"/>
      <c r="EL310" s="602"/>
      <c r="EM310" s="602"/>
      <c r="EN310" s="602"/>
      <c r="EO310" s="602"/>
      <c r="EP310" s="602"/>
      <c r="EQ310" s="602"/>
      <c r="ER310" s="602"/>
      <c r="ES310" s="602"/>
      <c r="ET310" s="602"/>
      <c r="EU310" s="602"/>
      <c r="EV310" s="602"/>
      <c r="EW310" s="602"/>
      <c r="EX310" s="602"/>
      <c r="EY310" s="602"/>
      <c r="EZ310" s="602"/>
      <c r="FA310" s="602"/>
      <c r="FB310" s="602"/>
      <c r="FC310" s="602"/>
      <c r="FD310" s="602"/>
      <c r="FE310" s="602"/>
      <c r="FF310" s="602"/>
      <c r="FG310" s="602"/>
      <c r="FH310" s="602"/>
      <c r="FI310" s="602"/>
      <c r="FJ310" s="602"/>
      <c r="FK310" s="602"/>
      <c r="FL310" s="602"/>
      <c r="FM310" s="602"/>
      <c r="FN310" s="602"/>
      <c r="FO310" s="602"/>
      <c r="FP310" s="602"/>
      <c r="FQ310" s="602"/>
      <c r="FR310" s="602"/>
      <c r="FS310" s="602"/>
      <c r="FT310" s="602"/>
      <c r="FU310" s="602"/>
      <c r="FV310" s="602"/>
      <c r="FW310" s="602"/>
      <c r="FX310" s="602"/>
      <c r="FY310" s="602"/>
      <c r="FZ310" s="602"/>
      <c r="GA310" s="602"/>
      <c r="GB310" s="602"/>
      <c r="GC310" s="602"/>
      <c r="GD310" s="602"/>
      <c r="GE310" s="602"/>
      <c r="GF310" s="602"/>
      <c r="GG310" s="602"/>
      <c r="GH310" s="602"/>
      <c r="GI310" s="602"/>
      <c r="GJ310" s="602"/>
      <c r="GK310" s="602"/>
      <c r="GL310" s="602"/>
      <c r="GM310" s="602"/>
      <c r="GN310" s="602"/>
      <c r="GO310" s="602"/>
      <c r="GP310" s="602"/>
      <c r="GQ310" s="602"/>
      <c r="GR310" s="602"/>
      <c r="GS310" s="602"/>
      <c r="GT310" s="602"/>
      <c r="GU310" s="602"/>
      <c r="GV310" s="602"/>
      <c r="GW310" s="602"/>
      <c r="GX310" s="602"/>
      <c r="GY310" s="602"/>
      <c r="GZ310" s="602"/>
      <c r="HA310" s="602"/>
      <c r="HB310" s="602"/>
      <c r="HC310" s="602"/>
      <c r="HD310" s="602"/>
      <c r="HE310" s="602"/>
      <c r="HF310" s="602"/>
      <c r="HG310" s="602"/>
      <c r="HH310" s="602"/>
      <c r="HI310" s="602"/>
      <c r="HJ310" s="602"/>
      <c r="HK310" s="602"/>
      <c r="HL310" s="602"/>
      <c r="HM310" s="602"/>
      <c r="HN310" s="602"/>
      <c r="HO310" s="602"/>
      <c r="HP310" s="602"/>
      <c r="HQ310" s="602"/>
      <c r="HR310" s="602"/>
      <c r="HS310" s="602"/>
      <c r="HT310" s="602"/>
      <c r="HU310" s="602"/>
      <c r="HV310" s="602"/>
      <c r="HW310" s="602"/>
      <c r="HX310" s="602"/>
      <c r="HY310" s="602"/>
      <c r="HZ310" s="602"/>
      <c r="IA310" s="602"/>
      <c r="IB310" s="602"/>
      <c r="IC310" s="602"/>
      <c r="ID310" s="602"/>
      <c r="IE310" s="602"/>
      <c r="IF310" s="602"/>
      <c r="IG310" s="602"/>
      <c r="IH310" s="602"/>
      <c r="II310" s="602"/>
      <c r="IJ310" s="602"/>
      <c r="IK310" s="602"/>
      <c r="IL310" s="602"/>
      <c r="IM310" s="602"/>
      <c r="IN310" s="602"/>
      <c r="IO310" s="602"/>
      <c r="IP310" s="602"/>
      <c r="IQ310" s="602"/>
      <c r="IR310" s="602"/>
      <c r="IS310" s="602"/>
      <c r="IT310" s="602"/>
      <c r="IU310" s="602"/>
      <c r="IV310" s="602"/>
    </row>
    <row r="311" spans="1:256" s="602" customFormat="1" ht="12" customHeight="1" thickTop="1">
      <c r="A311" s="672"/>
      <c r="B311" s="3"/>
      <c r="C311" s="3"/>
      <c r="D311" s="157" t="s">
        <v>955</v>
      </c>
      <c r="E311" s="3"/>
      <c r="F311" s="3"/>
      <c r="G311" s="3"/>
      <c r="H311" s="3"/>
      <c r="I311" s="3"/>
      <c r="J311" s="3"/>
      <c r="K311" s="3"/>
      <c r="L311" s="3"/>
      <c r="M311" s="3"/>
      <c r="N311" s="3"/>
      <c r="O311" s="158"/>
      <c r="P311" s="3"/>
      <c r="Q311" s="3"/>
      <c r="R311" s="3"/>
      <c r="S311" s="3"/>
      <c r="T311" s="3"/>
      <c r="AA311" s="730"/>
      <c r="AB311" s="719"/>
      <c r="AC311" s="719"/>
      <c r="AD311" s="719"/>
      <c r="AE311" s="719"/>
    </row>
    <row r="312" spans="1:256" s="602" customFormat="1" ht="12" customHeight="1">
      <c r="A312" s="672"/>
      <c r="B312" s="3"/>
      <c r="C312" s="3"/>
      <c r="D312" s="847" t="s">
        <v>954</v>
      </c>
      <c r="F312" s="848"/>
      <c r="G312" s="3"/>
      <c r="H312" s="3"/>
      <c r="I312" s="3"/>
      <c r="J312" s="3"/>
      <c r="K312" s="3"/>
      <c r="L312" s="3"/>
      <c r="M312" s="3"/>
      <c r="N312" s="3"/>
      <c r="O312" s="158"/>
      <c r="P312" s="3"/>
      <c r="Q312" s="3"/>
      <c r="R312" s="726">
        <f t="shared" ref="R312:R318" si="44">$A312*Q312</f>
        <v>0</v>
      </c>
      <c r="S312" s="3"/>
      <c r="T312" s="727">
        <f t="shared" ref="T312:T318" si="45">$A312*S312*$T$1</f>
        <v>0</v>
      </c>
      <c r="AA312" s="730"/>
      <c r="AB312" s="719"/>
      <c r="AC312" s="719"/>
      <c r="AD312" s="719"/>
      <c r="AE312" s="719"/>
    </row>
    <row r="313" spans="1:256" s="602" customFormat="1" ht="12" customHeight="1">
      <c r="A313" s="849">
        <f ca="1">$Q$310*(2)</f>
        <v>0</v>
      </c>
      <c r="B313" s="730" t="s">
        <v>141</v>
      </c>
      <c r="C313" s="730"/>
      <c r="D313" s="730" t="s">
        <v>925</v>
      </c>
      <c r="E313" s="730"/>
      <c r="F313" s="730"/>
      <c r="G313" s="731" t="s">
        <v>926</v>
      </c>
      <c r="H313" s="732">
        <v>875</v>
      </c>
      <c r="I313" s="730" t="s">
        <v>875</v>
      </c>
      <c r="J313" s="730" t="s">
        <v>927</v>
      </c>
      <c r="K313" s="730" t="s">
        <v>928</v>
      </c>
      <c r="L313" s="730"/>
      <c r="M313" s="730"/>
      <c r="N313" s="730"/>
      <c r="O313" s="733">
        <v>1</v>
      </c>
      <c r="P313" s="734">
        <v>36175</v>
      </c>
      <c r="Q313" s="735">
        <v>0.3</v>
      </c>
      <c r="R313" s="736">
        <f t="shared" ca="1" si="44"/>
        <v>0</v>
      </c>
      <c r="S313" s="735"/>
      <c r="T313" s="737">
        <f t="shared" ca="1" si="45"/>
        <v>0</v>
      </c>
      <c r="U313"/>
      <c r="X313"/>
      <c r="Y313"/>
      <c r="Z313"/>
      <c r="AA313" s="730"/>
      <c r="AB313" s="719"/>
      <c r="AC313" s="719"/>
      <c r="AD313" s="719"/>
      <c r="AE313" s="719"/>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row>
    <row r="314" spans="1:256" s="730" customFormat="1" ht="12" customHeight="1">
      <c r="A314" s="849">
        <f ca="1">$Q$310*(3.5)</f>
        <v>0</v>
      </c>
      <c r="B314" s="850" t="s">
        <v>326</v>
      </c>
      <c r="C314" s="850"/>
      <c r="D314" s="724" t="s">
        <v>908</v>
      </c>
      <c r="E314" s="730" t="s">
        <v>866</v>
      </c>
      <c r="F314" s="855"/>
      <c r="G314" s="731" t="s">
        <v>909</v>
      </c>
      <c r="H314" s="732">
        <v>501</v>
      </c>
      <c r="I314" s="852" t="s">
        <v>875</v>
      </c>
      <c r="J314" s="856" t="s">
        <v>910</v>
      </c>
      <c r="K314" s="724" t="s">
        <v>7</v>
      </c>
      <c r="L314" s="850"/>
      <c r="M314" s="850"/>
      <c r="N314" s="850"/>
      <c r="O314" s="853">
        <v>1</v>
      </c>
      <c r="P314" s="854">
        <v>36175</v>
      </c>
      <c r="Q314" s="845">
        <f>ROUNDUP(1.45*1.145,2)</f>
        <v>1.67</v>
      </c>
      <c r="R314" s="726">
        <f t="shared" ca="1" si="44"/>
        <v>0</v>
      </c>
      <c r="S314" s="850"/>
      <c r="T314" s="727">
        <f t="shared" ca="1" si="45"/>
        <v>0</v>
      </c>
      <c r="U314"/>
      <c r="V314" s="602"/>
      <c r="W314" s="602"/>
      <c r="X314"/>
      <c r="Y314"/>
      <c r="Z314"/>
      <c r="AA314" s="719"/>
      <c r="AB314" s="719"/>
      <c r="AC314" s="719"/>
      <c r="AD314" s="719"/>
      <c r="AE314" s="719"/>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row>
    <row r="315" spans="1:256" s="602" customFormat="1" ht="12" customHeight="1">
      <c r="A315" s="849">
        <f ca="1">$Q$310*(1)</f>
        <v>0</v>
      </c>
      <c r="B315" s="850" t="s">
        <v>141</v>
      </c>
      <c r="C315" s="850"/>
      <c r="D315" s="724" t="s">
        <v>911</v>
      </c>
      <c r="E315" s="851"/>
      <c r="F315" s="855"/>
      <c r="G315" s="731" t="s">
        <v>912</v>
      </c>
      <c r="H315" s="732">
        <v>501</v>
      </c>
      <c r="I315" s="856" t="s">
        <v>686</v>
      </c>
      <c r="J315" s="856"/>
      <c r="K315" s="724" t="s">
        <v>7</v>
      </c>
      <c r="L315" s="850"/>
      <c r="M315" s="850"/>
      <c r="N315" s="850"/>
      <c r="O315" s="857">
        <v>3</v>
      </c>
      <c r="P315" s="858"/>
      <c r="Q315" s="859"/>
      <c r="R315" s="726">
        <f t="shared" ca="1" si="44"/>
        <v>0</v>
      </c>
      <c r="S315" s="724">
        <v>0.5</v>
      </c>
      <c r="T315" s="727">
        <f t="shared" ca="1" si="45"/>
        <v>0</v>
      </c>
      <c r="U315" t="s">
        <v>913</v>
      </c>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row>
    <row r="316" spans="1:256" s="730" customFormat="1" ht="11.4">
      <c r="A316" s="849">
        <f ca="1">$Q$310*(2)</f>
        <v>0</v>
      </c>
      <c r="B316" s="730" t="s">
        <v>141</v>
      </c>
      <c r="D316" s="730" t="s">
        <v>944</v>
      </c>
      <c r="F316" s="730" t="s">
        <v>951</v>
      </c>
      <c r="G316" s="731" t="s">
        <v>945</v>
      </c>
      <c r="H316" s="732">
        <v>501</v>
      </c>
      <c r="I316" s="730" t="s">
        <v>875</v>
      </c>
      <c r="J316" s="730" t="s">
        <v>946</v>
      </c>
      <c r="K316" s="730" t="s">
        <v>947</v>
      </c>
      <c r="O316" s="733">
        <v>1</v>
      </c>
      <c r="P316" s="734">
        <v>36175</v>
      </c>
      <c r="Q316" s="724">
        <v>1.55</v>
      </c>
      <c r="R316" s="736">
        <f t="shared" ca="1" si="44"/>
        <v>0</v>
      </c>
      <c r="S316" s="735"/>
      <c r="T316" s="737">
        <f t="shared" ca="1" si="45"/>
        <v>0</v>
      </c>
    </row>
    <row r="317" spans="1:256" s="730" customFormat="1" ht="11.4">
      <c r="A317" s="849">
        <f ca="1">$Q$310*(4)</f>
        <v>0</v>
      </c>
      <c r="B317" s="730" t="s">
        <v>141</v>
      </c>
      <c r="D317" s="730" t="s">
        <v>948</v>
      </c>
      <c r="F317" s="730" t="s">
        <v>952</v>
      </c>
      <c r="G317" s="731" t="s">
        <v>924</v>
      </c>
      <c r="H317" s="732">
        <v>501</v>
      </c>
      <c r="I317" s="730" t="s">
        <v>875</v>
      </c>
      <c r="J317" s="730" t="s">
        <v>949</v>
      </c>
      <c r="K317" s="730" t="s">
        <v>950</v>
      </c>
      <c r="O317" s="733">
        <v>1</v>
      </c>
      <c r="P317" s="734">
        <v>36175</v>
      </c>
      <c r="Q317" s="724">
        <v>2.6</v>
      </c>
      <c r="R317" s="736">
        <f t="shared" ca="1" si="44"/>
        <v>0</v>
      </c>
      <c r="S317" s="735"/>
      <c r="T317" s="737">
        <f t="shared" ca="1" si="45"/>
        <v>0</v>
      </c>
    </row>
    <row r="318" spans="1:256" s="602" customFormat="1" ht="12" customHeight="1">
      <c r="A318" s="663"/>
      <c r="B318" s="3"/>
      <c r="C318" s="663" t="s">
        <v>183</v>
      </c>
      <c r="D318" s="3"/>
      <c r="E318" s="663"/>
      <c r="F318" s="664"/>
      <c r="G318" s="663"/>
      <c r="H318" s="663"/>
      <c r="I318" s="601"/>
      <c r="J318" s="663"/>
      <c r="K318" s="663"/>
      <c r="L318" s="663"/>
      <c r="M318" s="663"/>
      <c r="N318" s="663"/>
      <c r="O318" s="663"/>
      <c r="P318" s="663"/>
      <c r="Q318" s="601"/>
      <c r="R318" s="814">
        <f t="shared" si="44"/>
        <v>0</v>
      </c>
      <c r="S318" s="601"/>
      <c r="T318" s="681">
        <f t="shared" si="45"/>
        <v>0</v>
      </c>
    </row>
    <row r="319" spans="1:256" s="602" customFormat="1" ht="12" customHeight="1" thickBot="1">
      <c r="A319" s="682" t="s">
        <v>145</v>
      </c>
      <c r="B319" s="683">
        <f>(R318+T318)</f>
        <v>0</v>
      </c>
      <c r="C319" s="684"/>
      <c r="D319" s="834" t="s">
        <v>184</v>
      </c>
      <c r="E319" s="545">
        <f ca="1">IF($B310=0,0,ROUND(ROUND(($R319*$S$2+($T319*$T$2))/$B310, 2)*$C$2,2))</f>
        <v>0</v>
      </c>
      <c r="F319" s="546">
        <f ca="1">ROUND($B310*$E319,2)</f>
        <v>0</v>
      </c>
      <c r="G319" s="684"/>
      <c r="H319" s="684"/>
      <c r="I319" s="686"/>
      <c r="J319" s="684"/>
      <c r="K319" s="835" t="s">
        <v>143</v>
      </c>
      <c r="L319" s="687" t="s">
        <v>143</v>
      </c>
      <c r="M319" s="687"/>
      <c r="N319" s="687"/>
      <c r="O319" s="687"/>
      <c r="P319" s="687"/>
      <c r="Q319" s="835"/>
      <c r="R319" s="836">
        <f ca="1">SUM(R311:R318)</f>
        <v>0</v>
      </c>
      <c r="S319" s="837"/>
      <c r="T319" s="836">
        <f ca="1">SUM(T311:T318)</f>
        <v>0</v>
      </c>
      <c r="U319" s="611"/>
      <c r="V319" s="611"/>
      <c r="W319" s="611"/>
      <c r="X319" s="611"/>
      <c r="Y319" s="611"/>
      <c r="Z319" s="611"/>
      <c r="AA319" s="611"/>
      <c r="AB319" s="611"/>
    </row>
    <row r="320" spans="1:256" s="602" customFormat="1" ht="12" customHeight="1" thickTop="1">
      <c r="A320" s="63"/>
      <c r="B320" s="63"/>
      <c r="C320" s="63"/>
      <c r="D320" s="63"/>
      <c r="E320" s="63"/>
      <c r="F320" s="63"/>
      <c r="G320" s="63"/>
      <c r="H320" s="63"/>
      <c r="I320" s="63"/>
      <c r="J320" s="63"/>
      <c r="K320" s="63"/>
      <c r="L320" s="63"/>
      <c r="M320" s="63"/>
      <c r="N320" s="63"/>
      <c r="O320" s="64"/>
      <c r="P320" s="63"/>
      <c r="Q320" s="42" t="s">
        <v>180</v>
      </c>
      <c r="R320" s="63"/>
      <c r="S320" s="13"/>
      <c r="T320" s="63"/>
      <c r="AC320" s="719"/>
    </row>
    <row r="321" spans="1:256" s="730" customFormat="1" ht="12" customHeight="1" thickBot="1">
      <c r="A321" s="824">
        <v>137</v>
      </c>
      <c r="B321" s="825">
        <f ca="1">Elec_Est!B1067</f>
        <v>100</v>
      </c>
      <c r="C321" s="826"/>
      <c r="D321" s="827" t="s">
        <v>939</v>
      </c>
      <c r="E321" s="828"/>
      <c r="F321" s="828"/>
      <c r="G321" s="676"/>
      <c r="H321" s="676"/>
      <c r="I321" s="829"/>
      <c r="J321" s="676"/>
      <c r="K321" s="826" t="s">
        <v>181</v>
      </c>
      <c r="L321" s="830" t="s">
        <v>181</v>
      </c>
      <c r="M321" s="830"/>
      <c r="N321" s="830"/>
      <c r="O321" s="830"/>
      <c r="P321" s="830"/>
      <c r="Q321" s="831">
        <f ca="1">B321/A321</f>
        <v>0.72992700729927007</v>
      </c>
      <c r="R321" s="832">
        <f ca="1">IF($B321=0,0,IF($S$1="R",ROUND(R332/$B321,2),R332/$B321))</f>
        <v>3.72</v>
      </c>
      <c r="S321" s="833"/>
      <c r="T321" s="832">
        <f ca="1">IF($B321=0,0,IF($S$1="R",ROUND(T332/$B321,2),T332/$B321))</f>
        <v>0.25</v>
      </c>
      <c r="U321" s="602"/>
      <c r="V321" s="602"/>
      <c r="W321" s="602"/>
      <c r="X321" s="602"/>
      <c r="Y321" s="602"/>
      <c r="Z321" s="602"/>
      <c r="AA321" s="719"/>
      <c r="AB321" s="719"/>
      <c r="AC321" s="719"/>
      <c r="AD321" s="719"/>
      <c r="AE321" s="719"/>
      <c r="AF321" s="602"/>
      <c r="AG321" s="602"/>
      <c r="AH321" s="602"/>
      <c r="AI321" s="602"/>
      <c r="AJ321" s="602"/>
      <c r="AK321" s="602"/>
      <c r="AL321" s="602"/>
      <c r="AM321" s="602"/>
      <c r="AN321" s="602"/>
      <c r="AO321" s="602"/>
      <c r="AP321" s="602"/>
      <c r="AQ321" s="602"/>
      <c r="AR321" s="602"/>
      <c r="AS321" s="602"/>
      <c r="AT321" s="602"/>
      <c r="AU321" s="602"/>
      <c r="AV321" s="602"/>
      <c r="AW321" s="602"/>
      <c r="AX321" s="602"/>
      <c r="AY321" s="602"/>
      <c r="AZ321" s="602"/>
      <c r="BA321" s="602"/>
      <c r="BB321" s="602"/>
      <c r="BC321" s="602"/>
      <c r="BD321" s="602"/>
      <c r="BE321" s="602"/>
      <c r="BF321" s="602"/>
      <c r="BG321" s="602"/>
      <c r="BH321" s="602"/>
      <c r="BI321" s="602"/>
      <c r="BJ321" s="602"/>
      <c r="BK321" s="602"/>
      <c r="BL321" s="602"/>
      <c r="BM321" s="602"/>
      <c r="BN321" s="602"/>
      <c r="BO321" s="602"/>
      <c r="BP321" s="602"/>
      <c r="BQ321" s="602"/>
      <c r="BR321" s="602"/>
      <c r="BS321" s="602"/>
      <c r="BT321" s="602"/>
      <c r="BU321" s="602"/>
      <c r="BV321" s="602"/>
      <c r="BW321" s="602"/>
      <c r="BX321" s="602"/>
      <c r="BY321" s="602"/>
      <c r="BZ321" s="602"/>
      <c r="CA321" s="602"/>
      <c r="CB321" s="602"/>
      <c r="CC321" s="602"/>
      <c r="CD321" s="602"/>
      <c r="CE321" s="602"/>
      <c r="CF321" s="602"/>
      <c r="CG321" s="602"/>
      <c r="CH321" s="602"/>
      <c r="CI321" s="602"/>
      <c r="CJ321" s="602"/>
      <c r="CK321" s="602"/>
      <c r="CL321" s="602"/>
      <c r="CM321" s="602"/>
      <c r="CN321" s="602"/>
      <c r="CO321" s="602"/>
      <c r="CP321" s="602"/>
      <c r="CQ321" s="602"/>
      <c r="CR321" s="602"/>
      <c r="CS321" s="602"/>
      <c r="CT321" s="602"/>
      <c r="CU321" s="602"/>
      <c r="CV321" s="602"/>
      <c r="CW321" s="602"/>
      <c r="CX321" s="602"/>
      <c r="CY321" s="602"/>
      <c r="CZ321" s="602"/>
      <c r="DA321" s="602"/>
      <c r="DB321" s="602"/>
      <c r="DC321" s="602"/>
      <c r="DD321" s="602"/>
      <c r="DE321" s="602"/>
      <c r="DF321" s="602"/>
      <c r="DG321" s="602"/>
      <c r="DH321" s="602"/>
      <c r="DI321" s="602"/>
      <c r="DJ321" s="602"/>
      <c r="DK321" s="602"/>
      <c r="DL321" s="602"/>
      <c r="DM321" s="602"/>
      <c r="DN321" s="602"/>
      <c r="DO321" s="602"/>
      <c r="DP321" s="602"/>
      <c r="DQ321" s="602"/>
      <c r="DR321" s="602"/>
      <c r="DS321" s="602"/>
      <c r="DT321" s="602"/>
      <c r="DU321" s="602"/>
      <c r="DV321" s="602"/>
      <c r="DW321" s="602"/>
      <c r="DX321" s="602"/>
      <c r="DY321" s="602"/>
      <c r="DZ321" s="602"/>
      <c r="EA321" s="602"/>
      <c r="EB321" s="602"/>
      <c r="EC321" s="602"/>
      <c r="ED321" s="602"/>
      <c r="EE321" s="602"/>
      <c r="EF321" s="602"/>
      <c r="EG321" s="602"/>
      <c r="EH321" s="602"/>
      <c r="EI321" s="602"/>
      <c r="EJ321" s="602"/>
      <c r="EK321" s="602"/>
      <c r="EL321" s="602"/>
      <c r="EM321" s="602"/>
      <c r="EN321" s="602"/>
      <c r="EO321" s="602"/>
      <c r="EP321" s="602"/>
      <c r="EQ321" s="602"/>
      <c r="ER321" s="602"/>
      <c r="ES321" s="602"/>
      <c r="ET321" s="602"/>
      <c r="EU321" s="602"/>
      <c r="EV321" s="602"/>
      <c r="EW321" s="602"/>
      <c r="EX321" s="602"/>
      <c r="EY321" s="602"/>
      <c r="EZ321" s="602"/>
      <c r="FA321" s="602"/>
      <c r="FB321" s="602"/>
      <c r="FC321" s="602"/>
      <c r="FD321" s="602"/>
      <c r="FE321" s="602"/>
      <c r="FF321" s="602"/>
      <c r="FG321" s="602"/>
      <c r="FH321" s="602"/>
      <c r="FI321" s="602"/>
      <c r="FJ321" s="602"/>
      <c r="FK321" s="602"/>
      <c r="FL321" s="602"/>
      <c r="FM321" s="602"/>
      <c r="FN321" s="602"/>
      <c r="FO321" s="602"/>
      <c r="FP321" s="602"/>
      <c r="FQ321" s="602"/>
      <c r="FR321" s="602"/>
      <c r="FS321" s="602"/>
      <c r="FT321" s="602"/>
      <c r="FU321" s="602"/>
      <c r="FV321" s="602"/>
      <c r="FW321" s="602"/>
      <c r="FX321" s="602"/>
      <c r="FY321" s="602"/>
      <c r="FZ321" s="602"/>
      <c r="GA321" s="602"/>
      <c r="GB321" s="602"/>
      <c r="GC321" s="602"/>
      <c r="GD321" s="602"/>
      <c r="GE321" s="602"/>
      <c r="GF321" s="602"/>
      <c r="GG321" s="602"/>
      <c r="GH321" s="602"/>
      <c r="GI321" s="602"/>
      <c r="GJ321" s="602"/>
      <c r="GK321" s="602"/>
      <c r="GL321" s="602"/>
      <c r="GM321" s="602"/>
      <c r="GN321" s="602"/>
      <c r="GO321" s="602"/>
      <c r="GP321" s="602"/>
      <c r="GQ321" s="602"/>
      <c r="GR321" s="602"/>
      <c r="GS321" s="602"/>
      <c r="GT321" s="602"/>
      <c r="GU321" s="602"/>
      <c r="GV321" s="602"/>
      <c r="GW321" s="602"/>
      <c r="GX321" s="602"/>
      <c r="GY321" s="602"/>
      <c r="GZ321" s="602"/>
      <c r="HA321" s="602"/>
      <c r="HB321" s="602"/>
      <c r="HC321" s="602"/>
      <c r="HD321" s="602"/>
      <c r="HE321" s="602"/>
      <c r="HF321" s="602"/>
      <c r="HG321" s="602"/>
      <c r="HH321" s="602"/>
      <c r="HI321" s="602"/>
      <c r="HJ321" s="602"/>
      <c r="HK321" s="602"/>
      <c r="HL321" s="602"/>
      <c r="HM321" s="602"/>
      <c r="HN321" s="602"/>
      <c r="HO321" s="602"/>
      <c r="HP321" s="602"/>
      <c r="HQ321" s="602"/>
      <c r="HR321" s="602"/>
      <c r="HS321" s="602"/>
      <c r="HT321" s="602"/>
      <c r="HU321" s="602"/>
      <c r="HV321" s="602"/>
      <c r="HW321" s="602"/>
      <c r="HX321" s="602"/>
      <c r="HY321" s="602"/>
      <c r="HZ321" s="602"/>
      <c r="IA321" s="602"/>
      <c r="IB321" s="602"/>
      <c r="IC321" s="602"/>
      <c r="ID321" s="602"/>
      <c r="IE321" s="602"/>
      <c r="IF321" s="602"/>
      <c r="IG321" s="602"/>
      <c r="IH321" s="602"/>
      <c r="II321" s="602"/>
      <c r="IJ321" s="602"/>
      <c r="IK321" s="602"/>
      <c r="IL321" s="602"/>
      <c r="IM321" s="602"/>
      <c r="IN321" s="602"/>
      <c r="IO321" s="602"/>
      <c r="IP321" s="602"/>
      <c r="IQ321" s="602"/>
      <c r="IR321" s="602"/>
      <c r="IS321" s="602"/>
      <c r="IT321" s="602"/>
      <c r="IU321" s="602"/>
      <c r="IV321" s="602"/>
    </row>
    <row r="322" spans="1:256" s="730" customFormat="1" ht="12" customHeight="1" thickTop="1">
      <c r="A322" s="672"/>
      <c r="B322" s="3"/>
      <c r="C322" s="3"/>
      <c r="D322" s="157" t="s">
        <v>943</v>
      </c>
      <c r="E322" s="3"/>
      <c r="F322" s="3"/>
      <c r="G322" s="3"/>
      <c r="H322" s="3"/>
      <c r="I322" s="3"/>
      <c r="J322" s="3"/>
      <c r="K322" s="3"/>
      <c r="L322" s="3"/>
      <c r="M322" s="3"/>
      <c r="N322" s="3"/>
      <c r="O322" s="158"/>
      <c r="P322" s="3"/>
      <c r="Q322" s="3"/>
      <c r="R322" s="3"/>
      <c r="S322" s="3"/>
      <c r="T322" s="3"/>
      <c r="U322" s="602"/>
      <c r="V322" s="602"/>
      <c r="W322" s="602"/>
      <c r="X322" s="602"/>
      <c r="Y322" s="602"/>
      <c r="Z322" s="602"/>
      <c r="AB322" s="719"/>
      <c r="AC322" s="719"/>
      <c r="AD322" s="719"/>
      <c r="AE322" s="719"/>
      <c r="AF322" s="602"/>
      <c r="AG322" s="602"/>
      <c r="AH322" s="602"/>
      <c r="AI322" s="602"/>
      <c r="AJ322" s="602"/>
      <c r="AK322" s="602"/>
      <c r="AL322" s="602"/>
      <c r="AM322" s="602"/>
      <c r="AN322" s="602"/>
      <c r="AO322" s="602"/>
      <c r="AP322" s="602"/>
      <c r="AQ322" s="602"/>
      <c r="AR322" s="602"/>
      <c r="AS322" s="602"/>
      <c r="AT322" s="602"/>
      <c r="AU322" s="602"/>
      <c r="AV322" s="602"/>
      <c r="AW322" s="602"/>
      <c r="AX322" s="602"/>
      <c r="AY322" s="602"/>
      <c r="AZ322" s="602"/>
      <c r="BA322" s="602"/>
      <c r="BB322" s="602"/>
      <c r="BC322" s="602"/>
      <c r="BD322" s="602"/>
      <c r="BE322" s="602"/>
      <c r="BF322" s="602"/>
      <c r="BG322" s="602"/>
      <c r="BH322" s="602"/>
      <c r="BI322" s="602"/>
      <c r="BJ322" s="602"/>
      <c r="BK322" s="602"/>
      <c r="BL322" s="602"/>
      <c r="BM322" s="602"/>
      <c r="BN322" s="602"/>
      <c r="BO322" s="602"/>
      <c r="BP322" s="602"/>
      <c r="BQ322" s="602"/>
      <c r="BR322" s="602"/>
      <c r="BS322" s="602"/>
      <c r="BT322" s="602"/>
      <c r="BU322" s="602"/>
      <c r="BV322" s="602"/>
      <c r="BW322" s="602"/>
      <c r="BX322" s="602"/>
      <c r="BY322" s="602"/>
      <c r="BZ322" s="602"/>
      <c r="CA322" s="602"/>
      <c r="CB322" s="602"/>
      <c r="CC322" s="602"/>
      <c r="CD322" s="602"/>
      <c r="CE322" s="602"/>
      <c r="CF322" s="602"/>
      <c r="CG322" s="602"/>
      <c r="CH322" s="602"/>
      <c r="CI322" s="602"/>
      <c r="CJ322" s="602"/>
      <c r="CK322" s="602"/>
      <c r="CL322" s="602"/>
      <c r="CM322" s="602"/>
      <c r="CN322" s="602"/>
      <c r="CO322" s="602"/>
      <c r="CP322" s="602"/>
      <c r="CQ322" s="602"/>
      <c r="CR322" s="602"/>
      <c r="CS322" s="602"/>
      <c r="CT322" s="602"/>
      <c r="CU322" s="602"/>
      <c r="CV322" s="602"/>
      <c r="CW322" s="602"/>
      <c r="CX322" s="602"/>
      <c r="CY322" s="602"/>
      <c r="CZ322" s="602"/>
      <c r="DA322" s="602"/>
      <c r="DB322" s="602"/>
      <c r="DC322" s="602"/>
      <c r="DD322" s="602"/>
      <c r="DE322" s="602"/>
      <c r="DF322" s="602"/>
      <c r="DG322" s="602"/>
      <c r="DH322" s="602"/>
      <c r="DI322" s="602"/>
      <c r="DJ322" s="602"/>
      <c r="DK322" s="602"/>
      <c r="DL322" s="602"/>
      <c r="DM322" s="602"/>
      <c r="DN322" s="602"/>
      <c r="DO322" s="602"/>
      <c r="DP322" s="602"/>
      <c r="DQ322" s="602"/>
      <c r="DR322" s="602"/>
      <c r="DS322" s="602"/>
      <c r="DT322" s="602"/>
      <c r="DU322" s="602"/>
      <c r="DV322" s="602"/>
      <c r="DW322" s="602"/>
      <c r="DX322" s="602"/>
      <c r="DY322" s="602"/>
      <c r="DZ322" s="602"/>
      <c r="EA322" s="602"/>
      <c r="EB322" s="602"/>
      <c r="EC322" s="602"/>
      <c r="ED322" s="602"/>
      <c r="EE322" s="602"/>
      <c r="EF322" s="602"/>
      <c r="EG322" s="602"/>
      <c r="EH322" s="602"/>
      <c r="EI322" s="602"/>
      <c r="EJ322" s="602"/>
      <c r="EK322" s="602"/>
      <c r="EL322" s="602"/>
      <c r="EM322" s="602"/>
      <c r="EN322" s="602"/>
      <c r="EO322" s="602"/>
      <c r="EP322" s="602"/>
      <c r="EQ322" s="602"/>
      <c r="ER322" s="602"/>
      <c r="ES322" s="602"/>
      <c r="ET322" s="602"/>
      <c r="EU322" s="602"/>
      <c r="EV322" s="602"/>
      <c r="EW322" s="602"/>
      <c r="EX322" s="602"/>
      <c r="EY322" s="602"/>
      <c r="EZ322" s="602"/>
      <c r="FA322" s="602"/>
      <c r="FB322" s="602"/>
      <c r="FC322" s="602"/>
      <c r="FD322" s="602"/>
      <c r="FE322" s="602"/>
      <c r="FF322" s="602"/>
      <c r="FG322" s="602"/>
      <c r="FH322" s="602"/>
      <c r="FI322" s="602"/>
      <c r="FJ322" s="602"/>
      <c r="FK322" s="602"/>
      <c r="FL322" s="602"/>
      <c r="FM322" s="602"/>
      <c r="FN322" s="602"/>
      <c r="FO322" s="602"/>
      <c r="FP322" s="602"/>
      <c r="FQ322" s="602"/>
      <c r="FR322" s="602"/>
      <c r="FS322" s="602"/>
      <c r="FT322" s="602"/>
      <c r="FU322" s="602"/>
      <c r="FV322" s="602"/>
      <c r="FW322" s="602"/>
      <c r="FX322" s="602"/>
      <c r="FY322" s="602"/>
      <c r="FZ322" s="602"/>
      <c r="GA322" s="602"/>
      <c r="GB322" s="602"/>
      <c r="GC322" s="602"/>
      <c r="GD322" s="602"/>
      <c r="GE322" s="602"/>
      <c r="GF322" s="602"/>
      <c r="GG322" s="602"/>
      <c r="GH322" s="602"/>
      <c r="GI322" s="602"/>
      <c r="GJ322" s="602"/>
      <c r="GK322" s="602"/>
      <c r="GL322" s="602"/>
      <c r="GM322" s="602"/>
      <c r="GN322" s="602"/>
      <c r="GO322" s="602"/>
      <c r="GP322" s="602"/>
      <c r="GQ322" s="602"/>
      <c r="GR322" s="602"/>
      <c r="GS322" s="602"/>
      <c r="GT322" s="602"/>
      <c r="GU322" s="602"/>
      <c r="GV322" s="602"/>
      <c r="GW322" s="602"/>
      <c r="GX322" s="602"/>
      <c r="GY322" s="602"/>
      <c r="GZ322" s="602"/>
      <c r="HA322" s="602"/>
      <c r="HB322" s="602"/>
      <c r="HC322" s="602"/>
      <c r="HD322" s="602"/>
      <c r="HE322" s="602"/>
      <c r="HF322" s="602"/>
      <c r="HG322" s="602"/>
      <c r="HH322" s="602"/>
      <c r="HI322" s="602"/>
      <c r="HJ322" s="602"/>
      <c r="HK322" s="602"/>
      <c r="HL322" s="602"/>
      <c r="HM322" s="602"/>
      <c r="HN322" s="602"/>
      <c r="HO322" s="602"/>
      <c r="HP322" s="602"/>
      <c r="HQ322" s="602"/>
      <c r="HR322" s="602"/>
      <c r="HS322" s="602"/>
      <c r="HT322" s="602"/>
      <c r="HU322" s="602"/>
      <c r="HV322" s="602"/>
      <c r="HW322" s="602"/>
      <c r="HX322" s="602"/>
      <c r="HY322" s="602"/>
      <c r="HZ322" s="602"/>
      <c r="IA322" s="602"/>
      <c r="IB322" s="602"/>
      <c r="IC322" s="602"/>
      <c r="ID322" s="602"/>
      <c r="IE322" s="602"/>
      <c r="IF322" s="602"/>
      <c r="IG322" s="602"/>
      <c r="IH322" s="602"/>
      <c r="II322" s="602"/>
      <c r="IJ322" s="602"/>
      <c r="IK322" s="602"/>
      <c r="IL322" s="602"/>
      <c r="IM322" s="602"/>
      <c r="IN322" s="602"/>
      <c r="IO322" s="602"/>
      <c r="IP322" s="602"/>
      <c r="IQ322" s="602"/>
      <c r="IR322" s="602"/>
      <c r="IS322" s="602"/>
      <c r="IT322" s="602"/>
      <c r="IU322" s="602"/>
      <c r="IV322" s="602"/>
    </row>
    <row r="323" spans="1:256" s="602" customFormat="1" ht="12" customHeight="1">
      <c r="A323" s="672"/>
      <c r="B323" s="3"/>
      <c r="C323" s="3"/>
      <c r="D323" s="847" t="s">
        <v>900</v>
      </c>
      <c r="F323" s="848"/>
      <c r="G323" s="3"/>
      <c r="H323" s="3"/>
      <c r="I323" s="3"/>
      <c r="J323" s="3"/>
      <c r="K323" s="3"/>
      <c r="L323" s="3"/>
      <c r="M323" s="3"/>
      <c r="N323" s="3"/>
      <c r="O323" s="158"/>
      <c r="P323" s="3"/>
      <c r="Q323" s="3"/>
      <c r="R323" s="726">
        <f t="shared" ref="R323:R330" si="46">$A323*Q323</f>
        <v>0</v>
      </c>
      <c r="S323" s="3"/>
      <c r="T323" s="727">
        <f t="shared" ref="T323:T330" si="47">$A323*S323*$T$1</f>
        <v>0</v>
      </c>
      <c r="AA323" s="730"/>
      <c r="AB323" s="719"/>
      <c r="AC323" s="719"/>
      <c r="AD323" s="719"/>
      <c r="AE323" s="719"/>
    </row>
    <row r="324" spans="1:256" s="602" customFormat="1" ht="12" customHeight="1">
      <c r="A324" s="849">
        <f ca="1">$Q$321*(ROUND(137*2,0))</f>
        <v>200</v>
      </c>
      <c r="B324" s="850" t="s">
        <v>141</v>
      </c>
      <c r="C324" s="851"/>
      <c r="D324" s="724" t="s">
        <v>901</v>
      </c>
      <c r="E324" s="851"/>
      <c r="G324" s="731" t="s">
        <v>902</v>
      </c>
      <c r="H324" s="732">
        <v>875</v>
      </c>
      <c r="I324" s="852" t="s">
        <v>875</v>
      </c>
      <c r="J324" s="852" t="s">
        <v>903</v>
      </c>
      <c r="K324" s="724" t="s">
        <v>7</v>
      </c>
      <c r="L324" s="851"/>
      <c r="M324" s="850"/>
      <c r="N324" s="851"/>
      <c r="O324" s="853">
        <v>1</v>
      </c>
      <c r="P324" s="854">
        <v>36175</v>
      </c>
      <c r="Q324" s="724">
        <f>2.33 *(0.05)</f>
        <v>0.11650000000000001</v>
      </c>
      <c r="R324" s="726">
        <f t="shared" ca="1" si="46"/>
        <v>23.3</v>
      </c>
      <c r="S324" s="851"/>
      <c r="T324" s="727">
        <f t="shared" ca="1" si="47"/>
        <v>0</v>
      </c>
      <c r="U324"/>
      <c r="X324"/>
      <c r="Y324"/>
      <c r="Z324"/>
      <c r="AA324" s="730"/>
      <c r="AB324" s="719"/>
      <c r="AC324" s="719"/>
      <c r="AD324" s="719"/>
      <c r="AE324" s="719"/>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row>
    <row r="325" spans="1:256" s="602" customFormat="1" ht="12" customHeight="1">
      <c r="A325" s="849">
        <f ca="1">$Q$321*(ROUND(137*2,0))</f>
        <v>200</v>
      </c>
      <c r="B325" s="850" t="s">
        <v>326</v>
      </c>
      <c r="C325" s="850"/>
      <c r="D325" s="724" t="s">
        <v>904</v>
      </c>
      <c r="E325" s="730" t="s">
        <v>866</v>
      </c>
      <c r="F325" s="855"/>
      <c r="G325" s="731" t="s">
        <v>905</v>
      </c>
      <c r="H325" s="732">
        <v>501</v>
      </c>
      <c r="I325" s="856"/>
      <c r="J325" s="856"/>
      <c r="K325" s="724" t="s">
        <v>7</v>
      </c>
      <c r="L325" s="850"/>
      <c r="M325" s="850"/>
      <c r="N325" s="850"/>
      <c r="O325" s="853">
        <v>1</v>
      </c>
      <c r="P325" s="854">
        <v>36175</v>
      </c>
      <c r="Q325" s="845">
        <f>ROUNDUP(0.96*1.145,2)</f>
        <v>1.1000000000000001</v>
      </c>
      <c r="R325" s="726">
        <f t="shared" ca="1" si="46"/>
        <v>220.00000000000003</v>
      </c>
      <c r="S325" s="850"/>
      <c r="T325" s="727">
        <f t="shared" ca="1" si="47"/>
        <v>0</v>
      </c>
      <c r="U325"/>
      <c r="X325"/>
      <c r="Y325"/>
      <c r="Z325"/>
      <c r="AB325" s="719"/>
      <c r="AC325" s="719"/>
      <c r="AD325" s="719"/>
      <c r="AE325" s="719"/>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row>
    <row r="326" spans="1:256" s="602" customFormat="1" ht="12" customHeight="1">
      <c r="A326" s="849">
        <f ca="1">$Q$321*(ROUND(137*2,0))</f>
        <v>200</v>
      </c>
      <c r="B326" s="714" t="s">
        <v>141</v>
      </c>
      <c r="C326" s="714"/>
      <c r="D326" s="714" t="s">
        <v>906</v>
      </c>
      <c r="E326" s="714"/>
      <c r="F326" s="714"/>
      <c r="G326" s="731" t="s">
        <v>907</v>
      </c>
      <c r="H326" s="732">
        <v>501</v>
      </c>
      <c r="I326" s="714"/>
      <c r="J326" s="714"/>
      <c r="K326" s="714"/>
      <c r="L326" s="714"/>
      <c r="M326" s="714"/>
      <c r="N326" s="722"/>
      <c r="O326" s="722">
        <v>1</v>
      </c>
      <c r="P326" s="723"/>
      <c r="Q326" s="724">
        <v>0.12</v>
      </c>
      <c r="R326" s="726">
        <f t="shared" ca="1" si="46"/>
        <v>24</v>
      </c>
      <c r="S326" s="724"/>
      <c r="T326" s="727">
        <f t="shared" ca="1" si="47"/>
        <v>0</v>
      </c>
      <c r="U326" s="714"/>
      <c r="X326" s="714"/>
      <c r="Y326" s="714"/>
      <c r="Z326" s="714"/>
      <c r="AA326" s="719"/>
      <c r="AB326" s="719"/>
      <c r="AC326" s="719"/>
      <c r="AD326" s="719"/>
      <c r="AE326" s="719"/>
      <c r="AF326" s="714"/>
      <c r="AG326" s="714"/>
      <c r="AH326" s="714"/>
      <c r="AI326" s="714"/>
      <c r="AJ326" s="714"/>
      <c r="AK326" s="714"/>
      <c r="AL326" s="714"/>
      <c r="AM326" s="714"/>
      <c r="AN326" s="714"/>
      <c r="AO326" s="714"/>
      <c r="AP326" s="714"/>
      <c r="AQ326" s="714"/>
      <c r="AR326" s="714"/>
      <c r="AS326" s="714"/>
      <c r="AT326" s="714"/>
      <c r="AU326" s="714"/>
      <c r="AV326" s="714"/>
      <c r="AW326" s="714"/>
      <c r="AX326" s="714"/>
      <c r="AY326" s="714"/>
      <c r="AZ326" s="714"/>
      <c r="BA326" s="714"/>
      <c r="BB326" s="714"/>
      <c r="BC326" s="714"/>
      <c r="BD326" s="714"/>
      <c r="BE326" s="714"/>
      <c r="BF326" s="714"/>
      <c r="BG326" s="714"/>
      <c r="BH326" s="714"/>
      <c r="BI326" s="714"/>
      <c r="BJ326" s="714"/>
      <c r="BK326" s="714"/>
      <c r="BL326" s="714"/>
      <c r="BM326" s="714"/>
      <c r="BN326" s="714"/>
      <c r="BO326" s="714"/>
      <c r="BP326" s="714"/>
      <c r="BQ326" s="714"/>
      <c r="BR326" s="714"/>
      <c r="BS326" s="714"/>
      <c r="BT326" s="714"/>
      <c r="BU326" s="714"/>
      <c r="BV326" s="714"/>
      <c r="BW326" s="714"/>
      <c r="BX326" s="714"/>
      <c r="BY326" s="714"/>
      <c r="BZ326" s="714"/>
      <c r="CA326" s="714"/>
      <c r="CB326" s="714"/>
      <c r="CC326" s="714"/>
      <c r="CD326" s="714"/>
      <c r="CE326" s="714"/>
      <c r="CF326" s="714"/>
      <c r="CG326" s="714"/>
      <c r="CH326" s="714"/>
      <c r="CI326" s="714"/>
      <c r="CJ326" s="714"/>
      <c r="CK326" s="714"/>
      <c r="CL326" s="714"/>
      <c r="CM326" s="714"/>
      <c r="CN326" s="714"/>
      <c r="CO326" s="714"/>
      <c r="CP326" s="714"/>
      <c r="CQ326" s="714"/>
      <c r="CR326" s="714"/>
      <c r="CS326" s="714"/>
      <c r="CT326" s="714"/>
      <c r="CU326" s="714"/>
      <c r="CV326" s="714"/>
      <c r="CW326" s="714"/>
      <c r="CX326" s="714"/>
      <c r="CY326" s="714"/>
      <c r="CZ326" s="714"/>
      <c r="DA326" s="714"/>
      <c r="DB326" s="714"/>
      <c r="DC326" s="714"/>
      <c r="DD326" s="714"/>
      <c r="DE326" s="714"/>
      <c r="DF326" s="714"/>
      <c r="DG326" s="714"/>
      <c r="DH326" s="714"/>
      <c r="DI326" s="714"/>
      <c r="DJ326" s="714"/>
      <c r="DK326" s="714"/>
      <c r="DL326" s="714"/>
      <c r="DM326" s="714"/>
      <c r="DN326" s="714"/>
      <c r="DO326" s="714"/>
      <c r="DP326" s="714"/>
      <c r="DQ326" s="714"/>
      <c r="DR326" s="714"/>
      <c r="DS326" s="714"/>
      <c r="DT326" s="714"/>
      <c r="DU326" s="714"/>
      <c r="DV326" s="714"/>
      <c r="DW326" s="714"/>
      <c r="DX326" s="714"/>
      <c r="DY326" s="714"/>
      <c r="DZ326" s="714"/>
      <c r="EA326" s="714"/>
      <c r="EB326" s="714"/>
      <c r="EC326" s="714"/>
      <c r="ED326" s="714"/>
      <c r="EE326" s="714"/>
      <c r="EF326" s="714"/>
      <c r="EG326" s="714"/>
      <c r="EH326" s="714"/>
      <c r="EI326" s="714"/>
      <c r="EJ326" s="714"/>
      <c r="EK326" s="714"/>
      <c r="EL326" s="714"/>
      <c r="EM326" s="714"/>
      <c r="EN326" s="714"/>
      <c r="EO326" s="714"/>
      <c r="EP326" s="714"/>
      <c r="EQ326" s="714"/>
      <c r="ER326" s="714"/>
      <c r="ES326" s="714"/>
      <c r="ET326" s="714"/>
      <c r="EU326" s="714"/>
      <c r="EV326" s="714"/>
      <c r="EW326" s="714"/>
      <c r="EX326" s="714"/>
      <c r="EY326" s="714"/>
      <c r="EZ326" s="714"/>
      <c r="FA326" s="714"/>
      <c r="FB326" s="714"/>
      <c r="FC326" s="714"/>
      <c r="FD326" s="714"/>
      <c r="FE326" s="714"/>
      <c r="FF326" s="714"/>
      <c r="FG326" s="714"/>
      <c r="FH326" s="714"/>
      <c r="FI326" s="714"/>
      <c r="FJ326" s="714"/>
      <c r="FK326" s="714"/>
      <c r="FL326" s="714"/>
      <c r="FM326" s="714"/>
      <c r="FN326" s="714"/>
      <c r="FO326" s="714"/>
      <c r="FP326" s="714"/>
      <c r="FQ326" s="714"/>
      <c r="FR326" s="714"/>
      <c r="FS326" s="714"/>
      <c r="FT326" s="714"/>
      <c r="FU326" s="714"/>
      <c r="FV326" s="714"/>
      <c r="FW326" s="714"/>
      <c r="FX326" s="714"/>
      <c r="FY326" s="714"/>
      <c r="FZ326" s="714"/>
      <c r="GA326" s="714"/>
      <c r="GB326" s="714"/>
      <c r="GC326" s="714"/>
      <c r="GD326" s="714"/>
      <c r="GE326" s="714"/>
      <c r="GF326" s="714"/>
      <c r="GG326" s="714"/>
      <c r="GH326" s="714"/>
      <c r="GI326" s="714"/>
      <c r="GJ326" s="714"/>
      <c r="GK326" s="714"/>
      <c r="GL326" s="714"/>
      <c r="GM326" s="714"/>
      <c r="GN326" s="714"/>
      <c r="GO326" s="714"/>
      <c r="GP326" s="714"/>
      <c r="GQ326" s="714"/>
      <c r="GR326" s="714"/>
      <c r="GS326" s="714"/>
      <c r="GT326" s="714"/>
      <c r="GU326" s="714"/>
      <c r="GV326" s="714"/>
      <c r="GW326" s="714"/>
      <c r="GX326" s="714"/>
      <c r="GY326" s="714"/>
      <c r="GZ326" s="714"/>
      <c r="HA326" s="714"/>
      <c r="HB326" s="714"/>
      <c r="HC326" s="714"/>
      <c r="HD326" s="714"/>
      <c r="HE326" s="714"/>
      <c r="HF326" s="714"/>
      <c r="HG326" s="714"/>
      <c r="HH326" s="714"/>
      <c r="HI326" s="714"/>
      <c r="HJ326" s="714"/>
      <c r="HK326" s="714"/>
      <c r="HL326" s="714"/>
      <c r="HM326" s="714"/>
      <c r="HN326" s="714"/>
      <c r="HO326" s="714"/>
      <c r="HP326" s="714"/>
      <c r="HQ326" s="714"/>
      <c r="HR326" s="714"/>
      <c r="HS326" s="714"/>
      <c r="HT326" s="714"/>
      <c r="HU326" s="714"/>
      <c r="HV326" s="714"/>
      <c r="HW326" s="714"/>
      <c r="HX326" s="714"/>
      <c r="HY326" s="714"/>
      <c r="HZ326" s="714"/>
      <c r="IA326" s="714"/>
      <c r="IB326" s="714"/>
      <c r="IC326" s="714"/>
      <c r="ID326" s="714"/>
      <c r="IE326" s="714"/>
      <c r="IF326" s="714"/>
      <c r="IG326" s="714"/>
      <c r="IH326" s="714"/>
      <c r="II326" s="714"/>
      <c r="IJ326" s="714"/>
      <c r="IK326" s="714"/>
      <c r="IL326" s="714"/>
      <c r="IM326" s="714"/>
      <c r="IN326" s="714"/>
      <c r="IO326" s="714"/>
      <c r="IP326" s="714"/>
      <c r="IQ326" s="714"/>
      <c r="IR326" s="714"/>
      <c r="IS326" s="714"/>
      <c r="IT326" s="714"/>
      <c r="IU326" s="714"/>
      <c r="IV326" s="714"/>
    </row>
    <row r="327" spans="1:256" s="730" customFormat="1" ht="12" customHeight="1">
      <c r="A327" s="849">
        <f ca="1">$Q$321*(ROUND(137*0.4,0))</f>
        <v>40.145985401459853</v>
      </c>
      <c r="B327" s="850" t="s">
        <v>326</v>
      </c>
      <c r="C327" s="850"/>
      <c r="D327" s="724" t="s">
        <v>908</v>
      </c>
      <c r="E327" s="730" t="s">
        <v>866</v>
      </c>
      <c r="F327" s="855"/>
      <c r="G327" s="731" t="s">
        <v>909</v>
      </c>
      <c r="H327" s="732">
        <v>501</v>
      </c>
      <c r="I327" s="852" t="s">
        <v>875</v>
      </c>
      <c r="J327" s="856" t="s">
        <v>910</v>
      </c>
      <c r="K327" s="724" t="s">
        <v>7</v>
      </c>
      <c r="L327" s="850"/>
      <c r="M327" s="850"/>
      <c r="N327" s="850"/>
      <c r="O327" s="853">
        <v>1</v>
      </c>
      <c r="P327" s="854">
        <v>36175</v>
      </c>
      <c r="Q327" s="845">
        <f>ROUNDUP(1.45*1.145,2)</f>
        <v>1.67</v>
      </c>
      <c r="R327" s="726">
        <f t="shared" ca="1" si="46"/>
        <v>67.043795620437947</v>
      </c>
      <c r="S327" s="850"/>
      <c r="T327" s="727">
        <f t="shared" ca="1" si="47"/>
        <v>0</v>
      </c>
      <c r="U327"/>
      <c r="V327" s="602"/>
      <c r="W327" s="602"/>
      <c r="X327"/>
      <c r="Y327"/>
      <c r="Z327"/>
      <c r="AA327" s="719"/>
      <c r="AB327" s="719"/>
      <c r="AC327" s="719"/>
      <c r="AD327" s="719"/>
      <c r="AE327" s="719"/>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row>
    <row r="328" spans="1:256" s="602" customFormat="1" ht="12" customHeight="1">
      <c r="A328" s="849">
        <f ca="1">$Q$321*(ROUND(137,0))</f>
        <v>100</v>
      </c>
      <c r="B328" s="850" t="s">
        <v>141</v>
      </c>
      <c r="C328" s="850"/>
      <c r="D328" s="724" t="s">
        <v>911</v>
      </c>
      <c r="E328" s="851"/>
      <c r="F328" s="855"/>
      <c r="G328" s="731" t="s">
        <v>912</v>
      </c>
      <c r="H328" s="732">
        <v>501</v>
      </c>
      <c r="I328" s="856" t="s">
        <v>686</v>
      </c>
      <c r="J328" s="856"/>
      <c r="K328" s="724" t="s">
        <v>7</v>
      </c>
      <c r="L328" s="850"/>
      <c r="M328" s="850"/>
      <c r="N328" s="850"/>
      <c r="O328" s="857">
        <v>3</v>
      </c>
      <c r="P328" s="858"/>
      <c r="Q328" s="859"/>
      <c r="R328" s="726">
        <f t="shared" ca="1" si="46"/>
        <v>0</v>
      </c>
      <c r="S328" s="724">
        <v>0.25</v>
      </c>
      <c r="T328" s="727">
        <f t="shared" ca="1" si="47"/>
        <v>25</v>
      </c>
      <c r="U328" t="s">
        <v>913</v>
      </c>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row>
    <row r="329" spans="1:256" s="602" customFormat="1" ht="12" customHeight="1">
      <c r="A329" s="849">
        <f ca="1">$Q$321*(ROUND(137*4,0))</f>
        <v>400</v>
      </c>
      <c r="B329" s="850" t="s">
        <v>141</v>
      </c>
      <c r="C329" s="850"/>
      <c r="D329" s="724" t="s">
        <v>914</v>
      </c>
      <c r="E329" s="851"/>
      <c r="F329" s="855"/>
      <c r="G329" s="731" t="s">
        <v>915</v>
      </c>
      <c r="H329" s="732">
        <v>501</v>
      </c>
      <c r="I329" s="856"/>
      <c r="J329" s="856"/>
      <c r="K329" s="724" t="s">
        <v>7</v>
      </c>
      <c r="L329" s="850"/>
      <c r="M329" s="850"/>
      <c r="N329" s="850"/>
      <c r="O329" s="853">
        <v>1</v>
      </c>
      <c r="P329" s="854"/>
      <c r="Q329" s="724">
        <f>2.33 *(0.03)</f>
        <v>6.9900000000000004E-2</v>
      </c>
      <c r="R329" s="726">
        <f t="shared" ca="1" si="46"/>
        <v>27.96</v>
      </c>
      <c r="S329" s="850"/>
      <c r="T329" s="727">
        <f t="shared" ca="1" si="47"/>
        <v>0</v>
      </c>
      <c r="U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row>
    <row r="330" spans="1:256" s="602" customFormat="1" ht="12" customHeight="1">
      <c r="A330" s="849">
        <f ca="1">$Q$321*(ROUND(137*4,0))</f>
        <v>400</v>
      </c>
      <c r="B330" s="850" t="s">
        <v>141</v>
      </c>
      <c r="C330" s="850"/>
      <c r="D330" s="724" t="s">
        <v>916</v>
      </c>
      <c r="E330" s="851"/>
      <c r="F330" s="855"/>
      <c r="G330" s="731" t="s">
        <v>917</v>
      </c>
      <c r="H330" s="732">
        <v>501</v>
      </c>
      <c r="I330" s="856"/>
      <c r="J330" s="856"/>
      <c r="K330" s="724" t="s">
        <v>7</v>
      </c>
      <c r="L330" s="850"/>
      <c r="M330" s="850"/>
      <c r="N330" s="850"/>
      <c r="O330" s="857">
        <v>1</v>
      </c>
      <c r="P330" s="858"/>
      <c r="Q330" s="724">
        <f>2.33 *(0.01)</f>
        <v>2.3300000000000001E-2</v>
      </c>
      <c r="R330" s="726">
        <f t="shared" ca="1" si="46"/>
        <v>9.32</v>
      </c>
      <c r="S330" s="850"/>
      <c r="T330" s="727">
        <f t="shared" ca="1" si="47"/>
        <v>0</v>
      </c>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c r="ET330"/>
      <c r="EU330"/>
      <c r="EV330"/>
      <c r="EW330"/>
      <c r="EX330"/>
      <c r="EY330"/>
      <c r="EZ330"/>
      <c r="FA330"/>
      <c r="FB330"/>
      <c r="FC330"/>
      <c r="FD330"/>
      <c r="FE330"/>
      <c r="FF330"/>
      <c r="FG330"/>
      <c r="FH330"/>
      <c r="FI330"/>
      <c r="FJ330"/>
      <c r="FK330"/>
      <c r="FL330"/>
      <c r="FM330"/>
      <c r="FN330"/>
      <c r="FO330"/>
      <c r="FP330"/>
      <c r="FQ330"/>
      <c r="FR330"/>
      <c r="FS330"/>
      <c r="FT330"/>
      <c r="FU330"/>
      <c r="FV330"/>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c r="IU330"/>
      <c r="IV330"/>
    </row>
    <row r="331" spans="1:256" s="730" customFormat="1" ht="12" customHeight="1">
      <c r="A331" s="663"/>
      <c r="B331" s="3"/>
      <c r="C331" s="663" t="s">
        <v>183</v>
      </c>
      <c r="D331" s="3"/>
      <c r="E331" s="663"/>
      <c r="F331" s="664"/>
      <c r="G331" s="663"/>
      <c r="H331" s="663"/>
      <c r="I331" s="601"/>
      <c r="J331" s="663"/>
      <c r="K331" s="663"/>
      <c r="L331" s="663"/>
      <c r="M331" s="663"/>
      <c r="N331" s="663"/>
      <c r="O331" s="663"/>
      <c r="P331" s="663"/>
      <c r="Q331" s="601"/>
      <c r="R331" s="814">
        <f>$A331*Q331</f>
        <v>0</v>
      </c>
      <c r="S331" s="601"/>
      <c r="T331" s="681">
        <f>$A331*S331*$T$1</f>
        <v>0</v>
      </c>
      <c r="U331" s="602"/>
      <c r="V331" s="602"/>
      <c r="W331" s="602"/>
      <c r="X331" s="602"/>
      <c r="Y331" s="602"/>
      <c r="Z331" s="602"/>
      <c r="AA331" s="602"/>
      <c r="AB331" s="602"/>
      <c r="AC331" s="602"/>
      <c r="AD331" s="602"/>
      <c r="AE331" s="602"/>
      <c r="AF331" s="602"/>
      <c r="AG331" s="602"/>
      <c r="AH331" s="602"/>
      <c r="AI331" s="602"/>
      <c r="AJ331" s="602"/>
      <c r="AK331" s="602"/>
      <c r="AL331" s="602"/>
      <c r="AM331" s="602"/>
      <c r="AN331" s="602"/>
      <c r="AO331" s="602"/>
      <c r="AP331" s="602"/>
      <c r="AQ331" s="602"/>
      <c r="AR331" s="602"/>
      <c r="AS331" s="602"/>
      <c r="AT331" s="602"/>
      <c r="AU331" s="602"/>
      <c r="AV331" s="602"/>
      <c r="AW331" s="602"/>
      <c r="AX331" s="602"/>
      <c r="AY331" s="602"/>
      <c r="AZ331" s="602"/>
      <c r="BA331" s="602"/>
      <c r="BB331" s="602"/>
      <c r="BC331" s="602"/>
      <c r="BD331" s="602"/>
      <c r="BE331" s="602"/>
      <c r="BF331" s="602"/>
      <c r="BG331" s="602"/>
      <c r="BH331" s="602"/>
      <c r="BI331" s="602"/>
      <c r="BJ331" s="602"/>
      <c r="BK331" s="602"/>
      <c r="BL331" s="602"/>
      <c r="BM331" s="602"/>
      <c r="BN331" s="602"/>
      <c r="BO331" s="602"/>
      <c r="BP331" s="602"/>
      <c r="BQ331" s="602"/>
      <c r="BR331" s="602"/>
      <c r="BS331" s="602"/>
      <c r="BT331" s="602"/>
      <c r="BU331" s="602"/>
      <c r="BV331" s="602"/>
      <c r="BW331" s="602"/>
      <c r="BX331" s="602"/>
      <c r="BY331" s="602"/>
      <c r="BZ331" s="602"/>
      <c r="CA331" s="602"/>
      <c r="CB331" s="602"/>
      <c r="CC331" s="602"/>
      <c r="CD331" s="602"/>
      <c r="CE331" s="602"/>
      <c r="CF331" s="602"/>
      <c r="CG331" s="602"/>
      <c r="CH331" s="602"/>
      <c r="CI331" s="602"/>
      <c r="CJ331" s="602"/>
      <c r="CK331" s="602"/>
      <c r="CL331" s="602"/>
      <c r="CM331" s="602"/>
      <c r="CN331" s="602"/>
      <c r="CO331" s="602"/>
      <c r="CP331" s="602"/>
      <c r="CQ331" s="602"/>
      <c r="CR331" s="602"/>
      <c r="CS331" s="602"/>
      <c r="CT331" s="602"/>
      <c r="CU331" s="602"/>
      <c r="CV331" s="602"/>
      <c r="CW331" s="602"/>
      <c r="CX331" s="602"/>
      <c r="CY331" s="602"/>
      <c r="CZ331" s="602"/>
      <c r="DA331" s="602"/>
      <c r="DB331" s="602"/>
      <c r="DC331" s="602"/>
      <c r="DD331" s="602"/>
      <c r="DE331" s="602"/>
      <c r="DF331" s="602"/>
      <c r="DG331" s="602"/>
      <c r="DH331" s="602"/>
      <c r="DI331" s="602"/>
      <c r="DJ331" s="602"/>
      <c r="DK331" s="602"/>
      <c r="DL331" s="602"/>
      <c r="DM331" s="602"/>
      <c r="DN331" s="602"/>
      <c r="DO331" s="602"/>
      <c r="DP331" s="602"/>
      <c r="DQ331" s="602"/>
      <c r="DR331" s="602"/>
      <c r="DS331" s="602"/>
      <c r="DT331" s="602"/>
      <c r="DU331" s="602"/>
      <c r="DV331" s="602"/>
      <c r="DW331" s="602"/>
      <c r="DX331" s="602"/>
      <c r="DY331" s="602"/>
      <c r="DZ331" s="602"/>
      <c r="EA331" s="602"/>
      <c r="EB331" s="602"/>
      <c r="EC331" s="602"/>
      <c r="ED331" s="602"/>
      <c r="EE331" s="602"/>
      <c r="EF331" s="602"/>
      <c r="EG331" s="602"/>
      <c r="EH331" s="602"/>
      <c r="EI331" s="602"/>
      <c r="EJ331" s="602"/>
      <c r="EK331" s="602"/>
      <c r="EL331" s="602"/>
      <c r="EM331" s="602"/>
      <c r="EN331" s="602"/>
      <c r="EO331" s="602"/>
      <c r="EP331" s="602"/>
      <c r="EQ331" s="602"/>
      <c r="ER331" s="602"/>
      <c r="ES331" s="602"/>
      <c r="ET331" s="602"/>
      <c r="EU331" s="602"/>
      <c r="EV331" s="602"/>
      <c r="EW331" s="602"/>
      <c r="EX331" s="602"/>
      <c r="EY331" s="602"/>
      <c r="EZ331" s="602"/>
      <c r="FA331" s="602"/>
      <c r="FB331" s="602"/>
      <c r="FC331" s="602"/>
      <c r="FD331" s="602"/>
      <c r="FE331" s="602"/>
      <c r="FF331" s="602"/>
      <c r="FG331" s="602"/>
      <c r="FH331" s="602"/>
      <c r="FI331" s="602"/>
      <c r="FJ331" s="602"/>
      <c r="FK331" s="602"/>
      <c r="FL331" s="602"/>
      <c r="FM331" s="602"/>
      <c r="FN331" s="602"/>
      <c r="FO331" s="602"/>
      <c r="FP331" s="602"/>
      <c r="FQ331" s="602"/>
      <c r="FR331" s="602"/>
      <c r="FS331" s="602"/>
      <c r="FT331" s="602"/>
      <c r="FU331" s="602"/>
      <c r="FV331" s="602"/>
      <c r="FW331" s="602"/>
      <c r="FX331" s="602"/>
      <c r="FY331" s="602"/>
      <c r="FZ331" s="602"/>
      <c r="GA331" s="602"/>
      <c r="GB331" s="602"/>
      <c r="GC331" s="602"/>
      <c r="GD331" s="602"/>
      <c r="GE331" s="602"/>
      <c r="GF331" s="602"/>
      <c r="GG331" s="602"/>
      <c r="GH331" s="602"/>
      <c r="GI331" s="602"/>
      <c r="GJ331" s="602"/>
      <c r="GK331" s="602"/>
      <c r="GL331" s="602"/>
      <c r="GM331" s="602"/>
      <c r="GN331" s="602"/>
      <c r="GO331" s="602"/>
      <c r="GP331" s="602"/>
      <c r="GQ331" s="602"/>
      <c r="GR331" s="602"/>
      <c r="GS331" s="602"/>
      <c r="GT331" s="602"/>
      <c r="GU331" s="602"/>
      <c r="GV331" s="602"/>
      <c r="GW331" s="602"/>
      <c r="GX331" s="602"/>
      <c r="GY331" s="602"/>
      <c r="GZ331" s="602"/>
      <c r="HA331" s="602"/>
      <c r="HB331" s="602"/>
      <c r="HC331" s="602"/>
      <c r="HD331" s="602"/>
      <c r="HE331" s="602"/>
      <c r="HF331" s="602"/>
      <c r="HG331" s="602"/>
      <c r="HH331" s="602"/>
      <c r="HI331" s="602"/>
      <c r="HJ331" s="602"/>
      <c r="HK331" s="602"/>
      <c r="HL331" s="602"/>
      <c r="HM331" s="602"/>
      <c r="HN331" s="602"/>
      <c r="HO331" s="602"/>
      <c r="HP331" s="602"/>
      <c r="HQ331" s="602"/>
      <c r="HR331" s="602"/>
      <c r="HS331" s="602"/>
      <c r="HT331" s="602"/>
      <c r="HU331" s="602"/>
      <c r="HV331" s="602"/>
      <c r="HW331" s="602"/>
      <c r="HX331" s="602"/>
      <c r="HY331" s="602"/>
      <c r="HZ331" s="602"/>
      <c r="IA331" s="602"/>
      <c r="IB331" s="602"/>
      <c r="IC331" s="602"/>
      <c r="ID331" s="602"/>
      <c r="IE331" s="602"/>
      <c r="IF331" s="602"/>
      <c r="IG331" s="602"/>
      <c r="IH331" s="602"/>
      <c r="II331" s="602"/>
      <c r="IJ331" s="602"/>
      <c r="IK331" s="602"/>
      <c r="IL331" s="602"/>
      <c r="IM331" s="602"/>
      <c r="IN331" s="602"/>
      <c r="IO331" s="602"/>
      <c r="IP331" s="602"/>
      <c r="IQ331" s="602"/>
      <c r="IR331" s="602"/>
      <c r="IS331" s="602"/>
      <c r="IT331" s="602"/>
      <c r="IU331" s="602"/>
      <c r="IV331" s="602"/>
    </row>
    <row r="332" spans="1:256" s="730" customFormat="1" ht="12" customHeight="1" thickBot="1">
      <c r="A332" s="682" t="s">
        <v>145</v>
      </c>
      <c r="B332" s="683">
        <f>(R331+T331)</f>
        <v>0</v>
      </c>
      <c r="C332" s="684"/>
      <c r="D332" s="834" t="s">
        <v>184</v>
      </c>
      <c r="E332" s="545">
        <f ca="1">IF($B321=0,0,ROUND(ROUND(($R332*$S$2+($T332*$T$2))/$B321, 2)*$C$2,2))</f>
        <v>13.91</v>
      </c>
      <c r="F332" s="546">
        <f ca="1">ROUND($B321*$E332,2)</f>
        <v>1391</v>
      </c>
      <c r="G332" s="684"/>
      <c r="H332" s="684"/>
      <c r="I332" s="686"/>
      <c r="J332" s="684"/>
      <c r="K332" s="835" t="s">
        <v>143</v>
      </c>
      <c r="L332" s="687" t="s">
        <v>143</v>
      </c>
      <c r="M332" s="687"/>
      <c r="N332" s="687"/>
      <c r="O332" s="687"/>
      <c r="P332" s="687"/>
      <c r="Q332" s="835"/>
      <c r="R332" s="836">
        <f ca="1">SUM(R322:R331)</f>
        <v>371.62379562043799</v>
      </c>
      <c r="S332" s="837"/>
      <c r="T332" s="836">
        <f ca="1">SUM(T322:T331)</f>
        <v>25</v>
      </c>
      <c r="U332" s="611"/>
      <c r="V332" s="611"/>
      <c r="W332" s="611"/>
      <c r="X332" s="611"/>
      <c r="Y332" s="611"/>
      <c r="Z332" s="611"/>
      <c r="AA332" s="611"/>
      <c r="AB332" s="611"/>
      <c r="AC332" s="602"/>
      <c r="AD332" s="602"/>
      <c r="AE332" s="602"/>
      <c r="AF332" s="602"/>
      <c r="AG332" s="602"/>
      <c r="AH332" s="602"/>
      <c r="AI332" s="602"/>
      <c r="AJ332" s="602"/>
      <c r="AK332" s="602"/>
      <c r="AL332" s="602"/>
      <c r="AM332" s="602"/>
      <c r="AN332" s="602"/>
      <c r="AO332" s="602"/>
      <c r="AP332" s="602"/>
      <c r="AQ332" s="602"/>
      <c r="AR332" s="602"/>
      <c r="AS332" s="602"/>
      <c r="AT332" s="602"/>
      <c r="AU332" s="602"/>
      <c r="AV332" s="602"/>
      <c r="AW332" s="602"/>
      <c r="AX332" s="602"/>
      <c r="AY332" s="602"/>
      <c r="AZ332" s="602"/>
      <c r="BA332" s="602"/>
      <c r="BB332" s="602"/>
      <c r="BC332" s="602"/>
      <c r="BD332" s="602"/>
      <c r="BE332" s="602"/>
      <c r="BF332" s="602"/>
      <c r="BG332" s="602"/>
      <c r="BH332" s="602"/>
      <c r="BI332" s="602"/>
      <c r="BJ332" s="602"/>
      <c r="BK332" s="602"/>
      <c r="BL332" s="602"/>
      <c r="BM332" s="602"/>
      <c r="BN332" s="602"/>
      <c r="BO332" s="602"/>
      <c r="BP332" s="602"/>
      <c r="BQ332" s="602"/>
      <c r="BR332" s="602"/>
      <c r="BS332" s="602"/>
      <c r="BT332" s="602"/>
      <c r="BU332" s="602"/>
      <c r="BV332" s="602"/>
      <c r="BW332" s="602"/>
      <c r="BX332" s="602"/>
      <c r="BY332" s="602"/>
      <c r="BZ332" s="602"/>
      <c r="CA332" s="602"/>
      <c r="CB332" s="602"/>
      <c r="CC332" s="602"/>
      <c r="CD332" s="602"/>
      <c r="CE332" s="602"/>
      <c r="CF332" s="602"/>
      <c r="CG332" s="602"/>
      <c r="CH332" s="602"/>
      <c r="CI332" s="602"/>
      <c r="CJ332" s="602"/>
      <c r="CK332" s="602"/>
      <c r="CL332" s="602"/>
      <c r="CM332" s="602"/>
      <c r="CN332" s="602"/>
      <c r="CO332" s="602"/>
      <c r="CP332" s="602"/>
      <c r="CQ332" s="602"/>
      <c r="CR332" s="602"/>
      <c r="CS332" s="602"/>
      <c r="CT332" s="602"/>
      <c r="CU332" s="602"/>
      <c r="CV332" s="602"/>
      <c r="CW332" s="602"/>
      <c r="CX332" s="602"/>
      <c r="CY332" s="602"/>
      <c r="CZ332" s="602"/>
      <c r="DA332" s="602"/>
      <c r="DB332" s="602"/>
      <c r="DC332" s="602"/>
      <c r="DD332" s="602"/>
      <c r="DE332" s="602"/>
      <c r="DF332" s="602"/>
      <c r="DG332" s="602"/>
      <c r="DH332" s="602"/>
      <c r="DI332" s="602"/>
      <c r="DJ332" s="602"/>
      <c r="DK332" s="602"/>
      <c r="DL332" s="602"/>
      <c r="DM332" s="602"/>
      <c r="DN332" s="602"/>
      <c r="DO332" s="602"/>
      <c r="DP332" s="602"/>
      <c r="DQ332" s="602"/>
      <c r="DR332" s="602"/>
      <c r="DS332" s="602"/>
      <c r="DT332" s="602"/>
      <c r="DU332" s="602"/>
      <c r="DV332" s="602"/>
      <c r="DW332" s="602"/>
      <c r="DX332" s="602"/>
      <c r="DY332" s="602"/>
      <c r="DZ332" s="602"/>
      <c r="EA332" s="602"/>
      <c r="EB332" s="602"/>
      <c r="EC332" s="602"/>
      <c r="ED332" s="602"/>
      <c r="EE332" s="602"/>
      <c r="EF332" s="602"/>
      <c r="EG332" s="602"/>
      <c r="EH332" s="602"/>
      <c r="EI332" s="602"/>
      <c r="EJ332" s="602"/>
      <c r="EK332" s="602"/>
      <c r="EL332" s="602"/>
      <c r="EM332" s="602"/>
      <c r="EN332" s="602"/>
      <c r="EO332" s="602"/>
      <c r="EP332" s="602"/>
      <c r="EQ332" s="602"/>
      <c r="ER332" s="602"/>
      <c r="ES332" s="602"/>
      <c r="ET332" s="602"/>
      <c r="EU332" s="602"/>
      <c r="EV332" s="602"/>
      <c r="EW332" s="602"/>
      <c r="EX332" s="602"/>
      <c r="EY332" s="602"/>
      <c r="EZ332" s="602"/>
      <c r="FA332" s="602"/>
      <c r="FB332" s="602"/>
      <c r="FC332" s="602"/>
      <c r="FD332" s="602"/>
      <c r="FE332" s="602"/>
      <c r="FF332" s="602"/>
      <c r="FG332" s="602"/>
      <c r="FH332" s="602"/>
      <c r="FI332" s="602"/>
      <c r="FJ332" s="602"/>
      <c r="FK332" s="602"/>
      <c r="FL332" s="602"/>
      <c r="FM332" s="602"/>
      <c r="FN332" s="602"/>
      <c r="FO332" s="602"/>
      <c r="FP332" s="602"/>
      <c r="FQ332" s="602"/>
      <c r="FR332" s="602"/>
      <c r="FS332" s="602"/>
      <c r="FT332" s="602"/>
      <c r="FU332" s="602"/>
      <c r="FV332" s="602"/>
      <c r="FW332" s="602"/>
      <c r="FX332" s="602"/>
      <c r="FY332" s="602"/>
      <c r="FZ332" s="602"/>
      <c r="GA332" s="602"/>
      <c r="GB332" s="602"/>
      <c r="GC332" s="602"/>
      <c r="GD332" s="602"/>
      <c r="GE332" s="602"/>
      <c r="GF332" s="602"/>
      <c r="GG332" s="602"/>
      <c r="GH332" s="602"/>
      <c r="GI332" s="602"/>
      <c r="GJ332" s="602"/>
      <c r="GK332" s="602"/>
      <c r="GL332" s="602"/>
      <c r="GM332" s="602"/>
      <c r="GN332" s="602"/>
      <c r="GO332" s="602"/>
      <c r="GP332" s="602"/>
      <c r="GQ332" s="602"/>
      <c r="GR332" s="602"/>
      <c r="GS332" s="602"/>
      <c r="GT332" s="602"/>
      <c r="GU332" s="602"/>
      <c r="GV332" s="602"/>
      <c r="GW332" s="602"/>
      <c r="GX332" s="602"/>
      <c r="GY332" s="602"/>
      <c r="GZ332" s="602"/>
      <c r="HA332" s="602"/>
      <c r="HB332" s="602"/>
      <c r="HC332" s="602"/>
      <c r="HD332" s="602"/>
      <c r="HE332" s="602"/>
      <c r="HF332" s="602"/>
      <c r="HG332" s="602"/>
      <c r="HH332" s="602"/>
      <c r="HI332" s="602"/>
      <c r="HJ332" s="602"/>
      <c r="HK332" s="602"/>
      <c r="HL332" s="602"/>
      <c r="HM332" s="602"/>
      <c r="HN332" s="602"/>
      <c r="HO332" s="602"/>
      <c r="HP332" s="602"/>
      <c r="HQ332" s="602"/>
      <c r="HR332" s="602"/>
      <c r="HS332" s="602"/>
      <c r="HT332" s="602"/>
      <c r="HU332" s="602"/>
      <c r="HV332" s="602"/>
      <c r="HW332" s="602"/>
      <c r="HX332" s="602"/>
      <c r="HY332" s="602"/>
      <c r="HZ332" s="602"/>
      <c r="IA332" s="602"/>
      <c r="IB332" s="602"/>
      <c r="IC332" s="602"/>
      <c r="ID332" s="602"/>
      <c r="IE332" s="602"/>
      <c r="IF332" s="602"/>
      <c r="IG332" s="602"/>
      <c r="IH332" s="602"/>
      <c r="II332" s="602"/>
      <c r="IJ332" s="602"/>
      <c r="IK332" s="602"/>
      <c r="IL332" s="602"/>
      <c r="IM332" s="602"/>
      <c r="IN332" s="602"/>
      <c r="IO332" s="602"/>
      <c r="IP332" s="602"/>
      <c r="IQ332" s="602"/>
      <c r="IR332" s="602"/>
      <c r="IS332" s="602"/>
      <c r="IT332" s="602"/>
      <c r="IU332" s="602"/>
      <c r="IV332" s="602"/>
    </row>
    <row r="333" spans="1:256" s="602" customFormat="1" ht="12" customHeight="1" thickTop="1">
      <c r="A333" s="63"/>
      <c r="B333" s="63"/>
      <c r="C333" s="63"/>
      <c r="D333" s="63"/>
      <c r="E333" s="63"/>
      <c r="F333" s="63"/>
      <c r="G333" s="63"/>
      <c r="H333" s="63"/>
      <c r="I333" s="63"/>
      <c r="J333" s="63"/>
      <c r="K333" s="63"/>
      <c r="L333" s="63"/>
      <c r="M333" s="63"/>
      <c r="N333" s="63"/>
      <c r="O333" s="64"/>
      <c r="P333" s="63"/>
      <c r="Q333" s="42" t="s">
        <v>180</v>
      </c>
      <c r="R333" s="63"/>
      <c r="S333" s="13"/>
      <c r="T333" s="63"/>
    </row>
    <row r="334" spans="1:256" s="602" customFormat="1" ht="12" customHeight="1" thickBot="1">
      <c r="A334" s="824">
        <v>158</v>
      </c>
      <c r="B334" s="825">
        <f ca="1">Elec_Est!B1068</f>
        <v>0</v>
      </c>
      <c r="C334" s="826"/>
      <c r="D334" s="827" t="s">
        <v>938</v>
      </c>
      <c r="E334" s="828"/>
      <c r="F334" s="828"/>
      <c r="G334" s="676"/>
      <c r="H334" s="676"/>
      <c r="I334" s="829"/>
      <c r="J334" s="676"/>
      <c r="K334" s="826" t="s">
        <v>181</v>
      </c>
      <c r="L334" s="830" t="s">
        <v>181</v>
      </c>
      <c r="M334" s="830"/>
      <c r="N334" s="830"/>
      <c r="O334" s="830"/>
      <c r="P334" s="830"/>
      <c r="Q334" s="831">
        <f ca="1">B334/A334</f>
        <v>0</v>
      </c>
      <c r="R334" s="832">
        <f ca="1">IF($B334=0,0,IF($S$1="R",ROUND(R347/$B334,2),R347/$B334))</f>
        <v>0</v>
      </c>
      <c r="S334" s="833"/>
      <c r="T334" s="832">
        <f ca="1">IF($B334=0,0,IF($S$1="R",ROUND(T347/$B334,2),T347/$B334))</f>
        <v>0</v>
      </c>
      <c r="AC334" s="719"/>
    </row>
    <row r="335" spans="1:256" s="602" customFormat="1" ht="12" customHeight="1" thickTop="1">
      <c r="A335" s="672"/>
      <c r="B335" s="3"/>
      <c r="C335" s="3"/>
      <c r="D335" s="157" t="s">
        <v>943</v>
      </c>
      <c r="E335" s="3"/>
      <c r="F335" s="3"/>
      <c r="G335" s="3"/>
      <c r="H335" s="3"/>
      <c r="I335" s="3"/>
      <c r="J335" s="3"/>
      <c r="K335" s="3"/>
      <c r="L335" s="3"/>
      <c r="M335" s="3"/>
      <c r="N335" s="3"/>
      <c r="O335" s="158"/>
      <c r="P335" s="3"/>
      <c r="Q335" s="3"/>
      <c r="R335" s="3"/>
      <c r="S335" s="3"/>
      <c r="T335" s="3"/>
      <c r="AB335" s="719"/>
      <c r="AC335" s="719"/>
      <c r="AD335" s="719"/>
      <c r="AE335" s="719"/>
    </row>
    <row r="336" spans="1:256" s="602" customFormat="1" ht="12" customHeight="1">
      <c r="A336" s="672"/>
      <c r="B336" s="3"/>
      <c r="C336" s="3"/>
      <c r="D336" s="847" t="s">
        <v>900</v>
      </c>
      <c r="F336" s="848"/>
      <c r="G336" s="3"/>
      <c r="H336" s="3"/>
      <c r="I336" s="3"/>
      <c r="J336" s="3"/>
      <c r="K336" s="3"/>
      <c r="L336" s="3"/>
      <c r="M336" s="3"/>
      <c r="N336" s="3"/>
      <c r="O336" s="158"/>
      <c r="P336" s="3"/>
      <c r="Q336" s="3"/>
      <c r="R336" s="726">
        <f t="shared" ref="R336:R346" si="48">$A336*Q336</f>
        <v>0</v>
      </c>
      <c r="S336" s="3"/>
      <c r="T336" s="727">
        <f t="shared" ref="T336:T346" si="49">$A336*S336*$T$1</f>
        <v>0</v>
      </c>
      <c r="AA336" s="730"/>
      <c r="AB336" s="719"/>
      <c r="AC336" s="719"/>
      <c r="AD336" s="719"/>
      <c r="AE336" s="719"/>
    </row>
    <row r="337" spans="1:256" s="602" customFormat="1" ht="12" customHeight="1">
      <c r="A337" s="860">
        <f ca="1">$Q$334 *((ROUND(158*(0.6+0.6+0.65),0)))</f>
        <v>0</v>
      </c>
      <c r="B337" s="730" t="s">
        <v>326</v>
      </c>
      <c r="C337" s="730"/>
      <c r="D337" s="730" t="s">
        <v>918</v>
      </c>
      <c r="E337" s="730" t="s">
        <v>866</v>
      </c>
      <c r="F337" s="855"/>
      <c r="G337" s="731" t="s">
        <v>919</v>
      </c>
      <c r="H337" s="732">
        <v>501</v>
      </c>
      <c r="I337" s="730" t="s">
        <v>875</v>
      </c>
      <c r="J337" s="730" t="s">
        <v>920</v>
      </c>
      <c r="K337" s="730" t="s">
        <v>921</v>
      </c>
      <c r="L337" s="730"/>
      <c r="M337" s="730"/>
      <c r="N337" s="730"/>
      <c r="O337" s="733">
        <v>1</v>
      </c>
      <c r="P337" s="734">
        <v>36175</v>
      </c>
      <c r="Q337" s="845">
        <f>ROUNDUP(2.05*1.145,2)</f>
        <v>2.3499999999999996</v>
      </c>
      <c r="R337" s="736">
        <f t="shared" ca="1" si="48"/>
        <v>0</v>
      </c>
      <c r="S337" s="735"/>
      <c r="T337" s="737">
        <f t="shared" ca="1" si="49"/>
        <v>0</v>
      </c>
      <c r="U337" s="730"/>
      <c r="V337" s="861"/>
      <c r="W337" s="861"/>
      <c r="X337" s="861"/>
      <c r="Y337" s="861"/>
      <c r="Z337" s="861"/>
      <c r="AA337" s="861"/>
      <c r="AB337" s="719"/>
      <c r="AC337" s="719"/>
      <c r="AD337" s="719"/>
      <c r="AE337" s="719"/>
      <c r="AF337" s="861"/>
      <c r="AG337" s="861"/>
      <c r="AH337" s="861"/>
      <c r="AI337" s="861"/>
      <c r="AJ337" s="861"/>
      <c r="AK337" s="861"/>
      <c r="AL337" s="861"/>
      <c r="AM337" s="861"/>
      <c r="AN337" s="861"/>
      <c r="AO337" s="861"/>
      <c r="AP337" s="861"/>
      <c r="AQ337" s="861"/>
      <c r="AR337" s="861"/>
      <c r="AS337" s="861"/>
      <c r="AT337" s="861"/>
      <c r="AU337" s="861"/>
      <c r="AV337" s="861"/>
      <c r="AW337" s="861"/>
      <c r="AX337" s="861"/>
      <c r="AY337" s="861"/>
      <c r="AZ337" s="861"/>
      <c r="BA337" s="861"/>
      <c r="BB337" s="861"/>
      <c r="BC337" s="861"/>
      <c r="BD337" s="861"/>
      <c r="BE337" s="861"/>
      <c r="BF337" s="861"/>
      <c r="BG337" s="861"/>
      <c r="BH337" s="861"/>
      <c r="BI337" s="861"/>
      <c r="BJ337" s="861"/>
      <c r="BK337" s="861"/>
      <c r="BL337" s="861"/>
      <c r="BM337" s="861"/>
      <c r="BN337" s="861"/>
      <c r="BO337" s="861"/>
      <c r="BP337" s="861"/>
      <c r="BQ337" s="861"/>
      <c r="BR337" s="861"/>
      <c r="BS337" s="861"/>
      <c r="BT337" s="861"/>
      <c r="BU337" s="861"/>
      <c r="BV337" s="861"/>
      <c r="BW337" s="861"/>
      <c r="BX337" s="861"/>
      <c r="BY337" s="861"/>
      <c r="BZ337" s="861"/>
      <c r="CA337" s="861"/>
      <c r="CB337" s="861"/>
      <c r="CC337" s="861"/>
      <c r="CD337" s="861"/>
      <c r="CE337" s="861"/>
      <c r="CF337" s="861"/>
      <c r="CG337" s="861"/>
      <c r="CH337" s="861"/>
      <c r="CI337" s="861"/>
      <c r="CJ337" s="861"/>
      <c r="CK337" s="861"/>
      <c r="CL337" s="861"/>
      <c r="CM337" s="861"/>
      <c r="CN337" s="861"/>
      <c r="CO337" s="861"/>
      <c r="CP337" s="861"/>
      <c r="CQ337" s="861"/>
      <c r="CR337" s="861"/>
      <c r="CS337" s="861"/>
      <c r="CT337" s="861"/>
      <c r="CU337" s="861"/>
      <c r="CV337" s="861"/>
      <c r="CW337" s="861"/>
      <c r="CX337" s="861"/>
      <c r="CY337" s="861"/>
      <c r="CZ337" s="861"/>
      <c r="DA337" s="861"/>
      <c r="DB337" s="861"/>
      <c r="DC337" s="861"/>
      <c r="DD337" s="861"/>
      <c r="DE337" s="861"/>
      <c r="DF337" s="861"/>
      <c r="DG337" s="861"/>
      <c r="DH337" s="861"/>
      <c r="DI337" s="861"/>
      <c r="DJ337" s="861"/>
      <c r="DK337" s="861"/>
      <c r="DL337" s="861"/>
      <c r="DM337" s="861"/>
      <c r="DN337" s="861"/>
      <c r="DO337" s="861"/>
      <c r="DP337" s="861"/>
      <c r="DQ337" s="861"/>
      <c r="DR337" s="861"/>
      <c r="DS337" s="861"/>
      <c r="DT337" s="861"/>
      <c r="DU337" s="861"/>
      <c r="DV337" s="861"/>
      <c r="DW337" s="861"/>
      <c r="DX337" s="861"/>
      <c r="DY337" s="861"/>
      <c r="DZ337" s="861"/>
      <c r="EA337" s="861"/>
      <c r="EB337" s="861"/>
      <c r="EC337" s="861"/>
      <c r="ED337" s="861"/>
      <c r="EE337" s="861"/>
      <c r="EF337" s="861"/>
      <c r="EG337" s="861"/>
      <c r="EH337" s="861"/>
      <c r="EI337" s="861"/>
      <c r="EJ337" s="861"/>
      <c r="EK337" s="861"/>
      <c r="EL337" s="861"/>
      <c r="EM337" s="861"/>
      <c r="EN337" s="861"/>
      <c r="EO337" s="861"/>
      <c r="EP337" s="861"/>
      <c r="EQ337" s="861"/>
      <c r="ER337" s="861"/>
      <c r="ES337" s="861"/>
      <c r="ET337" s="861"/>
      <c r="EU337" s="861"/>
      <c r="EV337" s="861"/>
      <c r="EW337" s="861"/>
      <c r="EX337" s="861"/>
      <c r="EY337" s="861"/>
      <c r="EZ337" s="861"/>
      <c r="FA337" s="861"/>
      <c r="FB337" s="861"/>
      <c r="FC337" s="861"/>
      <c r="FD337" s="861"/>
      <c r="FE337" s="861"/>
      <c r="FF337" s="861"/>
      <c r="FG337" s="861"/>
      <c r="FH337" s="861"/>
      <c r="FI337" s="861"/>
      <c r="FJ337" s="861"/>
      <c r="FK337" s="861"/>
      <c r="FL337" s="861"/>
      <c r="FM337" s="861"/>
      <c r="FN337" s="861"/>
      <c r="FO337" s="861"/>
      <c r="FP337" s="861"/>
      <c r="FQ337" s="861"/>
      <c r="FR337" s="861"/>
      <c r="FS337" s="861"/>
      <c r="FT337" s="861"/>
      <c r="FU337" s="861"/>
      <c r="FV337" s="861"/>
      <c r="FW337" s="861"/>
      <c r="FX337" s="861"/>
      <c r="FY337" s="861"/>
      <c r="FZ337" s="861"/>
      <c r="GA337" s="861"/>
      <c r="GB337" s="861"/>
      <c r="GC337" s="861"/>
      <c r="GD337" s="861"/>
      <c r="GE337" s="861"/>
      <c r="GF337" s="861"/>
      <c r="GG337" s="861"/>
      <c r="GH337" s="861"/>
      <c r="GI337" s="861"/>
      <c r="GJ337" s="861"/>
      <c r="GK337" s="861"/>
      <c r="GL337" s="861"/>
      <c r="GM337" s="861"/>
      <c r="GN337" s="861"/>
      <c r="GO337" s="861"/>
      <c r="GP337" s="861"/>
      <c r="GQ337" s="861"/>
      <c r="GR337" s="861"/>
      <c r="GS337" s="861"/>
      <c r="GT337" s="861"/>
      <c r="GU337" s="861"/>
      <c r="GV337" s="861"/>
      <c r="GW337" s="861"/>
      <c r="GX337" s="861"/>
      <c r="GY337" s="861"/>
      <c r="GZ337" s="861"/>
      <c r="HA337" s="861"/>
      <c r="HB337" s="861"/>
      <c r="HC337" s="861"/>
      <c r="HD337" s="861"/>
      <c r="HE337" s="861"/>
      <c r="HF337" s="861"/>
      <c r="HG337" s="861"/>
      <c r="HH337" s="861"/>
      <c r="HI337" s="861"/>
      <c r="HJ337" s="861"/>
      <c r="HK337" s="861"/>
      <c r="HL337" s="861"/>
      <c r="HM337" s="861"/>
      <c r="HN337" s="861"/>
      <c r="HO337" s="861"/>
      <c r="HP337" s="861"/>
      <c r="HQ337" s="861"/>
      <c r="HR337" s="861"/>
      <c r="HS337" s="861"/>
      <c r="HT337" s="861"/>
      <c r="HU337" s="861"/>
      <c r="HV337" s="861"/>
      <c r="HW337" s="861"/>
      <c r="HX337" s="861"/>
      <c r="HY337" s="861"/>
      <c r="HZ337" s="861"/>
      <c r="IA337" s="861"/>
      <c r="IB337" s="861"/>
      <c r="IC337" s="861"/>
      <c r="ID337" s="861"/>
      <c r="IE337" s="861"/>
      <c r="IF337" s="861"/>
      <c r="IG337" s="861"/>
      <c r="IH337" s="861"/>
      <c r="II337" s="861"/>
      <c r="IJ337" s="861"/>
      <c r="IK337" s="861"/>
      <c r="IL337" s="861"/>
      <c r="IM337" s="861"/>
      <c r="IN337" s="861"/>
      <c r="IO337" s="861"/>
      <c r="IP337" s="861"/>
      <c r="IQ337" s="861"/>
      <c r="IR337" s="861"/>
      <c r="IS337" s="861"/>
      <c r="IT337" s="861"/>
      <c r="IU337" s="861"/>
      <c r="IV337" s="861"/>
    </row>
    <row r="338" spans="1:256" s="602" customFormat="1" ht="12" customHeight="1">
      <c r="A338" s="860">
        <f ca="1">$Q$334 *((ROUND(158*2,0)))</f>
        <v>0</v>
      </c>
      <c r="B338" s="663" t="s">
        <v>320</v>
      </c>
      <c r="C338" s="663"/>
      <c r="D338" s="730" t="s">
        <v>922</v>
      </c>
      <c r="E338" s="730"/>
      <c r="F338" s="730" t="s">
        <v>923</v>
      </c>
      <c r="G338" s="731" t="s">
        <v>924</v>
      </c>
      <c r="H338" s="732">
        <v>501</v>
      </c>
      <c r="I338" s="601"/>
      <c r="J338" s="663"/>
      <c r="K338" s="663"/>
      <c r="L338" s="663"/>
      <c r="M338" s="663"/>
      <c r="N338" s="663"/>
      <c r="O338" s="733">
        <v>1</v>
      </c>
      <c r="P338" s="663"/>
      <c r="Q338" s="724">
        <v>4.0999999999999996</v>
      </c>
      <c r="R338" s="736">
        <f t="shared" ca="1" si="48"/>
        <v>0</v>
      </c>
      <c r="S338" s="601"/>
      <c r="T338" s="737">
        <f t="shared" ca="1" si="49"/>
        <v>0</v>
      </c>
      <c r="U338" s="602" t="s">
        <v>913</v>
      </c>
    </row>
    <row r="339" spans="1:256" s="602" customFormat="1" ht="12" customHeight="1">
      <c r="A339" s="860">
        <f ca="1">$Q$334 *((ROUND(158*2,0)))</f>
        <v>0</v>
      </c>
      <c r="B339" s="730" t="s">
        <v>141</v>
      </c>
      <c r="C339" s="730"/>
      <c r="D339" s="730" t="s">
        <v>925</v>
      </c>
      <c r="E339" s="730"/>
      <c r="F339" s="730"/>
      <c r="G339" s="731" t="s">
        <v>926</v>
      </c>
      <c r="H339" s="732">
        <v>875</v>
      </c>
      <c r="I339" s="730" t="s">
        <v>875</v>
      </c>
      <c r="J339" s="730" t="s">
        <v>927</v>
      </c>
      <c r="K339" s="730" t="s">
        <v>928</v>
      </c>
      <c r="L339" s="730"/>
      <c r="M339" s="730"/>
      <c r="N339" s="730"/>
      <c r="O339" s="733">
        <v>1</v>
      </c>
      <c r="P339" s="734">
        <v>36175</v>
      </c>
      <c r="Q339" s="735">
        <v>0.3</v>
      </c>
      <c r="R339" s="736">
        <f t="shared" ca="1" si="48"/>
        <v>0</v>
      </c>
      <c r="S339" s="735"/>
      <c r="T339" s="737">
        <f t="shared" ca="1" si="49"/>
        <v>0</v>
      </c>
      <c r="U339" s="730"/>
      <c r="V339" s="861"/>
      <c r="W339" s="861"/>
      <c r="X339" s="861"/>
      <c r="Y339" s="861"/>
      <c r="Z339" s="861"/>
      <c r="AA339" s="861"/>
      <c r="AB339" s="719"/>
      <c r="AC339" s="719"/>
      <c r="AD339" s="719"/>
      <c r="AE339" s="719"/>
      <c r="AF339" s="861"/>
      <c r="AG339" s="861"/>
      <c r="AH339" s="861"/>
      <c r="AI339" s="861"/>
      <c r="AJ339" s="861"/>
      <c r="AK339" s="861"/>
      <c r="AL339" s="861"/>
      <c r="AM339" s="861"/>
      <c r="AN339" s="861"/>
      <c r="AO339" s="861"/>
      <c r="AP339" s="861"/>
      <c r="AQ339" s="861"/>
      <c r="AR339" s="861"/>
      <c r="AS339" s="861"/>
      <c r="AT339" s="861"/>
      <c r="AU339" s="861"/>
      <c r="AV339" s="861"/>
      <c r="AW339" s="861"/>
      <c r="AX339" s="861"/>
      <c r="AY339" s="861"/>
      <c r="AZ339" s="861"/>
      <c r="BA339" s="861"/>
      <c r="BB339" s="861"/>
      <c r="BC339" s="861"/>
      <c r="BD339" s="861"/>
      <c r="BE339" s="861"/>
      <c r="BF339" s="861"/>
      <c r="BG339" s="861"/>
      <c r="BH339" s="861"/>
      <c r="BI339" s="861"/>
      <c r="BJ339" s="861"/>
      <c r="BK339" s="861"/>
      <c r="BL339" s="861"/>
      <c r="BM339" s="861"/>
      <c r="BN339" s="861"/>
      <c r="BO339" s="861"/>
      <c r="BP339" s="861"/>
      <c r="BQ339" s="861"/>
      <c r="BR339" s="861"/>
      <c r="BS339" s="861"/>
      <c r="BT339" s="861"/>
      <c r="BU339" s="861"/>
      <c r="BV339" s="861"/>
      <c r="BW339" s="861"/>
      <c r="BX339" s="861"/>
      <c r="BY339" s="861"/>
      <c r="BZ339" s="861"/>
      <c r="CA339" s="861"/>
      <c r="CB339" s="861"/>
      <c r="CC339" s="861"/>
      <c r="CD339" s="861"/>
      <c r="CE339" s="861"/>
      <c r="CF339" s="861"/>
      <c r="CG339" s="861"/>
      <c r="CH339" s="861"/>
      <c r="CI339" s="861"/>
      <c r="CJ339" s="861"/>
      <c r="CK339" s="861"/>
      <c r="CL339" s="861"/>
      <c r="CM339" s="861"/>
      <c r="CN339" s="861"/>
      <c r="CO339" s="861"/>
      <c r="CP339" s="861"/>
      <c r="CQ339" s="861"/>
      <c r="CR339" s="861"/>
      <c r="CS339" s="861"/>
      <c r="CT339" s="861"/>
      <c r="CU339" s="861"/>
      <c r="CV339" s="861"/>
      <c r="CW339" s="861"/>
      <c r="CX339" s="861"/>
      <c r="CY339" s="861"/>
      <c r="CZ339" s="861"/>
      <c r="DA339" s="861"/>
      <c r="DB339" s="861"/>
      <c r="DC339" s="861"/>
      <c r="DD339" s="861"/>
      <c r="DE339" s="861"/>
      <c r="DF339" s="861"/>
      <c r="DG339" s="861"/>
      <c r="DH339" s="861"/>
      <c r="DI339" s="861"/>
      <c r="DJ339" s="861"/>
      <c r="DK339" s="861"/>
      <c r="DL339" s="861"/>
      <c r="DM339" s="861"/>
      <c r="DN339" s="861"/>
      <c r="DO339" s="861"/>
      <c r="DP339" s="861"/>
      <c r="DQ339" s="861"/>
      <c r="DR339" s="861"/>
      <c r="DS339" s="861"/>
      <c r="DT339" s="861"/>
      <c r="DU339" s="861"/>
      <c r="DV339" s="861"/>
      <c r="DW339" s="861"/>
      <c r="DX339" s="861"/>
      <c r="DY339" s="861"/>
      <c r="DZ339" s="861"/>
      <c r="EA339" s="861"/>
      <c r="EB339" s="861"/>
      <c r="EC339" s="861"/>
      <c r="ED339" s="861"/>
      <c r="EE339" s="861"/>
      <c r="EF339" s="861"/>
      <c r="EG339" s="861"/>
      <c r="EH339" s="861"/>
      <c r="EI339" s="861"/>
      <c r="EJ339" s="861"/>
      <c r="EK339" s="861"/>
      <c r="EL339" s="861"/>
      <c r="EM339" s="861"/>
      <c r="EN339" s="861"/>
      <c r="EO339" s="861"/>
      <c r="EP339" s="861"/>
      <c r="EQ339" s="861"/>
      <c r="ER339" s="861"/>
      <c r="ES339" s="861"/>
      <c r="ET339" s="861"/>
      <c r="EU339" s="861"/>
      <c r="EV339" s="861"/>
      <c r="EW339" s="861"/>
      <c r="EX339" s="861"/>
      <c r="EY339" s="861"/>
      <c r="EZ339" s="861"/>
      <c r="FA339" s="861"/>
      <c r="FB339" s="861"/>
      <c r="FC339" s="861"/>
      <c r="FD339" s="861"/>
      <c r="FE339" s="861"/>
      <c r="FF339" s="861"/>
      <c r="FG339" s="861"/>
      <c r="FH339" s="861"/>
      <c r="FI339" s="861"/>
      <c r="FJ339" s="861"/>
      <c r="FK339" s="861"/>
      <c r="FL339" s="861"/>
      <c r="FM339" s="861"/>
      <c r="FN339" s="861"/>
      <c r="FO339" s="861"/>
      <c r="FP339" s="861"/>
      <c r="FQ339" s="861"/>
      <c r="FR339" s="861"/>
      <c r="FS339" s="861"/>
      <c r="FT339" s="861"/>
      <c r="FU339" s="861"/>
      <c r="FV339" s="861"/>
      <c r="FW339" s="861"/>
      <c r="FX339" s="861"/>
      <c r="FY339" s="861"/>
      <c r="FZ339" s="861"/>
      <c r="GA339" s="861"/>
      <c r="GB339" s="861"/>
      <c r="GC339" s="861"/>
      <c r="GD339" s="861"/>
      <c r="GE339" s="861"/>
      <c r="GF339" s="861"/>
      <c r="GG339" s="861"/>
      <c r="GH339" s="861"/>
      <c r="GI339" s="861"/>
      <c r="GJ339" s="861"/>
      <c r="GK339" s="861"/>
      <c r="GL339" s="861"/>
      <c r="GM339" s="861"/>
      <c r="GN339" s="861"/>
      <c r="GO339" s="861"/>
      <c r="GP339" s="861"/>
      <c r="GQ339" s="861"/>
      <c r="GR339" s="861"/>
      <c r="GS339" s="861"/>
      <c r="GT339" s="861"/>
      <c r="GU339" s="861"/>
      <c r="GV339" s="861"/>
      <c r="GW339" s="861"/>
      <c r="GX339" s="861"/>
      <c r="GY339" s="861"/>
      <c r="GZ339" s="861"/>
      <c r="HA339" s="861"/>
      <c r="HB339" s="861"/>
      <c r="HC339" s="861"/>
      <c r="HD339" s="861"/>
      <c r="HE339" s="861"/>
      <c r="HF339" s="861"/>
      <c r="HG339" s="861"/>
      <c r="HH339" s="861"/>
      <c r="HI339" s="861"/>
      <c r="HJ339" s="861"/>
      <c r="HK339" s="861"/>
      <c r="HL339" s="861"/>
      <c r="HM339" s="861"/>
      <c r="HN339" s="861"/>
      <c r="HO339" s="861"/>
      <c r="HP339" s="861"/>
      <c r="HQ339" s="861"/>
      <c r="HR339" s="861"/>
      <c r="HS339" s="861"/>
      <c r="HT339" s="861"/>
      <c r="HU339" s="861"/>
      <c r="HV339" s="861"/>
      <c r="HW339" s="861"/>
      <c r="HX339" s="861"/>
      <c r="HY339" s="861"/>
      <c r="HZ339" s="861"/>
      <c r="IA339" s="861"/>
      <c r="IB339" s="861"/>
      <c r="IC339" s="861"/>
      <c r="ID339" s="861"/>
      <c r="IE339" s="861"/>
      <c r="IF339" s="861"/>
      <c r="IG339" s="861"/>
      <c r="IH339" s="861"/>
      <c r="II339" s="861"/>
      <c r="IJ339" s="861"/>
      <c r="IK339" s="861"/>
      <c r="IL339" s="861"/>
      <c r="IM339" s="861"/>
      <c r="IN339" s="861"/>
      <c r="IO339" s="861"/>
      <c r="IP339" s="861"/>
      <c r="IQ339" s="861"/>
      <c r="IR339" s="861"/>
      <c r="IS339" s="861"/>
      <c r="IT339" s="861"/>
      <c r="IU339" s="861"/>
      <c r="IV339" s="861"/>
    </row>
    <row r="340" spans="1:256" s="730" customFormat="1" ht="12" customHeight="1">
      <c r="A340" s="860">
        <f ca="1">$Q$334 *((ROUND(158*2,0)))</f>
        <v>0</v>
      </c>
      <c r="B340" s="730" t="s">
        <v>141</v>
      </c>
      <c r="D340" s="730" t="s">
        <v>929</v>
      </c>
      <c r="G340" s="731" t="s">
        <v>930</v>
      </c>
      <c r="H340" s="732">
        <v>501</v>
      </c>
      <c r="I340" s="730" t="s">
        <v>674</v>
      </c>
      <c r="K340" s="730" t="s">
        <v>931</v>
      </c>
      <c r="O340" s="733">
        <v>1</v>
      </c>
      <c r="P340" s="734"/>
      <c r="Q340" s="735">
        <f>1.2 *(0.2)</f>
        <v>0.24</v>
      </c>
      <c r="R340" s="736">
        <f t="shared" ca="1" si="48"/>
        <v>0</v>
      </c>
      <c r="S340" s="735"/>
      <c r="T340" s="737">
        <f t="shared" ca="1" si="49"/>
        <v>0</v>
      </c>
      <c r="V340" s="861"/>
      <c r="W340" s="861"/>
      <c r="X340" s="861"/>
      <c r="Y340" s="861"/>
      <c r="Z340" s="861"/>
      <c r="AA340" s="861"/>
      <c r="AB340" s="719"/>
      <c r="AC340" s="719"/>
      <c r="AD340" s="719"/>
      <c r="AE340" s="719"/>
      <c r="AF340" s="861"/>
      <c r="AG340" s="861"/>
      <c r="AH340" s="861"/>
      <c r="AI340" s="861"/>
      <c r="AJ340" s="861"/>
      <c r="AK340" s="861"/>
      <c r="AL340" s="861"/>
      <c r="AM340" s="861"/>
      <c r="AN340" s="861"/>
      <c r="AO340" s="861"/>
      <c r="AP340" s="861"/>
      <c r="AQ340" s="861"/>
      <c r="AR340" s="861"/>
      <c r="AS340" s="861"/>
      <c r="AT340" s="861"/>
      <c r="AU340" s="861"/>
      <c r="AV340" s="861"/>
      <c r="AW340" s="861"/>
      <c r="AX340" s="861"/>
      <c r="AY340" s="861"/>
      <c r="AZ340" s="861"/>
      <c r="BA340" s="861"/>
      <c r="BB340" s="861"/>
      <c r="BC340" s="861"/>
      <c r="BD340" s="861"/>
      <c r="BE340" s="861"/>
      <c r="BF340" s="861"/>
      <c r="BG340" s="861"/>
      <c r="BH340" s="861"/>
      <c r="BI340" s="861"/>
      <c r="BJ340" s="861"/>
      <c r="BK340" s="861"/>
      <c r="BL340" s="861"/>
      <c r="BM340" s="861"/>
      <c r="BN340" s="861"/>
      <c r="BO340" s="861"/>
      <c r="BP340" s="861"/>
      <c r="BQ340" s="861"/>
      <c r="BR340" s="861"/>
      <c r="BS340" s="861"/>
      <c r="BT340" s="861"/>
      <c r="BU340" s="861"/>
      <c r="BV340" s="861"/>
      <c r="BW340" s="861"/>
      <c r="BX340" s="861"/>
      <c r="BY340" s="861"/>
      <c r="BZ340" s="861"/>
      <c r="CA340" s="861"/>
      <c r="CB340" s="861"/>
      <c r="CC340" s="861"/>
      <c r="CD340" s="861"/>
      <c r="CE340" s="861"/>
      <c r="CF340" s="861"/>
      <c r="CG340" s="861"/>
      <c r="CH340" s="861"/>
      <c r="CI340" s="861"/>
      <c r="CJ340" s="861"/>
      <c r="CK340" s="861"/>
      <c r="CL340" s="861"/>
      <c r="CM340" s="861"/>
      <c r="CN340" s="861"/>
      <c r="CO340" s="861"/>
      <c r="CP340" s="861"/>
      <c r="CQ340" s="861"/>
      <c r="CR340" s="861"/>
      <c r="CS340" s="861"/>
      <c r="CT340" s="861"/>
      <c r="CU340" s="861"/>
      <c r="CV340" s="861"/>
      <c r="CW340" s="861"/>
      <c r="CX340" s="861"/>
      <c r="CY340" s="861"/>
      <c r="CZ340" s="861"/>
      <c r="DA340" s="861"/>
      <c r="DB340" s="861"/>
      <c r="DC340" s="861"/>
      <c r="DD340" s="861"/>
      <c r="DE340" s="861"/>
      <c r="DF340" s="861"/>
      <c r="DG340" s="861"/>
      <c r="DH340" s="861"/>
      <c r="DI340" s="861"/>
      <c r="DJ340" s="861"/>
      <c r="DK340" s="861"/>
      <c r="DL340" s="861"/>
      <c r="DM340" s="861"/>
      <c r="DN340" s="861"/>
      <c r="DO340" s="861"/>
      <c r="DP340" s="861"/>
      <c r="DQ340" s="861"/>
      <c r="DR340" s="861"/>
      <c r="DS340" s="861"/>
      <c r="DT340" s="861"/>
      <c r="DU340" s="861"/>
      <c r="DV340" s="861"/>
      <c r="DW340" s="861"/>
      <c r="DX340" s="861"/>
      <c r="DY340" s="861"/>
      <c r="DZ340" s="861"/>
      <c r="EA340" s="861"/>
      <c r="EB340" s="861"/>
      <c r="EC340" s="861"/>
      <c r="ED340" s="861"/>
      <c r="EE340" s="861"/>
      <c r="EF340" s="861"/>
      <c r="EG340" s="861"/>
      <c r="EH340" s="861"/>
      <c r="EI340" s="861"/>
      <c r="EJ340" s="861"/>
      <c r="EK340" s="861"/>
      <c r="EL340" s="861"/>
      <c r="EM340" s="861"/>
      <c r="EN340" s="861"/>
      <c r="EO340" s="861"/>
      <c r="EP340" s="861"/>
      <c r="EQ340" s="861"/>
      <c r="ER340" s="861"/>
      <c r="ES340" s="861"/>
      <c r="ET340" s="861"/>
      <c r="EU340" s="861"/>
      <c r="EV340" s="861"/>
      <c r="EW340" s="861"/>
      <c r="EX340" s="861"/>
      <c r="EY340" s="861"/>
      <c r="EZ340" s="861"/>
      <c r="FA340" s="861"/>
      <c r="FB340" s="861"/>
      <c r="FC340" s="861"/>
      <c r="FD340" s="861"/>
      <c r="FE340" s="861"/>
      <c r="FF340" s="861"/>
      <c r="FG340" s="861"/>
      <c r="FH340" s="861"/>
      <c r="FI340" s="861"/>
      <c r="FJ340" s="861"/>
      <c r="FK340" s="861"/>
      <c r="FL340" s="861"/>
      <c r="FM340" s="861"/>
      <c r="FN340" s="861"/>
      <c r="FO340" s="861"/>
      <c r="FP340" s="861"/>
      <c r="FQ340" s="861"/>
      <c r="FR340" s="861"/>
      <c r="FS340" s="861"/>
      <c r="FT340" s="861"/>
      <c r="FU340" s="861"/>
      <c r="FV340" s="861"/>
      <c r="FW340" s="861"/>
      <c r="FX340" s="861"/>
      <c r="FY340" s="861"/>
      <c r="FZ340" s="861"/>
      <c r="GA340" s="861"/>
      <c r="GB340" s="861"/>
      <c r="GC340" s="861"/>
      <c r="GD340" s="861"/>
      <c r="GE340" s="861"/>
      <c r="GF340" s="861"/>
      <c r="GG340" s="861"/>
      <c r="GH340" s="861"/>
      <c r="GI340" s="861"/>
      <c r="GJ340" s="861"/>
      <c r="GK340" s="861"/>
      <c r="GL340" s="861"/>
      <c r="GM340" s="861"/>
      <c r="GN340" s="861"/>
      <c r="GO340" s="861"/>
      <c r="GP340" s="861"/>
      <c r="GQ340" s="861"/>
      <c r="GR340" s="861"/>
      <c r="GS340" s="861"/>
      <c r="GT340" s="861"/>
      <c r="GU340" s="861"/>
      <c r="GV340" s="861"/>
      <c r="GW340" s="861"/>
      <c r="GX340" s="861"/>
      <c r="GY340" s="861"/>
      <c r="GZ340" s="861"/>
      <c r="HA340" s="861"/>
      <c r="HB340" s="861"/>
      <c r="HC340" s="861"/>
      <c r="HD340" s="861"/>
      <c r="HE340" s="861"/>
      <c r="HF340" s="861"/>
      <c r="HG340" s="861"/>
      <c r="HH340" s="861"/>
      <c r="HI340" s="861"/>
      <c r="HJ340" s="861"/>
      <c r="HK340" s="861"/>
      <c r="HL340" s="861"/>
      <c r="HM340" s="861"/>
      <c r="HN340" s="861"/>
      <c r="HO340" s="861"/>
      <c r="HP340" s="861"/>
      <c r="HQ340" s="861"/>
      <c r="HR340" s="861"/>
      <c r="HS340" s="861"/>
      <c r="HT340" s="861"/>
      <c r="HU340" s="861"/>
      <c r="HV340" s="861"/>
      <c r="HW340" s="861"/>
      <c r="HX340" s="861"/>
      <c r="HY340" s="861"/>
      <c r="HZ340" s="861"/>
      <c r="IA340" s="861"/>
      <c r="IB340" s="861"/>
      <c r="IC340" s="861"/>
      <c r="ID340" s="861"/>
      <c r="IE340" s="861"/>
      <c r="IF340" s="861"/>
      <c r="IG340" s="861"/>
      <c r="IH340" s="861"/>
      <c r="II340" s="861"/>
      <c r="IJ340" s="861"/>
      <c r="IK340" s="861"/>
      <c r="IL340" s="861"/>
      <c r="IM340" s="861"/>
      <c r="IN340" s="861"/>
      <c r="IO340" s="861"/>
      <c r="IP340" s="861"/>
      <c r="IQ340" s="861"/>
      <c r="IR340" s="861"/>
      <c r="IS340" s="861"/>
      <c r="IT340" s="861"/>
      <c r="IU340" s="861"/>
      <c r="IV340" s="861"/>
    </row>
    <row r="341" spans="1:256" s="730" customFormat="1" ht="12" customHeight="1">
      <c r="A341" s="860">
        <f ca="1">$Q$334 *((ROUND(158*2,0)))</f>
        <v>0</v>
      </c>
      <c r="B341" s="850" t="s">
        <v>141</v>
      </c>
      <c r="C341" s="850"/>
      <c r="D341" s="724" t="s">
        <v>916</v>
      </c>
      <c r="E341" s="851"/>
      <c r="F341" s="855"/>
      <c r="G341" s="731" t="s">
        <v>917</v>
      </c>
      <c r="H341" s="732">
        <v>501</v>
      </c>
      <c r="I341" s="856"/>
      <c r="J341" s="856"/>
      <c r="K341" s="724" t="s">
        <v>7</v>
      </c>
      <c r="L341" s="850"/>
      <c r="M341" s="850"/>
      <c r="N341" s="850"/>
      <c r="O341" s="857">
        <v>1</v>
      </c>
      <c r="P341" s="858"/>
      <c r="Q341" s="724">
        <f>2.33 *(0.01)</f>
        <v>2.3300000000000001E-2</v>
      </c>
      <c r="R341" s="726">
        <f t="shared" ca="1" si="48"/>
        <v>0</v>
      </c>
      <c r="S341" s="850"/>
      <c r="T341" s="727">
        <f t="shared" ca="1" si="49"/>
        <v>0</v>
      </c>
      <c r="V341" s="861"/>
      <c r="W341" s="861"/>
      <c r="X341" s="861"/>
      <c r="Y341" s="861"/>
      <c r="Z341" s="861"/>
      <c r="AA341" s="861"/>
      <c r="AB341" s="719"/>
      <c r="AC341" s="719"/>
      <c r="AD341" s="719"/>
      <c r="AE341" s="719"/>
      <c r="AF341" s="861"/>
      <c r="AG341" s="861"/>
      <c r="AH341" s="861"/>
      <c r="AI341" s="861"/>
      <c r="AJ341" s="861"/>
      <c r="AK341" s="861"/>
      <c r="AL341" s="861"/>
      <c r="AM341" s="861"/>
      <c r="AN341" s="861"/>
      <c r="AO341" s="861"/>
      <c r="AP341" s="861"/>
      <c r="AQ341" s="861"/>
      <c r="AR341" s="861"/>
      <c r="AS341" s="861"/>
      <c r="AT341" s="861"/>
      <c r="AU341" s="861"/>
      <c r="AV341" s="861"/>
      <c r="AW341" s="861"/>
      <c r="AX341" s="861"/>
      <c r="AY341" s="861"/>
      <c r="AZ341" s="861"/>
      <c r="BA341" s="861"/>
      <c r="BB341" s="861"/>
      <c r="BC341" s="861"/>
      <c r="BD341" s="861"/>
      <c r="BE341" s="861"/>
      <c r="BF341" s="861"/>
      <c r="BG341" s="861"/>
      <c r="BH341" s="861"/>
      <c r="BI341" s="861"/>
      <c r="BJ341" s="861"/>
      <c r="BK341" s="861"/>
      <c r="BL341" s="861"/>
      <c r="BM341" s="861"/>
      <c r="BN341" s="861"/>
      <c r="BO341" s="861"/>
      <c r="BP341" s="861"/>
      <c r="BQ341" s="861"/>
      <c r="BR341" s="861"/>
      <c r="BS341" s="861"/>
      <c r="BT341" s="861"/>
      <c r="BU341" s="861"/>
      <c r="BV341" s="861"/>
      <c r="BW341" s="861"/>
      <c r="BX341" s="861"/>
      <c r="BY341" s="861"/>
      <c r="BZ341" s="861"/>
      <c r="CA341" s="861"/>
      <c r="CB341" s="861"/>
      <c r="CC341" s="861"/>
      <c r="CD341" s="861"/>
      <c r="CE341" s="861"/>
      <c r="CF341" s="861"/>
      <c r="CG341" s="861"/>
      <c r="CH341" s="861"/>
      <c r="CI341" s="861"/>
      <c r="CJ341" s="861"/>
      <c r="CK341" s="861"/>
      <c r="CL341" s="861"/>
      <c r="CM341" s="861"/>
      <c r="CN341" s="861"/>
      <c r="CO341" s="861"/>
      <c r="CP341" s="861"/>
      <c r="CQ341" s="861"/>
      <c r="CR341" s="861"/>
      <c r="CS341" s="861"/>
      <c r="CT341" s="861"/>
      <c r="CU341" s="861"/>
      <c r="CV341" s="861"/>
      <c r="CW341" s="861"/>
      <c r="CX341" s="861"/>
      <c r="CY341" s="861"/>
      <c r="CZ341" s="861"/>
      <c r="DA341" s="861"/>
      <c r="DB341" s="861"/>
      <c r="DC341" s="861"/>
      <c r="DD341" s="861"/>
      <c r="DE341" s="861"/>
      <c r="DF341" s="861"/>
      <c r="DG341" s="861"/>
      <c r="DH341" s="861"/>
      <c r="DI341" s="861"/>
      <c r="DJ341" s="861"/>
      <c r="DK341" s="861"/>
      <c r="DL341" s="861"/>
      <c r="DM341" s="861"/>
      <c r="DN341" s="861"/>
      <c r="DO341" s="861"/>
      <c r="DP341" s="861"/>
      <c r="DQ341" s="861"/>
      <c r="DR341" s="861"/>
      <c r="DS341" s="861"/>
      <c r="DT341" s="861"/>
      <c r="DU341" s="861"/>
      <c r="DV341" s="861"/>
      <c r="DW341" s="861"/>
      <c r="DX341" s="861"/>
      <c r="DY341" s="861"/>
      <c r="DZ341" s="861"/>
      <c r="EA341" s="861"/>
      <c r="EB341" s="861"/>
      <c r="EC341" s="861"/>
      <c r="ED341" s="861"/>
      <c r="EE341" s="861"/>
      <c r="EF341" s="861"/>
      <c r="EG341" s="861"/>
      <c r="EH341" s="861"/>
      <c r="EI341" s="861"/>
      <c r="EJ341" s="861"/>
      <c r="EK341" s="861"/>
      <c r="EL341" s="861"/>
      <c r="EM341" s="861"/>
      <c r="EN341" s="861"/>
      <c r="EO341" s="861"/>
      <c r="EP341" s="861"/>
      <c r="EQ341" s="861"/>
      <c r="ER341" s="861"/>
      <c r="ES341" s="861"/>
      <c r="ET341" s="861"/>
      <c r="EU341" s="861"/>
      <c r="EV341" s="861"/>
      <c r="EW341" s="861"/>
      <c r="EX341" s="861"/>
      <c r="EY341" s="861"/>
      <c r="EZ341" s="861"/>
      <c r="FA341" s="861"/>
      <c r="FB341" s="861"/>
      <c r="FC341" s="861"/>
      <c r="FD341" s="861"/>
      <c r="FE341" s="861"/>
      <c r="FF341" s="861"/>
      <c r="FG341" s="861"/>
      <c r="FH341" s="861"/>
      <c r="FI341" s="861"/>
      <c r="FJ341" s="861"/>
      <c r="FK341" s="861"/>
      <c r="FL341" s="861"/>
      <c r="FM341" s="861"/>
      <c r="FN341" s="861"/>
      <c r="FO341" s="861"/>
      <c r="FP341" s="861"/>
      <c r="FQ341" s="861"/>
      <c r="FR341" s="861"/>
      <c r="FS341" s="861"/>
      <c r="FT341" s="861"/>
      <c r="FU341" s="861"/>
      <c r="FV341" s="861"/>
      <c r="FW341" s="861"/>
      <c r="FX341" s="861"/>
      <c r="FY341" s="861"/>
      <c r="FZ341" s="861"/>
      <c r="GA341" s="861"/>
      <c r="GB341" s="861"/>
      <c r="GC341" s="861"/>
      <c r="GD341" s="861"/>
      <c r="GE341" s="861"/>
      <c r="GF341" s="861"/>
      <c r="GG341" s="861"/>
      <c r="GH341" s="861"/>
      <c r="GI341" s="861"/>
      <c r="GJ341" s="861"/>
      <c r="GK341" s="861"/>
      <c r="GL341" s="861"/>
      <c r="GM341" s="861"/>
      <c r="GN341" s="861"/>
      <c r="GO341" s="861"/>
      <c r="GP341" s="861"/>
      <c r="GQ341" s="861"/>
      <c r="GR341" s="861"/>
      <c r="GS341" s="861"/>
      <c r="GT341" s="861"/>
      <c r="GU341" s="861"/>
      <c r="GV341" s="861"/>
      <c r="GW341" s="861"/>
      <c r="GX341" s="861"/>
      <c r="GY341" s="861"/>
      <c r="GZ341" s="861"/>
      <c r="HA341" s="861"/>
      <c r="HB341" s="861"/>
      <c r="HC341" s="861"/>
      <c r="HD341" s="861"/>
      <c r="HE341" s="861"/>
      <c r="HF341" s="861"/>
      <c r="HG341" s="861"/>
      <c r="HH341" s="861"/>
      <c r="HI341" s="861"/>
      <c r="HJ341" s="861"/>
      <c r="HK341" s="861"/>
      <c r="HL341" s="861"/>
      <c r="HM341" s="861"/>
      <c r="HN341" s="861"/>
      <c r="HO341" s="861"/>
      <c r="HP341" s="861"/>
      <c r="HQ341" s="861"/>
      <c r="HR341" s="861"/>
      <c r="HS341" s="861"/>
      <c r="HT341" s="861"/>
      <c r="HU341" s="861"/>
      <c r="HV341" s="861"/>
      <c r="HW341" s="861"/>
      <c r="HX341" s="861"/>
      <c r="HY341" s="861"/>
      <c r="HZ341" s="861"/>
      <c r="IA341" s="861"/>
      <c r="IB341" s="861"/>
      <c r="IC341" s="861"/>
      <c r="ID341" s="861"/>
      <c r="IE341" s="861"/>
      <c r="IF341" s="861"/>
      <c r="IG341" s="861"/>
      <c r="IH341" s="861"/>
      <c r="II341" s="861"/>
      <c r="IJ341" s="861"/>
      <c r="IK341" s="861"/>
      <c r="IL341" s="861"/>
      <c r="IM341" s="861"/>
      <c r="IN341" s="861"/>
      <c r="IO341" s="861"/>
      <c r="IP341" s="861"/>
      <c r="IQ341" s="861"/>
      <c r="IR341" s="861"/>
      <c r="IS341" s="861"/>
      <c r="IT341" s="861"/>
      <c r="IU341" s="861"/>
      <c r="IV341" s="861"/>
    </row>
    <row r="342" spans="1:256" s="602" customFormat="1" ht="12" customHeight="1">
      <c r="A342" s="860">
        <f ca="1">$Q$334 *((ROUND(158,0)))</f>
        <v>0</v>
      </c>
      <c r="B342" s="850" t="s">
        <v>141</v>
      </c>
      <c r="C342" s="850"/>
      <c r="D342" s="724" t="s">
        <v>911</v>
      </c>
      <c r="E342" s="851"/>
      <c r="F342" s="855"/>
      <c r="G342" s="731" t="s">
        <v>912</v>
      </c>
      <c r="H342" s="732">
        <v>900</v>
      </c>
      <c r="I342" s="856" t="s">
        <v>686</v>
      </c>
      <c r="J342" s="856"/>
      <c r="K342" s="724" t="s">
        <v>7</v>
      </c>
      <c r="L342" s="850"/>
      <c r="M342" s="850"/>
      <c r="N342" s="850"/>
      <c r="O342" s="857">
        <v>3</v>
      </c>
      <c r="P342" s="858"/>
      <c r="Q342" s="859"/>
      <c r="R342" s="726">
        <f t="shared" ca="1" si="48"/>
        <v>0</v>
      </c>
      <c r="S342" s="724">
        <v>0.35</v>
      </c>
      <c r="T342" s="727">
        <f t="shared" ca="1" si="49"/>
        <v>0</v>
      </c>
      <c r="U342" s="612" t="s">
        <v>913</v>
      </c>
      <c r="V342" s="862"/>
      <c r="W342" s="862"/>
      <c r="X342" s="863"/>
      <c r="Y342" s="863"/>
      <c r="Z342" s="863"/>
      <c r="AA342" s="863"/>
      <c r="AB342" s="863"/>
      <c r="AC342" s="863"/>
      <c r="AD342" s="863"/>
      <c r="AE342" s="863"/>
      <c r="AF342" s="863"/>
      <c r="AG342" s="863"/>
      <c r="AH342" s="863"/>
      <c r="AI342" s="863"/>
      <c r="AJ342" s="863"/>
      <c r="AK342" s="863"/>
      <c r="AL342" s="863"/>
      <c r="AM342" s="863"/>
      <c r="AN342" s="863"/>
      <c r="AO342" s="863"/>
      <c r="AP342" s="863"/>
      <c r="AQ342" s="863"/>
      <c r="AR342" s="863"/>
      <c r="AS342" s="863"/>
      <c r="AT342" s="863"/>
      <c r="AU342" s="863"/>
      <c r="AV342" s="863"/>
      <c r="AW342" s="863"/>
      <c r="AX342" s="863"/>
      <c r="AY342" s="863"/>
      <c r="AZ342" s="863"/>
      <c r="BA342" s="863"/>
      <c r="BB342" s="863"/>
      <c r="BC342" s="863"/>
      <c r="BD342" s="863"/>
      <c r="BE342" s="863"/>
      <c r="BF342" s="863"/>
      <c r="BG342" s="863"/>
      <c r="BH342" s="863"/>
      <c r="BI342" s="863"/>
      <c r="BJ342" s="863"/>
      <c r="BK342" s="863"/>
      <c r="BL342" s="863"/>
      <c r="BM342" s="863"/>
      <c r="BN342" s="863"/>
      <c r="BO342" s="863"/>
      <c r="BP342" s="863"/>
      <c r="BQ342" s="863"/>
      <c r="BR342" s="863"/>
      <c r="BS342" s="863"/>
      <c r="BT342" s="863"/>
      <c r="BU342" s="863"/>
      <c r="BV342" s="863"/>
      <c r="BW342" s="863"/>
      <c r="BX342" s="863"/>
      <c r="BY342" s="863"/>
      <c r="BZ342" s="863"/>
      <c r="CA342" s="863"/>
      <c r="CB342" s="863"/>
      <c r="CC342" s="863"/>
      <c r="CD342" s="863"/>
      <c r="CE342" s="863"/>
      <c r="CF342" s="863"/>
      <c r="CG342" s="863"/>
      <c r="CH342" s="863"/>
      <c r="CI342" s="863"/>
      <c r="CJ342" s="863"/>
      <c r="CK342" s="863"/>
      <c r="CL342" s="863"/>
      <c r="CM342" s="863"/>
      <c r="CN342" s="863"/>
      <c r="CO342" s="863"/>
      <c r="CP342" s="863"/>
      <c r="CQ342" s="863"/>
      <c r="CR342" s="863"/>
      <c r="CS342" s="863"/>
      <c r="CT342" s="863"/>
      <c r="CU342" s="863"/>
      <c r="CV342" s="863"/>
      <c r="CW342" s="863"/>
      <c r="CX342" s="863"/>
      <c r="CY342" s="863"/>
      <c r="CZ342" s="863"/>
      <c r="DA342" s="863"/>
      <c r="DB342" s="863"/>
      <c r="DC342" s="863"/>
      <c r="DD342" s="863"/>
      <c r="DE342" s="863"/>
      <c r="DF342" s="863"/>
      <c r="DG342" s="863"/>
      <c r="DH342" s="863"/>
      <c r="DI342" s="863"/>
      <c r="DJ342" s="863"/>
      <c r="DK342" s="863"/>
      <c r="DL342" s="863"/>
      <c r="DM342" s="863"/>
      <c r="DN342" s="863"/>
      <c r="DO342" s="863"/>
      <c r="DP342" s="863"/>
      <c r="DQ342" s="863"/>
      <c r="DR342" s="863"/>
      <c r="DS342" s="863"/>
      <c r="DT342" s="863"/>
      <c r="DU342" s="863"/>
      <c r="DV342" s="863"/>
      <c r="DW342" s="863"/>
      <c r="DX342" s="863"/>
      <c r="DY342" s="863"/>
      <c r="DZ342" s="863"/>
      <c r="EA342" s="863"/>
      <c r="EB342" s="863"/>
      <c r="EC342" s="863"/>
      <c r="ED342" s="863"/>
      <c r="EE342" s="863"/>
      <c r="EF342" s="863"/>
      <c r="EG342" s="863"/>
      <c r="EH342" s="863"/>
      <c r="EI342" s="863"/>
      <c r="EJ342" s="863"/>
      <c r="EK342" s="863"/>
      <c r="EL342" s="863"/>
      <c r="EM342" s="863"/>
      <c r="EN342" s="863"/>
      <c r="EO342" s="863"/>
      <c r="EP342" s="863"/>
      <c r="EQ342" s="863"/>
      <c r="ER342" s="863"/>
      <c r="ES342" s="863"/>
      <c r="ET342" s="863"/>
      <c r="EU342" s="863"/>
      <c r="EV342" s="863"/>
      <c r="EW342" s="863"/>
      <c r="EX342" s="863"/>
      <c r="EY342" s="863"/>
      <c r="EZ342" s="863"/>
      <c r="FA342" s="863"/>
      <c r="FB342" s="863"/>
      <c r="FC342" s="863"/>
      <c r="FD342" s="863"/>
      <c r="FE342" s="863"/>
      <c r="FF342" s="863"/>
      <c r="FG342" s="863"/>
      <c r="FH342" s="863"/>
      <c r="FI342" s="863"/>
      <c r="FJ342" s="863"/>
      <c r="FK342" s="863"/>
      <c r="FL342" s="863"/>
      <c r="FM342" s="863"/>
      <c r="FN342" s="863"/>
      <c r="FO342" s="863"/>
      <c r="FP342" s="863"/>
      <c r="FQ342" s="863"/>
      <c r="FR342" s="863"/>
      <c r="FS342" s="863"/>
      <c r="FT342" s="863"/>
      <c r="FU342" s="863"/>
      <c r="FV342" s="863"/>
      <c r="FW342" s="863"/>
      <c r="FX342" s="863"/>
      <c r="FY342" s="863"/>
      <c r="FZ342" s="863"/>
      <c r="GA342" s="863"/>
      <c r="GB342" s="863"/>
      <c r="GC342" s="863"/>
      <c r="GD342" s="863"/>
      <c r="GE342" s="863"/>
      <c r="GF342" s="863"/>
      <c r="GG342" s="863"/>
      <c r="GH342" s="863"/>
      <c r="GI342" s="863"/>
      <c r="GJ342" s="863"/>
      <c r="GK342" s="863"/>
      <c r="GL342" s="863"/>
      <c r="GM342" s="863"/>
      <c r="GN342" s="863"/>
      <c r="GO342" s="863"/>
      <c r="GP342" s="863"/>
      <c r="GQ342" s="863"/>
      <c r="GR342" s="863"/>
      <c r="GS342" s="863"/>
      <c r="GT342" s="863"/>
      <c r="GU342" s="863"/>
      <c r="GV342" s="863"/>
      <c r="GW342" s="863"/>
      <c r="GX342" s="863"/>
      <c r="GY342" s="863"/>
      <c r="GZ342" s="863"/>
      <c r="HA342" s="863"/>
      <c r="HB342" s="863"/>
      <c r="HC342" s="863"/>
      <c r="HD342" s="863"/>
      <c r="HE342" s="863"/>
      <c r="HF342" s="863"/>
      <c r="HG342" s="863"/>
      <c r="HH342" s="863"/>
      <c r="HI342" s="863"/>
      <c r="HJ342" s="863"/>
      <c r="HK342" s="863"/>
      <c r="HL342" s="863"/>
      <c r="HM342" s="863"/>
      <c r="HN342" s="863"/>
      <c r="HO342" s="863"/>
      <c r="HP342" s="863"/>
      <c r="HQ342" s="863"/>
      <c r="HR342" s="863"/>
      <c r="HS342" s="863"/>
      <c r="HT342" s="863"/>
      <c r="HU342" s="863"/>
      <c r="HV342" s="863"/>
      <c r="HW342" s="863"/>
      <c r="HX342" s="863"/>
      <c r="HY342" s="863"/>
      <c r="HZ342" s="863"/>
      <c r="IA342" s="863"/>
      <c r="IB342" s="863"/>
      <c r="IC342" s="863"/>
      <c r="ID342" s="863"/>
      <c r="IE342" s="863"/>
      <c r="IF342" s="863"/>
      <c r="IG342" s="863"/>
      <c r="IH342" s="863"/>
      <c r="II342" s="863"/>
      <c r="IJ342" s="863"/>
      <c r="IK342" s="863"/>
      <c r="IL342" s="863"/>
      <c r="IM342" s="863"/>
      <c r="IN342" s="863"/>
      <c r="IO342" s="863"/>
      <c r="IP342" s="863"/>
      <c r="IQ342" s="863"/>
      <c r="IR342" s="863"/>
      <c r="IS342" s="863"/>
      <c r="IT342" s="863"/>
      <c r="IU342" s="863"/>
      <c r="IV342" s="863"/>
    </row>
    <row r="343" spans="1:256" s="602" customFormat="1" ht="12" customHeight="1">
      <c r="A343" s="860">
        <f ca="1">$Q$334 *((ROUND(158*2,0)))</f>
        <v>0</v>
      </c>
      <c r="B343" s="850" t="s">
        <v>141</v>
      </c>
      <c r="C343" s="850"/>
      <c r="D343" s="724" t="s">
        <v>916</v>
      </c>
      <c r="E343" s="851"/>
      <c r="F343" s="855"/>
      <c r="G343" s="731" t="s">
        <v>917</v>
      </c>
      <c r="H343" s="732">
        <v>501</v>
      </c>
      <c r="I343" s="856"/>
      <c r="J343" s="856"/>
      <c r="K343" s="724" t="s">
        <v>7</v>
      </c>
      <c r="L343" s="850"/>
      <c r="M343" s="850"/>
      <c r="N343" s="850"/>
      <c r="O343" s="857">
        <v>1</v>
      </c>
      <c r="P343" s="858"/>
      <c r="Q343" s="724">
        <f>2.33 *(0.01)</f>
        <v>2.3300000000000001E-2</v>
      </c>
      <c r="R343" s="726">
        <f t="shared" ca="1" si="48"/>
        <v>0</v>
      </c>
      <c r="S343" s="850"/>
      <c r="T343" s="727">
        <f t="shared" ca="1" si="49"/>
        <v>0</v>
      </c>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c r="EX343"/>
      <c r="EY343"/>
      <c r="EZ343"/>
      <c r="FA343"/>
      <c r="FB343"/>
      <c r="FC343"/>
      <c r="FD343"/>
      <c r="FE343"/>
      <c r="FF343"/>
      <c r="FG343"/>
      <c r="FH343"/>
      <c r="FI343"/>
      <c r="FJ343"/>
      <c r="FK343"/>
      <c r="FL343"/>
      <c r="FM343"/>
      <c r="FN343"/>
      <c r="FO343"/>
      <c r="FP343"/>
      <c r="FQ343"/>
      <c r="FR343"/>
      <c r="FS343"/>
      <c r="FT343"/>
      <c r="FU343"/>
      <c r="FV343"/>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c r="IV343"/>
    </row>
    <row r="344" spans="1:256" s="730" customFormat="1" ht="11.4">
      <c r="A344" s="860">
        <f ca="1">$Q$334 *((ROUND(158*2,0)))</f>
        <v>0</v>
      </c>
      <c r="B344" s="730" t="s">
        <v>141</v>
      </c>
      <c r="D344" s="730" t="s">
        <v>944</v>
      </c>
      <c r="F344" s="730" t="s">
        <v>951</v>
      </c>
      <c r="G344" s="731" t="s">
        <v>945</v>
      </c>
      <c r="H344" s="732">
        <v>501</v>
      </c>
      <c r="I344" s="730" t="s">
        <v>875</v>
      </c>
      <c r="J344" s="730" t="s">
        <v>946</v>
      </c>
      <c r="K344" s="730" t="s">
        <v>947</v>
      </c>
      <c r="O344" s="733">
        <v>1</v>
      </c>
      <c r="P344" s="734">
        <v>36175</v>
      </c>
      <c r="Q344" s="724">
        <v>1.55</v>
      </c>
      <c r="R344" s="736">
        <f ca="1">$A344*Q344</f>
        <v>0</v>
      </c>
      <c r="S344" s="735"/>
      <c r="T344" s="737">
        <f ca="1">$A344*S344*$T$1</f>
        <v>0</v>
      </c>
    </row>
    <row r="345" spans="1:256" s="730" customFormat="1" ht="11.4">
      <c r="A345" s="860">
        <f ca="1">$Q$334 *((ROUND(158*4,0)))</f>
        <v>0</v>
      </c>
      <c r="B345" s="730" t="s">
        <v>141</v>
      </c>
      <c r="D345" s="730" t="s">
        <v>948</v>
      </c>
      <c r="F345" s="730" t="s">
        <v>952</v>
      </c>
      <c r="G345" s="731" t="s">
        <v>924</v>
      </c>
      <c r="H345" s="732">
        <v>501</v>
      </c>
      <c r="I345" s="730" t="s">
        <v>875</v>
      </c>
      <c r="J345" s="730" t="s">
        <v>949</v>
      </c>
      <c r="K345" s="730" t="s">
        <v>950</v>
      </c>
      <c r="O345" s="733">
        <v>1</v>
      </c>
      <c r="P345" s="734">
        <v>36175</v>
      </c>
      <c r="Q345" s="724">
        <v>2.6</v>
      </c>
      <c r="R345" s="736">
        <f ca="1">$A345*Q345</f>
        <v>0</v>
      </c>
      <c r="S345" s="735"/>
      <c r="T345" s="737">
        <f ca="1">$A345*S345*$T$1</f>
        <v>0</v>
      </c>
    </row>
    <row r="346" spans="1:256" s="730" customFormat="1" ht="12" customHeight="1">
      <c r="A346" s="663"/>
      <c r="B346" s="3"/>
      <c r="C346" s="663" t="s">
        <v>183</v>
      </c>
      <c r="D346" s="3"/>
      <c r="E346" s="663"/>
      <c r="F346" s="664"/>
      <c r="G346" s="663"/>
      <c r="H346" s="663"/>
      <c r="I346" s="601"/>
      <c r="J346" s="663"/>
      <c r="K346" s="663"/>
      <c r="L346" s="663"/>
      <c r="M346" s="663"/>
      <c r="N346" s="663"/>
      <c r="O346" s="663"/>
      <c r="P346" s="663"/>
      <c r="Q346" s="601"/>
      <c r="R346" s="814">
        <f t="shared" si="48"/>
        <v>0</v>
      </c>
      <c r="S346" s="601"/>
      <c r="T346" s="681">
        <f t="shared" si="49"/>
        <v>0</v>
      </c>
      <c r="U346" s="602"/>
      <c r="V346" s="602"/>
      <c r="W346" s="602"/>
      <c r="X346" s="602"/>
      <c r="Y346" s="602"/>
      <c r="Z346" s="602"/>
      <c r="AA346" s="602"/>
      <c r="AB346" s="602"/>
      <c r="AC346" s="602"/>
      <c r="AD346" s="602"/>
      <c r="AE346" s="602"/>
      <c r="AF346" s="602"/>
      <c r="AG346" s="602"/>
      <c r="AH346" s="602"/>
      <c r="AI346" s="602"/>
      <c r="AJ346" s="602"/>
      <c r="AK346" s="602"/>
      <c r="AL346" s="602"/>
      <c r="AM346" s="602"/>
      <c r="AN346" s="602"/>
      <c r="AO346" s="602"/>
      <c r="AP346" s="602"/>
      <c r="AQ346" s="602"/>
      <c r="AR346" s="602"/>
      <c r="AS346" s="602"/>
      <c r="AT346" s="602"/>
      <c r="AU346" s="602"/>
      <c r="AV346" s="602"/>
      <c r="AW346" s="602"/>
      <c r="AX346" s="602"/>
      <c r="AY346" s="602"/>
      <c r="AZ346" s="602"/>
      <c r="BA346" s="602"/>
      <c r="BB346" s="602"/>
      <c r="BC346" s="602"/>
      <c r="BD346" s="602"/>
      <c r="BE346" s="602"/>
      <c r="BF346" s="602"/>
      <c r="BG346" s="602"/>
      <c r="BH346" s="602"/>
      <c r="BI346" s="602"/>
      <c r="BJ346" s="602"/>
      <c r="BK346" s="602"/>
      <c r="BL346" s="602"/>
      <c r="BM346" s="602"/>
      <c r="BN346" s="602"/>
      <c r="BO346" s="602"/>
      <c r="BP346" s="602"/>
      <c r="BQ346" s="602"/>
      <c r="BR346" s="602"/>
      <c r="BS346" s="602"/>
      <c r="BT346" s="602"/>
      <c r="BU346" s="602"/>
      <c r="BV346" s="602"/>
      <c r="BW346" s="602"/>
      <c r="BX346" s="602"/>
      <c r="BY346" s="602"/>
      <c r="BZ346" s="602"/>
      <c r="CA346" s="602"/>
      <c r="CB346" s="602"/>
      <c r="CC346" s="602"/>
      <c r="CD346" s="602"/>
      <c r="CE346" s="602"/>
      <c r="CF346" s="602"/>
      <c r="CG346" s="602"/>
      <c r="CH346" s="602"/>
      <c r="CI346" s="602"/>
      <c r="CJ346" s="602"/>
      <c r="CK346" s="602"/>
      <c r="CL346" s="602"/>
      <c r="CM346" s="602"/>
      <c r="CN346" s="602"/>
      <c r="CO346" s="602"/>
      <c r="CP346" s="602"/>
      <c r="CQ346" s="602"/>
      <c r="CR346" s="602"/>
      <c r="CS346" s="602"/>
      <c r="CT346" s="602"/>
      <c r="CU346" s="602"/>
      <c r="CV346" s="602"/>
      <c r="CW346" s="602"/>
      <c r="CX346" s="602"/>
      <c r="CY346" s="602"/>
      <c r="CZ346" s="602"/>
      <c r="DA346" s="602"/>
      <c r="DB346" s="602"/>
      <c r="DC346" s="602"/>
      <c r="DD346" s="602"/>
      <c r="DE346" s="602"/>
      <c r="DF346" s="602"/>
      <c r="DG346" s="602"/>
      <c r="DH346" s="602"/>
      <c r="DI346" s="602"/>
      <c r="DJ346" s="602"/>
      <c r="DK346" s="602"/>
      <c r="DL346" s="602"/>
      <c r="DM346" s="602"/>
      <c r="DN346" s="602"/>
      <c r="DO346" s="602"/>
      <c r="DP346" s="602"/>
      <c r="DQ346" s="602"/>
      <c r="DR346" s="602"/>
      <c r="DS346" s="602"/>
      <c r="DT346" s="602"/>
      <c r="DU346" s="602"/>
      <c r="DV346" s="602"/>
      <c r="DW346" s="602"/>
      <c r="DX346" s="602"/>
      <c r="DY346" s="602"/>
      <c r="DZ346" s="602"/>
      <c r="EA346" s="602"/>
      <c r="EB346" s="602"/>
      <c r="EC346" s="602"/>
      <c r="ED346" s="602"/>
      <c r="EE346" s="602"/>
      <c r="EF346" s="602"/>
      <c r="EG346" s="602"/>
      <c r="EH346" s="602"/>
      <c r="EI346" s="602"/>
      <c r="EJ346" s="602"/>
      <c r="EK346" s="602"/>
      <c r="EL346" s="602"/>
      <c r="EM346" s="602"/>
      <c r="EN346" s="602"/>
      <c r="EO346" s="602"/>
      <c r="EP346" s="602"/>
      <c r="EQ346" s="602"/>
      <c r="ER346" s="602"/>
      <c r="ES346" s="602"/>
      <c r="ET346" s="602"/>
      <c r="EU346" s="602"/>
      <c r="EV346" s="602"/>
      <c r="EW346" s="602"/>
      <c r="EX346" s="602"/>
      <c r="EY346" s="602"/>
      <c r="EZ346" s="602"/>
      <c r="FA346" s="602"/>
      <c r="FB346" s="602"/>
      <c r="FC346" s="602"/>
      <c r="FD346" s="602"/>
      <c r="FE346" s="602"/>
      <c r="FF346" s="602"/>
      <c r="FG346" s="602"/>
      <c r="FH346" s="602"/>
      <c r="FI346" s="602"/>
      <c r="FJ346" s="602"/>
      <c r="FK346" s="602"/>
      <c r="FL346" s="602"/>
      <c r="FM346" s="602"/>
      <c r="FN346" s="602"/>
      <c r="FO346" s="602"/>
      <c r="FP346" s="602"/>
      <c r="FQ346" s="602"/>
      <c r="FR346" s="602"/>
      <c r="FS346" s="602"/>
      <c r="FT346" s="602"/>
      <c r="FU346" s="602"/>
      <c r="FV346" s="602"/>
      <c r="FW346" s="602"/>
      <c r="FX346" s="602"/>
      <c r="FY346" s="602"/>
      <c r="FZ346" s="602"/>
      <c r="GA346" s="602"/>
      <c r="GB346" s="602"/>
      <c r="GC346" s="602"/>
      <c r="GD346" s="602"/>
      <c r="GE346" s="602"/>
      <c r="GF346" s="602"/>
      <c r="GG346" s="602"/>
      <c r="GH346" s="602"/>
      <c r="GI346" s="602"/>
      <c r="GJ346" s="602"/>
      <c r="GK346" s="602"/>
      <c r="GL346" s="602"/>
      <c r="GM346" s="602"/>
      <c r="GN346" s="602"/>
      <c r="GO346" s="602"/>
      <c r="GP346" s="602"/>
      <c r="GQ346" s="602"/>
      <c r="GR346" s="602"/>
      <c r="GS346" s="602"/>
      <c r="GT346" s="602"/>
      <c r="GU346" s="602"/>
      <c r="GV346" s="602"/>
      <c r="GW346" s="602"/>
      <c r="GX346" s="602"/>
      <c r="GY346" s="602"/>
      <c r="GZ346" s="602"/>
      <c r="HA346" s="602"/>
      <c r="HB346" s="602"/>
      <c r="HC346" s="602"/>
      <c r="HD346" s="602"/>
      <c r="HE346" s="602"/>
      <c r="HF346" s="602"/>
      <c r="HG346" s="602"/>
      <c r="HH346" s="602"/>
      <c r="HI346" s="602"/>
      <c r="HJ346" s="602"/>
      <c r="HK346" s="602"/>
      <c r="HL346" s="602"/>
      <c r="HM346" s="602"/>
      <c r="HN346" s="602"/>
      <c r="HO346" s="602"/>
      <c r="HP346" s="602"/>
      <c r="HQ346" s="602"/>
      <c r="HR346" s="602"/>
      <c r="HS346" s="602"/>
      <c r="HT346" s="602"/>
      <c r="HU346" s="602"/>
      <c r="HV346" s="602"/>
      <c r="HW346" s="602"/>
      <c r="HX346" s="602"/>
      <c r="HY346" s="602"/>
      <c r="HZ346" s="602"/>
      <c r="IA346" s="602"/>
      <c r="IB346" s="602"/>
      <c r="IC346" s="602"/>
      <c r="ID346" s="602"/>
      <c r="IE346" s="602"/>
      <c r="IF346" s="602"/>
      <c r="IG346" s="602"/>
      <c r="IH346" s="602"/>
      <c r="II346" s="602"/>
      <c r="IJ346" s="602"/>
      <c r="IK346" s="602"/>
      <c r="IL346" s="602"/>
      <c r="IM346" s="602"/>
      <c r="IN346" s="602"/>
      <c r="IO346" s="602"/>
      <c r="IP346" s="602"/>
      <c r="IQ346" s="602"/>
      <c r="IR346" s="602"/>
      <c r="IS346" s="602"/>
      <c r="IT346" s="602"/>
      <c r="IU346" s="602"/>
      <c r="IV346" s="602"/>
    </row>
    <row r="347" spans="1:256" ht="13.8" thickBot="1">
      <c r="A347" s="682" t="s">
        <v>145</v>
      </c>
      <c r="B347" s="683">
        <f>(R346+T346)</f>
        <v>0</v>
      </c>
      <c r="C347" s="684"/>
      <c r="D347" s="834" t="s">
        <v>184</v>
      </c>
      <c r="E347" s="545">
        <f ca="1">IF($B334=0,0,ROUND(ROUND(($R347*$S$2+($T347*$T$2))/$B334, 2)*$C$2,2))</f>
        <v>0</v>
      </c>
      <c r="F347" s="546">
        <f ca="1">ROUND($B334*$E347,2)</f>
        <v>0</v>
      </c>
      <c r="G347" s="684"/>
      <c r="H347" s="684"/>
      <c r="I347" s="686"/>
      <c r="J347" s="684"/>
      <c r="K347" s="835" t="s">
        <v>143</v>
      </c>
      <c r="L347" s="687" t="s">
        <v>143</v>
      </c>
      <c r="M347" s="687"/>
      <c r="N347" s="687"/>
      <c r="O347" s="687"/>
      <c r="P347" s="687"/>
      <c r="Q347" s="835"/>
      <c r="R347" s="836">
        <f ca="1">SUM(R335:R346)</f>
        <v>0</v>
      </c>
      <c r="S347" s="837"/>
      <c r="T347" s="836">
        <f ca="1">SUM(T335:T346)</f>
        <v>0</v>
      </c>
      <c r="U347" s="611"/>
      <c r="V347" s="611"/>
      <c r="W347" s="611"/>
      <c r="X347" s="611"/>
      <c r="Y347" s="611"/>
      <c r="Z347" s="611"/>
      <c r="AA347" s="611"/>
      <c r="AB347" s="611"/>
      <c r="AC347" s="602"/>
      <c r="AD347" s="602"/>
      <c r="AE347" s="602"/>
      <c r="AF347" s="602"/>
      <c r="AG347" s="602"/>
      <c r="AH347" s="602"/>
      <c r="AI347" s="602"/>
      <c r="AJ347" s="602"/>
      <c r="AK347" s="602"/>
      <c r="AL347" s="602"/>
      <c r="AM347" s="602"/>
      <c r="AN347" s="602"/>
      <c r="AO347" s="602"/>
      <c r="AP347" s="602"/>
      <c r="AQ347" s="602"/>
      <c r="AR347" s="602"/>
      <c r="AS347" s="602"/>
      <c r="AT347" s="602"/>
      <c r="AU347" s="602"/>
      <c r="AV347" s="602"/>
      <c r="AW347" s="602"/>
      <c r="AX347" s="602"/>
      <c r="AY347" s="602"/>
      <c r="AZ347" s="602"/>
      <c r="BA347" s="602"/>
      <c r="BB347" s="602"/>
      <c r="BC347" s="602"/>
      <c r="BD347" s="602"/>
      <c r="BE347" s="602"/>
      <c r="BF347" s="602"/>
      <c r="BG347" s="602"/>
      <c r="BH347" s="602"/>
      <c r="BI347" s="602"/>
      <c r="BJ347" s="602"/>
      <c r="BK347" s="602"/>
      <c r="BL347" s="602"/>
      <c r="BM347" s="602"/>
      <c r="BN347" s="602"/>
      <c r="BO347" s="602"/>
      <c r="BP347" s="602"/>
      <c r="BQ347" s="602"/>
      <c r="BR347" s="602"/>
      <c r="BS347" s="602"/>
      <c r="BT347" s="602"/>
      <c r="BU347" s="602"/>
      <c r="BV347" s="602"/>
      <c r="BW347" s="602"/>
      <c r="BX347" s="602"/>
      <c r="BY347" s="602"/>
      <c r="BZ347" s="602"/>
      <c r="CA347" s="602"/>
      <c r="CB347" s="602"/>
      <c r="CC347" s="602"/>
      <c r="CD347" s="602"/>
      <c r="CE347" s="602"/>
      <c r="CF347" s="602"/>
      <c r="CG347" s="602"/>
      <c r="CH347" s="602"/>
      <c r="CI347" s="602"/>
      <c r="CJ347" s="602"/>
      <c r="CK347" s="602"/>
      <c r="CL347" s="602"/>
      <c r="CM347" s="602"/>
      <c r="CN347" s="602"/>
      <c r="CO347" s="602"/>
      <c r="CP347" s="602"/>
      <c r="CQ347" s="602"/>
      <c r="CR347" s="602"/>
      <c r="CS347" s="602"/>
      <c r="CT347" s="602"/>
      <c r="CU347" s="602"/>
      <c r="CV347" s="602"/>
      <c r="CW347" s="602"/>
      <c r="CX347" s="602"/>
      <c r="CY347" s="602"/>
      <c r="CZ347" s="602"/>
      <c r="DA347" s="602"/>
      <c r="DB347" s="602"/>
      <c r="DC347" s="602"/>
      <c r="DD347" s="602"/>
      <c r="DE347" s="602"/>
      <c r="DF347" s="602"/>
      <c r="DG347" s="602"/>
      <c r="DH347" s="602"/>
      <c r="DI347" s="602"/>
      <c r="DJ347" s="602"/>
      <c r="DK347" s="602"/>
      <c r="DL347" s="602"/>
      <c r="DM347" s="602"/>
      <c r="DN347" s="602"/>
      <c r="DO347" s="602"/>
      <c r="DP347" s="602"/>
      <c r="DQ347" s="602"/>
      <c r="DR347" s="602"/>
      <c r="DS347" s="602"/>
      <c r="DT347" s="602"/>
      <c r="DU347" s="602"/>
      <c r="DV347" s="602"/>
      <c r="DW347" s="602"/>
      <c r="DX347" s="602"/>
      <c r="DY347" s="602"/>
      <c r="DZ347" s="602"/>
      <c r="EA347" s="602"/>
      <c r="EB347" s="602"/>
      <c r="EC347" s="602"/>
      <c r="ED347" s="602"/>
      <c r="EE347" s="602"/>
      <c r="EF347" s="602"/>
      <c r="EG347" s="602"/>
      <c r="EH347" s="602"/>
      <c r="EI347" s="602"/>
      <c r="EJ347" s="602"/>
      <c r="EK347" s="602"/>
      <c r="EL347" s="602"/>
      <c r="EM347" s="602"/>
      <c r="EN347" s="602"/>
      <c r="EO347" s="602"/>
      <c r="EP347" s="602"/>
      <c r="EQ347" s="602"/>
      <c r="ER347" s="602"/>
      <c r="ES347" s="602"/>
      <c r="ET347" s="602"/>
      <c r="EU347" s="602"/>
      <c r="EV347" s="602"/>
      <c r="EW347" s="602"/>
      <c r="EX347" s="602"/>
      <c r="EY347" s="602"/>
      <c r="EZ347" s="602"/>
      <c r="FA347" s="602"/>
      <c r="FB347" s="602"/>
      <c r="FC347" s="602"/>
      <c r="FD347" s="602"/>
      <c r="FE347" s="602"/>
      <c r="FF347" s="602"/>
      <c r="FG347" s="602"/>
      <c r="FH347" s="602"/>
      <c r="FI347" s="602"/>
      <c r="FJ347" s="602"/>
      <c r="FK347" s="602"/>
      <c r="FL347" s="602"/>
      <c r="FM347" s="602"/>
      <c r="FN347" s="602"/>
      <c r="FO347" s="602"/>
      <c r="FP347" s="602"/>
      <c r="FQ347" s="602"/>
      <c r="FR347" s="602"/>
      <c r="FS347" s="602"/>
      <c r="FT347" s="602"/>
      <c r="FU347" s="602"/>
      <c r="FV347" s="602"/>
      <c r="FW347" s="602"/>
      <c r="FX347" s="602"/>
      <c r="FY347" s="602"/>
      <c r="FZ347" s="602"/>
      <c r="GA347" s="602"/>
      <c r="GB347" s="602"/>
      <c r="GC347" s="602"/>
      <c r="GD347" s="602"/>
      <c r="GE347" s="602"/>
      <c r="GF347" s="602"/>
      <c r="GG347" s="602"/>
      <c r="GH347" s="602"/>
      <c r="GI347" s="602"/>
      <c r="GJ347" s="602"/>
      <c r="GK347" s="602"/>
      <c r="GL347" s="602"/>
      <c r="GM347" s="602"/>
      <c r="GN347" s="602"/>
      <c r="GO347" s="602"/>
      <c r="GP347" s="602"/>
      <c r="GQ347" s="602"/>
      <c r="GR347" s="602"/>
      <c r="GS347" s="602"/>
      <c r="GT347" s="602"/>
      <c r="GU347" s="602"/>
      <c r="GV347" s="602"/>
      <c r="GW347" s="602"/>
      <c r="GX347" s="602"/>
      <c r="GY347" s="602"/>
      <c r="GZ347" s="602"/>
      <c r="HA347" s="602"/>
      <c r="HB347" s="602"/>
      <c r="HC347" s="602"/>
      <c r="HD347" s="602"/>
      <c r="HE347" s="602"/>
      <c r="HF347" s="602"/>
      <c r="HG347" s="602"/>
      <c r="HH347" s="602"/>
      <c r="HI347" s="602"/>
      <c r="HJ347" s="602"/>
      <c r="HK347" s="602"/>
      <c r="HL347" s="602"/>
      <c r="HM347" s="602"/>
      <c r="HN347" s="602"/>
      <c r="HO347" s="602"/>
      <c r="HP347" s="602"/>
      <c r="HQ347" s="602"/>
      <c r="HR347" s="602"/>
      <c r="HS347" s="602"/>
      <c r="HT347" s="602"/>
      <c r="HU347" s="602"/>
      <c r="HV347" s="602"/>
      <c r="HW347" s="602"/>
      <c r="HX347" s="602"/>
      <c r="HY347" s="602"/>
      <c r="HZ347" s="602"/>
      <c r="IA347" s="602"/>
      <c r="IB347" s="602"/>
      <c r="IC347" s="602"/>
      <c r="ID347" s="602"/>
      <c r="IE347" s="602"/>
      <c r="IF347" s="602"/>
      <c r="IG347" s="602"/>
      <c r="IH347" s="602"/>
      <c r="II347" s="602"/>
      <c r="IJ347" s="602"/>
      <c r="IK347" s="602"/>
      <c r="IL347" s="602"/>
      <c r="IM347" s="602"/>
      <c r="IN347" s="602"/>
      <c r="IO347" s="602"/>
      <c r="IP347" s="602"/>
      <c r="IQ347" s="602"/>
      <c r="IR347" s="602"/>
      <c r="IS347" s="602"/>
      <c r="IT347" s="602"/>
      <c r="IU347" s="602"/>
      <c r="IV347" s="602"/>
    </row>
    <row r="348" spans="1:256" ht="13.8" thickTop="1">
      <c r="A348" s="51" t="s">
        <v>157</v>
      </c>
      <c r="B348"/>
      <c r="C348"/>
      <c r="D348"/>
      <c r="E348"/>
      <c r="F348"/>
      <c r="G348"/>
      <c r="H348"/>
      <c r="I348"/>
      <c r="J348"/>
      <c r="K348"/>
      <c r="L348"/>
      <c r="M348"/>
      <c r="N348"/>
      <c r="O348" s="167"/>
      <c r="P348"/>
      <c r="Q348"/>
      <c r="R348"/>
      <c r="S348"/>
      <c r="T348"/>
    </row>
    <row r="349" spans="1:256" ht="14.4" thickBot="1">
      <c r="A349" s="51" t="s">
        <v>157</v>
      </c>
      <c r="B349" s="1"/>
      <c r="C349" s="33"/>
      <c r="D349" s="168" t="s">
        <v>185</v>
      </c>
      <c r="E349" s="1"/>
      <c r="F349" s="3"/>
      <c r="G349" s="3"/>
      <c r="H349" s="3"/>
      <c r="I349" s="3"/>
      <c r="J349" s="3"/>
      <c r="K349" s="3"/>
      <c r="L349" s="3"/>
      <c r="M349" s="3"/>
      <c r="N349" s="3"/>
      <c r="O349" s="158"/>
      <c r="P349" s="3"/>
      <c r="Q349" s="3"/>
      <c r="R349" s="169" t="s">
        <v>34</v>
      </c>
      <c r="S349" s="170"/>
      <c r="T349" s="169" t="s">
        <v>35</v>
      </c>
    </row>
    <row r="350" spans="1:256" ht="13.8" thickTop="1">
      <c r="A350" s="51" t="s">
        <v>157</v>
      </c>
      <c r="B350" s="3"/>
      <c r="C350" s="33"/>
      <c r="D350" s="1"/>
      <c r="E350" s="1"/>
      <c r="F350" s="33"/>
      <c r="G350" s="1"/>
      <c r="H350" s="1"/>
      <c r="I350" s="1"/>
      <c r="J350" s="1"/>
      <c r="K350" s="3"/>
      <c r="L350" s="1"/>
      <c r="M350" s="1"/>
      <c r="N350" s="1"/>
      <c r="O350" s="171"/>
      <c r="P350" s="1"/>
      <c r="Q350" s="1"/>
      <c r="R350" s="1"/>
      <c r="S350" s="1"/>
      <c r="T350" s="1"/>
    </row>
    <row r="351" spans="1:256" ht="13.8" thickBot="1">
      <c r="A351" s="51" t="s">
        <v>157</v>
      </c>
      <c r="B351" s="3"/>
      <c r="C351" s="33"/>
      <c r="D351" s="89" t="s">
        <v>186</v>
      </c>
      <c r="E351" s="1"/>
      <c r="F351" s="1"/>
      <c r="G351" s="33"/>
      <c r="H351" s="33"/>
      <c r="I351" s="33"/>
      <c r="J351" s="33"/>
      <c r="K351" s="3"/>
      <c r="L351" s="172" t="s">
        <v>187</v>
      </c>
      <c r="M351" s="172"/>
      <c r="N351" s="172"/>
      <c r="O351" s="173"/>
      <c r="P351" s="172"/>
      <c r="Q351" s="33"/>
      <c r="R351" s="174">
        <f ca="1">SUMIF($L$12:$L349,"",R$12:R349)</f>
        <v>31976.088898079452</v>
      </c>
      <c r="S351" s="175"/>
      <c r="T351" s="174">
        <f ca="1">SUMIF($L$12:$L349,"",T$12:T349)</f>
        <v>2281.2529999999997</v>
      </c>
    </row>
    <row r="352" spans="1:256" ht="13.8" thickBot="1">
      <c r="A352" s="51" t="s">
        <v>157</v>
      </c>
      <c r="B352" s="3"/>
      <c r="C352" s="33"/>
      <c r="D352" s="89" t="s">
        <v>188</v>
      </c>
      <c r="E352" s="1"/>
      <c r="F352" s="3"/>
      <c r="G352" s="3"/>
      <c r="H352" s="3"/>
      <c r="I352" s="3"/>
      <c r="J352" s="3"/>
      <c r="K352" s="3"/>
      <c r="L352" s="172" t="s">
        <v>189</v>
      </c>
      <c r="M352" s="172"/>
      <c r="N352" s="172"/>
      <c r="O352" s="173"/>
      <c r="P352" s="172"/>
      <c r="Q352" s="3"/>
      <c r="R352" s="176">
        <f ca="1">SUMIF($L$12:$L349,"ITEM",R$12:R349)</f>
        <v>31976.088898079455</v>
      </c>
      <c r="S352" s="177"/>
      <c r="T352" s="176">
        <f ca="1">SUMIF($L$12:$L349,"ITEM",T$12:T349)</f>
        <v>2281.2530000000002</v>
      </c>
    </row>
    <row r="353" spans="1:28" ht="13.8" thickBot="1">
      <c r="A353" s="103" t="s">
        <v>147</v>
      </c>
      <c r="B353" s="9"/>
      <c r="C353" s="57"/>
      <c r="D353" s="9"/>
      <c r="E353" s="9"/>
      <c r="F353" s="9"/>
      <c r="G353" s="9"/>
      <c r="H353" s="9"/>
      <c r="I353" s="9"/>
      <c r="J353" s="9"/>
      <c r="K353" s="9"/>
      <c r="L353" s="9"/>
      <c r="M353" s="9"/>
      <c r="N353" s="9"/>
      <c r="O353" s="178"/>
      <c r="P353" s="9"/>
      <c r="Q353" s="9"/>
      <c r="R353" s="9"/>
      <c r="S353" s="9"/>
      <c r="T353" s="9"/>
      <c r="U353" s="123"/>
      <c r="V353" s="123"/>
      <c r="W353" s="123"/>
      <c r="X353" s="123"/>
      <c r="Y353" s="123"/>
      <c r="Z353" s="123"/>
      <c r="AA353" s="123"/>
      <c r="AB353" s="123"/>
    </row>
    <row r="354" spans="1:28" ht="13.8" thickTop="1">
      <c r="A354" s="105"/>
      <c r="B354" s="527" t="s">
        <v>71</v>
      </c>
      <c r="C354" s="6"/>
      <c r="D354" s="106"/>
      <c r="E354" s="107" t="s">
        <v>158</v>
      </c>
      <c r="F354" s="108"/>
      <c r="G354" s="108"/>
      <c r="H354" s="108"/>
      <c r="I354" s="108"/>
      <c r="J354" s="108"/>
      <c r="K354" s="108"/>
      <c r="L354" s="108"/>
      <c r="M354" s="108"/>
      <c r="N354" s="108"/>
      <c r="O354" s="109"/>
      <c r="P354" s="108"/>
      <c r="Q354" s="110"/>
      <c r="R354" s="111">
        <f ca="1">SUM(R355:R410)</f>
        <v>31976.088898079455</v>
      </c>
      <c r="S354" s="112"/>
      <c r="T354" s="111">
        <f ca="1">SUM(T355:T410)</f>
        <v>2281.2530000000002</v>
      </c>
    </row>
    <row r="355" spans="1:28">
      <c r="A355" s="113"/>
      <c r="B355" s="548">
        <v>1</v>
      </c>
      <c r="C355" s="6" t="s">
        <v>73</v>
      </c>
      <c r="D355" s="36" t="s">
        <v>74</v>
      </c>
      <c r="F355" s="114">
        <v>501</v>
      </c>
      <c r="O355" s="115"/>
      <c r="P355" s="36">
        <v>1</v>
      </c>
      <c r="R355" s="116">
        <f t="shared" ref="R355:R386" ca="1" si="50">SUMIF($H$12:$H$348,$F355,R$12:R$348)</f>
        <v>404.32379562043792</v>
      </c>
      <c r="S355" s="117"/>
      <c r="T355" s="116">
        <f t="shared" ref="T355:T386" ca="1" si="51">SUMIF($H$12:$H$348,$F355,T$12:T$348)</f>
        <v>25</v>
      </c>
    </row>
    <row r="356" spans="1:28">
      <c r="A356" s="113"/>
      <c r="B356" s="548">
        <v>2</v>
      </c>
      <c r="C356" s="6" t="s">
        <v>73</v>
      </c>
      <c r="D356" s="36" t="s">
        <v>75</v>
      </c>
      <c r="F356" s="114">
        <v>505</v>
      </c>
      <c r="O356" s="115"/>
      <c r="P356" s="36">
        <v>1</v>
      </c>
      <c r="R356" s="116">
        <f t="shared" si="50"/>
        <v>0</v>
      </c>
      <c r="S356" s="117"/>
      <c r="T356" s="116">
        <f t="shared" si="51"/>
        <v>0</v>
      </c>
    </row>
    <row r="357" spans="1:28">
      <c r="A357" s="113"/>
      <c r="B357" s="548">
        <v>3</v>
      </c>
      <c r="C357" s="6" t="s">
        <v>73</v>
      </c>
      <c r="D357" s="36" t="s">
        <v>76</v>
      </c>
      <c r="F357" s="114">
        <v>510</v>
      </c>
      <c r="O357" s="115"/>
      <c r="P357" s="36">
        <v>2</v>
      </c>
      <c r="R357" s="116">
        <f t="shared" si="50"/>
        <v>0</v>
      </c>
      <c r="S357" s="117"/>
      <c r="T357" s="116">
        <f t="shared" si="51"/>
        <v>0</v>
      </c>
    </row>
    <row r="358" spans="1:28">
      <c r="A358" s="113"/>
      <c r="B358" s="548">
        <v>4</v>
      </c>
      <c r="C358" s="6" t="s">
        <v>73</v>
      </c>
      <c r="D358" s="36" t="s">
        <v>77</v>
      </c>
      <c r="F358" s="114">
        <v>511</v>
      </c>
      <c r="O358" s="115"/>
      <c r="P358" s="36">
        <v>2</v>
      </c>
      <c r="R358" s="116">
        <f t="shared" si="50"/>
        <v>0</v>
      </c>
      <c r="S358" s="117"/>
      <c r="T358" s="116">
        <f t="shared" si="51"/>
        <v>0</v>
      </c>
    </row>
    <row r="359" spans="1:28">
      <c r="A359" s="113"/>
      <c r="B359" s="548">
        <v>5</v>
      </c>
      <c r="C359" s="6" t="s">
        <v>73</v>
      </c>
      <c r="D359" s="36" t="s">
        <v>78</v>
      </c>
      <c r="F359" s="114">
        <v>512</v>
      </c>
      <c r="O359" s="115"/>
      <c r="P359" s="36">
        <v>2</v>
      </c>
      <c r="R359" s="116">
        <f t="shared" si="50"/>
        <v>0</v>
      </c>
      <c r="S359" s="117"/>
      <c r="T359" s="116">
        <f t="shared" si="51"/>
        <v>0</v>
      </c>
    </row>
    <row r="360" spans="1:28">
      <c r="A360" s="113"/>
      <c r="B360" s="548">
        <v>6</v>
      </c>
      <c r="C360" s="6" t="s">
        <v>73</v>
      </c>
      <c r="D360" s="36" t="s">
        <v>79</v>
      </c>
      <c r="F360" s="114">
        <v>520</v>
      </c>
      <c r="O360" s="115"/>
      <c r="P360" s="36">
        <v>1</v>
      </c>
      <c r="R360" s="116">
        <f t="shared" si="50"/>
        <v>0</v>
      </c>
      <c r="S360" s="117"/>
      <c r="T360" s="116">
        <f t="shared" si="51"/>
        <v>0</v>
      </c>
    </row>
    <row r="361" spans="1:28">
      <c r="A361" s="113"/>
      <c r="B361" s="548">
        <v>7</v>
      </c>
      <c r="C361" s="6" t="s">
        <v>73</v>
      </c>
      <c r="D361" s="36" t="s">
        <v>80</v>
      </c>
      <c r="F361" s="114">
        <v>530</v>
      </c>
      <c r="O361" s="115"/>
      <c r="P361" s="36">
        <v>2</v>
      </c>
      <c r="R361" s="116">
        <f t="shared" si="50"/>
        <v>0</v>
      </c>
      <c r="S361" s="117"/>
      <c r="T361" s="116">
        <f t="shared" si="51"/>
        <v>0</v>
      </c>
    </row>
    <row r="362" spans="1:28">
      <c r="A362" s="113"/>
      <c r="B362" s="548">
        <v>8</v>
      </c>
      <c r="C362" s="6" t="s">
        <v>73</v>
      </c>
      <c r="D362" s="36" t="s">
        <v>81</v>
      </c>
      <c r="F362" s="114">
        <v>550</v>
      </c>
      <c r="O362" s="115"/>
      <c r="P362" s="36">
        <v>2</v>
      </c>
      <c r="R362" s="116">
        <f t="shared" si="50"/>
        <v>0</v>
      </c>
      <c r="S362" s="117"/>
      <c r="T362" s="116">
        <f t="shared" si="51"/>
        <v>0</v>
      </c>
    </row>
    <row r="363" spans="1:28">
      <c r="A363" s="113"/>
      <c r="B363" s="548">
        <v>9</v>
      </c>
      <c r="C363" s="6" t="s">
        <v>73</v>
      </c>
      <c r="D363" s="36" t="s">
        <v>82</v>
      </c>
      <c r="F363" s="114">
        <v>570</v>
      </c>
      <c r="O363" s="115"/>
      <c r="P363" s="36">
        <v>2</v>
      </c>
      <c r="R363" s="116">
        <f t="shared" si="50"/>
        <v>0</v>
      </c>
      <c r="S363" s="117"/>
      <c r="T363" s="116">
        <f t="shared" si="51"/>
        <v>0</v>
      </c>
    </row>
    <row r="364" spans="1:28">
      <c r="A364" s="113"/>
      <c r="B364" s="548">
        <v>10</v>
      </c>
      <c r="C364" s="6" t="s">
        <v>73</v>
      </c>
      <c r="D364" s="36" t="s">
        <v>83</v>
      </c>
      <c r="F364" s="114">
        <v>615</v>
      </c>
      <c r="O364" s="115"/>
      <c r="P364" s="36">
        <v>2</v>
      </c>
      <c r="R364" s="116">
        <f t="shared" ca="1" si="50"/>
        <v>0</v>
      </c>
      <c r="S364" s="117"/>
      <c r="T364" s="116">
        <f t="shared" ca="1" si="51"/>
        <v>0</v>
      </c>
    </row>
    <row r="365" spans="1:28">
      <c r="A365" s="113"/>
      <c r="B365" s="548">
        <v>11</v>
      </c>
      <c r="C365" s="6" t="s">
        <v>73</v>
      </c>
      <c r="D365" s="36" t="s">
        <v>85</v>
      </c>
      <c r="F365" s="114">
        <v>616</v>
      </c>
      <c r="O365" s="115"/>
      <c r="P365" s="36">
        <v>2</v>
      </c>
      <c r="R365" s="116">
        <f t="shared" ca="1" si="50"/>
        <v>0</v>
      </c>
      <c r="S365" s="117"/>
      <c r="T365" s="116">
        <f t="shared" ca="1" si="51"/>
        <v>0</v>
      </c>
    </row>
    <row r="366" spans="1:28">
      <c r="A366" s="113"/>
      <c r="B366" s="548">
        <v>12</v>
      </c>
      <c r="C366" s="6" t="s">
        <v>73</v>
      </c>
      <c r="D366" s="36" t="s">
        <v>86</v>
      </c>
      <c r="F366" s="114">
        <v>617</v>
      </c>
      <c r="O366" s="115"/>
      <c r="P366" s="36">
        <v>2</v>
      </c>
      <c r="R366" s="116">
        <f t="shared" ca="1" si="50"/>
        <v>9996.6188524590161</v>
      </c>
      <c r="S366" s="117"/>
      <c r="T366" s="116">
        <f t="shared" ca="1" si="51"/>
        <v>677.6</v>
      </c>
    </row>
    <row r="367" spans="1:28">
      <c r="A367" s="113"/>
      <c r="B367" s="548">
        <v>13</v>
      </c>
      <c r="C367" s="6" t="s">
        <v>73</v>
      </c>
      <c r="D367" s="36" t="s">
        <v>159</v>
      </c>
      <c r="F367" s="114">
        <v>620</v>
      </c>
      <c r="O367" s="115"/>
      <c r="P367" s="36">
        <v>2</v>
      </c>
      <c r="R367" s="116">
        <f t="shared" ca="1" si="50"/>
        <v>1699.9000000000003</v>
      </c>
      <c r="S367" s="117"/>
      <c r="T367" s="116">
        <f t="shared" ca="1" si="51"/>
        <v>164.86799999999999</v>
      </c>
    </row>
    <row r="368" spans="1:28">
      <c r="A368" s="113"/>
      <c r="B368" s="548">
        <v>14</v>
      </c>
      <c r="C368" s="6" t="s">
        <v>73</v>
      </c>
      <c r="D368" s="36" t="s">
        <v>88</v>
      </c>
      <c r="F368" s="114">
        <v>650</v>
      </c>
      <c r="O368" s="115"/>
      <c r="P368" s="36">
        <v>1</v>
      </c>
      <c r="R368" s="116">
        <f t="shared" ca="1" si="50"/>
        <v>339.10624999999999</v>
      </c>
      <c r="S368" s="117"/>
      <c r="T368" s="116">
        <f t="shared" ca="1" si="51"/>
        <v>17.5</v>
      </c>
    </row>
    <row r="369" spans="1:20">
      <c r="A369" s="113"/>
      <c r="B369" s="548">
        <v>15</v>
      </c>
      <c r="C369" s="6" t="s">
        <v>73</v>
      </c>
      <c r="D369" s="36" t="s">
        <v>89</v>
      </c>
      <c r="F369" s="114">
        <v>651</v>
      </c>
      <c r="O369" s="115"/>
      <c r="P369" s="36">
        <v>1</v>
      </c>
      <c r="R369" s="116">
        <f t="shared" si="50"/>
        <v>0</v>
      </c>
      <c r="S369" s="117"/>
      <c r="T369" s="116">
        <f t="shared" si="51"/>
        <v>0</v>
      </c>
    </row>
    <row r="370" spans="1:20">
      <c r="A370" s="113"/>
      <c r="B370" s="548">
        <v>16</v>
      </c>
      <c r="C370" s="6" t="s">
        <v>73</v>
      </c>
      <c r="D370" s="36" t="s">
        <v>90</v>
      </c>
      <c r="F370" s="114">
        <v>652</v>
      </c>
      <c r="O370" s="115"/>
      <c r="P370" s="36">
        <v>1</v>
      </c>
      <c r="R370" s="116">
        <f t="shared" si="50"/>
        <v>0</v>
      </c>
      <c r="S370" s="117"/>
      <c r="T370" s="116">
        <f t="shared" si="51"/>
        <v>0</v>
      </c>
    </row>
    <row r="371" spans="1:20">
      <c r="A371" s="113"/>
      <c r="B371" s="548">
        <v>17</v>
      </c>
      <c r="C371" s="6" t="s">
        <v>73</v>
      </c>
      <c r="D371" s="36" t="s">
        <v>91</v>
      </c>
      <c r="F371" s="114">
        <v>654</v>
      </c>
      <c r="O371" s="115"/>
      <c r="P371" s="36">
        <v>1</v>
      </c>
      <c r="R371" s="116">
        <f t="shared" si="50"/>
        <v>0</v>
      </c>
      <c r="S371" s="117"/>
      <c r="T371" s="116">
        <f t="shared" si="51"/>
        <v>0</v>
      </c>
    </row>
    <row r="372" spans="1:20">
      <c r="A372" s="113"/>
      <c r="B372" s="548">
        <v>18</v>
      </c>
      <c r="C372" s="6" t="s">
        <v>73</v>
      </c>
      <c r="D372" s="36" t="s">
        <v>92</v>
      </c>
      <c r="F372" s="114">
        <v>675</v>
      </c>
      <c r="O372" s="115"/>
      <c r="P372" s="36">
        <v>1</v>
      </c>
      <c r="R372" s="116">
        <f t="shared" si="50"/>
        <v>0</v>
      </c>
      <c r="S372" s="117"/>
      <c r="T372" s="116">
        <f t="shared" si="51"/>
        <v>0</v>
      </c>
    </row>
    <row r="373" spans="1:20">
      <c r="A373" s="113"/>
      <c r="B373" s="548">
        <v>19</v>
      </c>
      <c r="C373" s="6" t="s">
        <v>73</v>
      </c>
      <c r="D373" s="36" t="s">
        <v>93</v>
      </c>
      <c r="F373" s="114">
        <v>676</v>
      </c>
      <c r="O373" s="115"/>
      <c r="P373" s="36">
        <v>1</v>
      </c>
      <c r="R373" s="116">
        <f t="shared" si="50"/>
        <v>0</v>
      </c>
      <c r="S373" s="117"/>
      <c r="T373" s="116">
        <f t="shared" si="51"/>
        <v>0</v>
      </c>
    </row>
    <row r="374" spans="1:20">
      <c r="A374" s="113"/>
      <c r="B374" s="548">
        <v>20</v>
      </c>
      <c r="C374" s="6" t="s">
        <v>73</v>
      </c>
      <c r="D374" s="36" t="s">
        <v>94</v>
      </c>
      <c r="F374" s="114">
        <v>680</v>
      </c>
      <c r="O374" s="115"/>
      <c r="P374" s="36">
        <v>1</v>
      </c>
      <c r="R374" s="116">
        <f t="shared" si="50"/>
        <v>0</v>
      </c>
      <c r="S374" s="117"/>
      <c r="T374" s="116">
        <f t="shared" si="51"/>
        <v>0</v>
      </c>
    </row>
    <row r="375" spans="1:20">
      <c r="A375" s="113"/>
      <c r="B375" s="548">
        <v>21</v>
      </c>
      <c r="C375" s="6" t="s">
        <v>73</v>
      </c>
      <c r="D375" s="36" t="s">
        <v>96</v>
      </c>
      <c r="F375" s="114">
        <v>681</v>
      </c>
      <c r="O375" s="115"/>
      <c r="P375" s="36">
        <v>1</v>
      </c>
      <c r="R375" s="116">
        <f t="shared" si="50"/>
        <v>0</v>
      </c>
      <c r="S375" s="117"/>
      <c r="T375" s="116">
        <f t="shared" si="51"/>
        <v>0</v>
      </c>
    </row>
    <row r="376" spans="1:20">
      <c r="A376" s="113"/>
      <c r="B376" s="548">
        <v>22</v>
      </c>
      <c r="C376" s="6" t="s">
        <v>73</v>
      </c>
      <c r="D376" s="36" t="s">
        <v>97</v>
      </c>
      <c r="F376" s="114">
        <v>690</v>
      </c>
      <c r="O376" s="115"/>
      <c r="P376" s="36">
        <v>1</v>
      </c>
      <c r="R376" s="116">
        <f t="shared" ca="1" si="50"/>
        <v>19104.240000000002</v>
      </c>
      <c r="S376" s="117"/>
      <c r="T376" s="116">
        <f t="shared" ca="1" si="51"/>
        <v>1159.73</v>
      </c>
    </row>
    <row r="377" spans="1:20">
      <c r="A377" s="113"/>
      <c r="B377" s="548">
        <v>23</v>
      </c>
      <c r="C377" s="6" t="s">
        <v>73</v>
      </c>
      <c r="D377" s="36" t="s">
        <v>98</v>
      </c>
      <c r="F377" s="114">
        <v>700</v>
      </c>
      <c r="O377" s="115"/>
      <c r="P377" s="36">
        <v>1</v>
      </c>
      <c r="R377" s="116">
        <f t="shared" si="50"/>
        <v>0</v>
      </c>
      <c r="S377" s="117"/>
      <c r="T377" s="116">
        <f t="shared" si="51"/>
        <v>0</v>
      </c>
    </row>
    <row r="378" spans="1:20">
      <c r="A378" s="113"/>
      <c r="B378" s="548">
        <v>24</v>
      </c>
      <c r="C378" s="6" t="s">
        <v>73</v>
      </c>
      <c r="D378" s="36" t="s">
        <v>99</v>
      </c>
      <c r="F378" s="114">
        <v>705</v>
      </c>
      <c r="O378" s="115"/>
      <c r="P378" s="36">
        <v>3</v>
      </c>
      <c r="R378" s="116">
        <f t="shared" ca="1" si="50"/>
        <v>50</v>
      </c>
      <c r="S378" s="117"/>
      <c r="T378" s="116">
        <f t="shared" ca="1" si="51"/>
        <v>1.375</v>
      </c>
    </row>
    <row r="379" spans="1:20">
      <c r="A379" s="113"/>
      <c r="B379" s="548">
        <v>25</v>
      </c>
      <c r="C379" s="6" t="s">
        <v>73</v>
      </c>
      <c r="D379" s="36" t="s">
        <v>100</v>
      </c>
      <c r="F379" s="114">
        <v>706</v>
      </c>
      <c r="O379" s="115"/>
      <c r="P379" s="36">
        <v>3</v>
      </c>
      <c r="R379" s="116">
        <f t="shared" si="50"/>
        <v>0</v>
      </c>
      <c r="S379" s="117"/>
      <c r="T379" s="116">
        <f t="shared" si="51"/>
        <v>0</v>
      </c>
    </row>
    <row r="380" spans="1:20">
      <c r="A380" s="113"/>
      <c r="B380" s="548">
        <v>26</v>
      </c>
      <c r="C380" s="6" t="s">
        <v>73</v>
      </c>
      <c r="D380" s="36" t="s">
        <v>101</v>
      </c>
      <c r="F380" s="114">
        <v>725</v>
      </c>
      <c r="O380" s="115"/>
      <c r="P380" s="36">
        <v>3</v>
      </c>
      <c r="R380" s="116">
        <f t="shared" si="50"/>
        <v>0</v>
      </c>
      <c r="S380" s="117"/>
      <c r="T380" s="116">
        <f t="shared" si="51"/>
        <v>0</v>
      </c>
    </row>
    <row r="381" spans="1:20">
      <c r="A381" s="113"/>
      <c r="B381" s="548">
        <v>27</v>
      </c>
      <c r="C381" s="6" t="s">
        <v>73</v>
      </c>
      <c r="D381" s="36" t="s">
        <v>102</v>
      </c>
      <c r="F381" s="114">
        <v>726</v>
      </c>
      <c r="O381" s="115"/>
      <c r="P381" s="36">
        <v>3</v>
      </c>
      <c r="R381" s="116">
        <f t="shared" si="50"/>
        <v>0</v>
      </c>
      <c r="S381" s="117"/>
      <c r="T381" s="116">
        <f t="shared" si="51"/>
        <v>0</v>
      </c>
    </row>
    <row r="382" spans="1:20">
      <c r="A382" s="113"/>
      <c r="B382" s="548">
        <v>28</v>
      </c>
      <c r="C382" s="6" t="s">
        <v>73</v>
      </c>
      <c r="D382" s="36" t="s">
        <v>103</v>
      </c>
      <c r="F382" s="114">
        <v>750</v>
      </c>
      <c r="O382" s="115"/>
      <c r="P382" s="36">
        <v>3</v>
      </c>
      <c r="R382" s="116">
        <f t="shared" si="50"/>
        <v>0</v>
      </c>
      <c r="S382" s="117"/>
      <c r="T382" s="116">
        <f t="shared" si="51"/>
        <v>0</v>
      </c>
    </row>
    <row r="383" spans="1:20">
      <c r="A383" s="113"/>
      <c r="B383" s="548">
        <v>29</v>
      </c>
      <c r="C383" s="6" t="s">
        <v>73</v>
      </c>
      <c r="D383" s="36" t="s">
        <v>104</v>
      </c>
      <c r="F383" s="114">
        <v>751</v>
      </c>
      <c r="O383" s="115"/>
      <c r="P383" s="36">
        <v>3</v>
      </c>
      <c r="R383" s="116">
        <f t="shared" si="50"/>
        <v>0</v>
      </c>
      <c r="S383" s="117"/>
      <c r="T383" s="116">
        <f t="shared" si="51"/>
        <v>0</v>
      </c>
    </row>
    <row r="384" spans="1:20">
      <c r="A384" s="113"/>
      <c r="B384" s="548">
        <v>30</v>
      </c>
      <c r="C384" s="6" t="s">
        <v>73</v>
      </c>
      <c r="D384" s="36" t="s">
        <v>105</v>
      </c>
      <c r="F384" s="114">
        <v>752</v>
      </c>
      <c r="O384" s="115"/>
      <c r="P384" s="36">
        <v>3</v>
      </c>
      <c r="R384" s="116">
        <f t="shared" si="50"/>
        <v>0</v>
      </c>
      <c r="S384" s="117"/>
      <c r="T384" s="116">
        <f t="shared" si="51"/>
        <v>0</v>
      </c>
    </row>
    <row r="385" spans="1:20">
      <c r="A385" s="113"/>
      <c r="B385" s="548">
        <v>31</v>
      </c>
      <c r="C385" s="6" t="s">
        <v>73</v>
      </c>
      <c r="D385" s="618" t="s">
        <v>294</v>
      </c>
      <c r="F385" s="114">
        <v>753</v>
      </c>
      <c r="O385" s="115"/>
      <c r="P385" s="36">
        <v>3</v>
      </c>
      <c r="R385" s="116">
        <f t="shared" si="50"/>
        <v>0</v>
      </c>
      <c r="S385" s="117"/>
      <c r="T385" s="116">
        <f t="shared" si="51"/>
        <v>0</v>
      </c>
    </row>
    <row r="386" spans="1:20">
      <c r="A386" s="113"/>
      <c r="B386" s="548">
        <v>32</v>
      </c>
      <c r="C386" s="6" t="s">
        <v>73</v>
      </c>
      <c r="D386" s="36" t="s">
        <v>107</v>
      </c>
      <c r="F386" s="114">
        <v>770</v>
      </c>
      <c r="O386" s="115"/>
      <c r="P386" s="36">
        <v>3</v>
      </c>
      <c r="R386" s="116">
        <f t="shared" si="50"/>
        <v>0</v>
      </c>
      <c r="S386" s="117"/>
      <c r="T386" s="116">
        <f t="shared" si="51"/>
        <v>0</v>
      </c>
    </row>
    <row r="387" spans="1:20">
      <c r="A387" s="113"/>
      <c r="B387" s="548">
        <v>33</v>
      </c>
      <c r="C387" s="6" t="s">
        <v>73</v>
      </c>
      <c r="D387" s="36" t="s">
        <v>108</v>
      </c>
      <c r="F387" s="114">
        <v>790</v>
      </c>
      <c r="O387" s="115"/>
      <c r="P387" s="36">
        <v>3</v>
      </c>
      <c r="R387" s="116">
        <f t="shared" ref="R387:R410" si="52">SUMIF($H$12:$H$348,$F387,R$12:R$348)</f>
        <v>0</v>
      </c>
      <c r="S387" s="117"/>
      <c r="T387" s="116">
        <f t="shared" ref="T387:T410" si="53">SUMIF($H$12:$H$348,$F387,T$12:T$348)</f>
        <v>0</v>
      </c>
    </row>
    <row r="388" spans="1:20">
      <c r="A388" s="113"/>
      <c r="B388" s="548">
        <v>34</v>
      </c>
      <c r="C388" s="6" t="s">
        <v>73</v>
      </c>
      <c r="D388" s="36" t="s">
        <v>109</v>
      </c>
      <c r="F388" s="114">
        <v>791</v>
      </c>
      <c r="O388" s="115"/>
      <c r="P388" s="36">
        <v>3</v>
      </c>
      <c r="R388" s="116">
        <f t="shared" si="52"/>
        <v>0</v>
      </c>
      <c r="S388" s="117"/>
      <c r="T388" s="116">
        <f t="shared" si="53"/>
        <v>0</v>
      </c>
    </row>
    <row r="389" spans="1:20">
      <c r="A389" s="113"/>
      <c r="B389" s="548">
        <v>35</v>
      </c>
      <c r="C389" s="6" t="s">
        <v>73</v>
      </c>
      <c r="D389" s="36" t="s">
        <v>110</v>
      </c>
      <c r="F389" s="114">
        <v>810</v>
      </c>
      <c r="O389" s="115"/>
      <c r="P389" s="36">
        <v>3</v>
      </c>
      <c r="R389" s="116">
        <f t="shared" si="52"/>
        <v>0</v>
      </c>
      <c r="S389" s="117"/>
      <c r="T389" s="116">
        <f t="shared" si="53"/>
        <v>0</v>
      </c>
    </row>
    <row r="390" spans="1:20">
      <c r="A390" s="113"/>
      <c r="B390" s="548">
        <v>36</v>
      </c>
      <c r="C390" s="6" t="s">
        <v>73</v>
      </c>
      <c r="D390" s="36" t="s">
        <v>111</v>
      </c>
      <c r="F390" s="114">
        <v>815</v>
      </c>
      <c r="O390" s="115"/>
      <c r="P390" s="36">
        <v>3</v>
      </c>
      <c r="R390" s="116">
        <f t="shared" si="52"/>
        <v>0</v>
      </c>
      <c r="S390" s="117"/>
      <c r="T390" s="116">
        <f t="shared" si="53"/>
        <v>0</v>
      </c>
    </row>
    <row r="391" spans="1:20">
      <c r="A391" s="113"/>
      <c r="B391" s="548">
        <v>37</v>
      </c>
      <c r="C391" s="6" t="s">
        <v>73</v>
      </c>
      <c r="D391" s="36" t="s">
        <v>112</v>
      </c>
      <c r="F391" s="114">
        <v>820</v>
      </c>
      <c r="O391" s="115"/>
      <c r="P391" s="36">
        <v>2</v>
      </c>
      <c r="R391" s="116">
        <f t="shared" si="52"/>
        <v>0</v>
      </c>
      <c r="S391" s="117"/>
      <c r="T391" s="116">
        <f t="shared" si="53"/>
        <v>0</v>
      </c>
    </row>
    <row r="392" spans="1:20">
      <c r="A392" s="113"/>
      <c r="B392" s="548">
        <v>38</v>
      </c>
      <c r="C392" s="6" t="s">
        <v>73</v>
      </c>
      <c r="D392" s="36" t="s">
        <v>113</v>
      </c>
      <c r="F392" s="114">
        <v>821</v>
      </c>
      <c r="O392" s="115"/>
      <c r="P392" s="36">
        <v>3</v>
      </c>
      <c r="R392" s="116">
        <f t="shared" ca="1" si="52"/>
        <v>25</v>
      </c>
      <c r="S392" s="117"/>
      <c r="T392" s="116">
        <f t="shared" ca="1" si="53"/>
        <v>4.1800000000000006</v>
      </c>
    </row>
    <row r="393" spans="1:20">
      <c r="A393" s="113"/>
      <c r="B393" s="548">
        <v>39</v>
      </c>
      <c r="C393" s="6" t="s">
        <v>73</v>
      </c>
      <c r="D393" s="36" t="s">
        <v>114</v>
      </c>
      <c r="F393" s="114">
        <v>835</v>
      </c>
      <c r="O393" s="115"/>
      <c r="P393" s="36">
        <v>3</v>
      </c>
      <c r="R393" s="116">
        <f t="shared" ca="1" si="52"/>
        <v>0</v>
      </c>
      <c r="S393" s="117"/>
      <c r="T393" s="116">
        <f t="shared" ca="1" si="53"/>
        <v>0</v>
      </c>
    </row>
    <row r="394" spans="1:20">
      <c r="A394" s="113"/>
      <c r="B394" s="548">
        <v>40</v>
      </c>
      <c r="C394" s="6" t="s">
        <v>73</v>
      </c>
      <c r="D394" s="36" t="s">
        <v>115</v>
      </c>
      <c r="F394" s="114">
        <v>845</v>
      </c>
      <c r="O394" s="115"/>
      <c r="P394" s="36">
        <v>2</v>
      </c>
      <c r="R394" s="116">
        <f t="shared" si="52"/>
        <v>0</v>
      </c>
      <c r="S394" s="117"/>
      <c r="T394" s="116">
        <f t="shared" si="53"/>
        <v>0</v>
      </c>
    </row>
    <row r="395" spans="1:20">
      <c r="A395" s="113"/>
      <c r="B395" s="548">
        <v>41</v>
      </c>
      <c r="C395" s="6" t="s">
        <v>73</v>
      </c>
      <c r="D395" s="36" t="s">
        <v>117</v>
      </c>
      <c r="F395" s="114">
        <v>855</v>
      </c>
      <c r="O395" s="115"/>
      <c r="P395" s="36">
        <v>3</v>
      </c>
      <c r="R395" s="116">
        <f t="shared" si="52"/>
        <v>0</v>
      </c>
      <c r="S395" s="117"/>
      <c r="T395" s="116">
        <f t="shared" si="53"/>
        <v>0</v>
      </c>
    </row>
    <row r="396" spans="1:20">
      <c r="A396" s="113"/>
      <c r="B396" s="548">
        <v>42</v>
      </c>
      <c r="C396" s="6" t="s">
        <v>73</v>
      </c>
      <c r="D396" s="36" t="s">
        <v>118</v>
      </c>
      <c r="F396" s="114">
        <v>856</v>
      </c>
      <c r="O396" s="115"/>
      <c r="P396" s="36">
        <v>3</v>
      </c>
      <c r="R396" s="116">
        <f t="shared" si="52"/>
        <v>0</v>
      </c>
      <c r="S396" s="117"/>
      <c r="T396" s="116">
        <f t="shared" si="53"/>
        <v>0</v>
      </c>
    </row>
    <row r="397" spans="1:20">
      <c r="A397" s="113"/>
      <c r="B397" s="548">
        <v>43</v>
      </c>
      <c r="C397" s="6" t="s">
        <v>73</v>
      </c>
      <c r="D397" s="36" t="s">
        <v>274</v>
      </c>
      <c r="F397" s="114">
        <v>857</v>
      </c>
      <c r="O397" s="115"/>
      <c r="P397" s="36">
        <v>3</v>
      </c>
      <c r="R397" s="116">
        <f t="shared" si="52"/>
        <v>0</v>
      </c>
      <c r="S397" s="117"/>
      <c r="T397" s="116">
        <f t="shared" si="53"/>
        <v>0</v>
      </c>
    </row>
    <row r="398" spans="1:20">
      <c r="A398" s="113"/>
      <c r="B398" s="548">
        <v>44</v>
      </c>
      <c r="C398" s="6" t="s">
        <v>73</v>
      </c>
      <c r="D398" s="36" t="s">
        <v>119</v>
      </c>
      <c r="F398" s="114">
        <v>858</v>
      </c>
      <c r="O398" s="115"/>
      <c r="P398" s="36">
        <v>3</v>
      </c>
      <c r="R398" s="116">
        <f t="shared" si="52"/>
        <v>0</v>
      </c>
      <c r="S398" s="117"/>
      <c r="T398" s="116">
        <f t="shared" si="53"/>
        <v>0</v>
      </c>
    </row>
    <row r="399" spans="1:20">
      <c r="A399" s="113"/>
      <c r="B399" s="548">
        <v>45</v>
      </c>
      <c r="C399" s="6" t="s">
        <v>73</v>
      </c>
      <c r="D399" s="36" t="s">
        <v>120</v>
      </c>
      <c r="F399" s="114">
        <v>865</v>
      </c>
      <c r="O399" s="115"/>
      <c r="P399" s="36">
        <v>3</v>
      </c>
      <c r="R399" s="116">
        <f t="shared" si="52"/>
        <v>0</v>
      </c>
      <c r="S399" s="117"/>
      <c r="T399" s="116">
        <f t="shared" si="53"/>
        <v>0</v>
      </c>
    </row>
    <row r="400" spans="1:20">
      <c r="A400" s="113"/>
      <c r="B400" s="548">
        <v>46</v>
      </c>
      <c r="C400" s="6" t="s">
        <v>73</v>
      </c>
      <c r="D400" s="36" t="s">
        <v>121</v>
      </c>
      <c r="F400" s="114">
        <v>870</v>
      </c>
      <c r="O400" s="115"/>
      <c r="P400" s="36">
        <v>4</v>
      </c>
      <c r="R400" s="116">
        <f t="shared" si="52"/>
        <v>0</v>
      </c>
      <c r="S400" s="117"/>
      <c r="T400" s="116">
        <f t="shared" si="53"/>
        <v>0</v>
      </c>
    </row>
    <row r="401" spans="1:28">
      <c r="A401" s="113"/>
      <c r="B401" s="548">
        <v>47</v>
      </c>
      <c r="C401" s="6" t="s">
        <v>73</v>
      </c>
      <c r="D401" s="36" t="s">
        <v>122</v>
      </c>
      <c r="F401" s="114">
        <v>875</v>
      </c>
      <c r="O401" s="115"/>
      <c r="P401" s="36">
        <v>1</v>
      </c>
      <c r="R401" s="116">
        <f t="shared" ca="1" si="52"/>
        <v>356.90000000000003</v>
      </c>
      <c r="S401" s="117"/>
      <c r="T401" s="116">
        <f t="shared" ca="1" si="53"/>
        <v>0</v>
      </c>
    </row>
    <row r="402" spans="1:28">
      <c r="A402" s="113"/>
      <c r="B402" s="548">
        <v>48</v>
      </c>
      <c r="C402" s="6" t="s">
        <v>73</v>
      </c>
      <c r="D402" s="36" t="s">
        <v>123</v>
      </c>
      <c r="F402" s="114">
        <v>880</v>
      </c>
      <c r="O402" s="115"/>
      <c r="P402" s="36">
        <v>3</v>
      </c>
      <c r="R402" s="116">
        <f t="shared" si="52"/>
        <v>0</v>
      </c>
      <c r="S402" s="117"/>
      <c r="T402" s="116">
        <f t="shared" si="53"/>
        <v>0</v>
      </c>
    </row>
    <row r="403" spans="1:28">
      <c r="A403" s="113"/>
      <c r="B403" s="548">
        <v>49</v>
      </c>
      <c r="C403" s="6" t="s">
        <v>73</v>
      </c>
      <c r="D403" s="36" t="s">
        <v>124</v>
      </c>
      <c r="F403" s="114">
        <v>885</v>
      </c>
      <c r="O403" s="115"/>
      <c r="P403" s="36">
        <v>4</v>
      </c>
      <c r="R403" s="116">
        <f t="shared" si="52"/>
        <v>0</v>
      </c>
      <c r="S403" s="117"/>
      <c r="T403" s="116">
        <f t="shared" si="53"/>
        <v>0</v>
      </c>
    </row>
    <row r="404" spans="1:28">
      <c r="A404" s="113"/>
      <c r="B404" s="548">
        <v>50</v>
      </c>
      <c r="C404" s="6" t="s">
        <v>73</v>
      </c>
      <c r="D404" s="36" t="s">
        <v>68</v>
      </c>
      <c r="F404" s="114">
        <v>900</v>
      </c>
      <c r="O404" s="115"/>
      <c r="P404" s="36">
        <v>3</v>
      </c>
      <c r="R404" s="116">
        <f t="shared" ca="1" si="52"/>
        <v>0</v>
      </c>
      <c r="S404" s="117"/>
      <c r="T404" s="116">
        <f t="shared" ca="1" si="53"/>
        <v>231.00000000000003</v>
      </c>
    </row>
    <row r="405" spans="1:28">
      <c r="A405" s="113"/>
      <c r="B405" s="548">
        <v>51</v>
      </c>
      <c r="C405" s="6" t="s">
        <v>73</v>
      </c>
      <c r="D405" s="36" t="s">
        <v>126</v>
      </c>
      <c r="F405" s="114">
        <v>901</v>
      </c>
      <c r="O405" s="115"/>
      <c r="P405" s="36">
        <v>1</v>
      </c>
      <c r="R405" s="116">
        <f t="shared" si="52"/>
        <v>0</v>
      </c>
      <c r="S405" s="117"/>
      <c r="T405" s="116">
        <f t="shared" si="53"/>
        <v>0</v>
      </c>
    </row>
    <row r="406" spans="1:28">
      <c r="A406" s="113"/>
      <c r="B406" s="548">
        <v>52</v>
      </c>
      <c r="C406" s="6" t="s">
        <v>73</v>
      </c>
      <c r="D406" s="36" t="s">
        <v>127</v>
      </c>
      <c r="F406" s="114">
        <v>902</v>
      </c>
      <c r="O406" s="115"/>
      <c r="P406" s="36">
        <v>3</v>
      </c>
      <c r="R406" s="116">
        <f t="shared" si="52"/>
        <v>0</v>
      </c>
      <c r="S406" s="117"/>
      <c r="T406" s="116">
        <f t="shared" si="53"/>
        <v>0</v>
      </c>
    </row>
    <row r="407" spans="1:28">
      <c r="A407" s="113"/>
      <c r="B407" s="548">
        <v>53</v>
      </c>
      <c r="C407" s="6" t="s">
        <v>73</v>
      </c>
      <c r="D407" s="118" t="s">
        <v>128</v>
      </c>
      <c r="F407" s="114">
        <v>960</v>
      </c>
      <c r="O407" s="115"/>
      <c r="P407" s="36">
        <v>4</v>
      </c>
      <c r="R407" s="116">
        <f t="shared" si="52"/>
        <v>0</v>
      </c>
      <c r="S407" s="117"/>
      <c r="T407" s="116">
        <f t="shared" si="53"/>
        <v>0</v>
      </c>
    </row>
    <row r="408" spans="1:28">
      <c r="A408" s="113"/>
      <c r="B408" s="548">
        <v>54</v>
      </c>
      <c r="C408" s="6" t="s">
        <v>73</v>
      </c>
      <c r="D408" s="118" t="s">
        <v>129</v>
      </c>
      <c r="F408" s="114">
        <v>961</v>
      </c>
      <c r="O408" s="115"/>
      <c r="P408" s="36">
        <v>3</v>
      </c>
      <c r="R408" s="116">
        <f t="shared" si="52"/>
        <v>0</v>
      </c>
      <c r="S408" s="117"/>
      <c r="T408" s="116">
        <f t="shared" si="53"/>
        <v>0</v>
      </c>
    </row>
    <row r="409" spans="1:28">
      <c r="A409" s="113"/>
      <c r="B409" s="548">
        <v>55</v>
      </c>
      <c r="C409" s="6" t="s">
        <v>73</v>
      </c>
      <c r="D409" s="118" t="s">
        <v>130</v>
      </c>
      <c r="F409" s="114">
        <v>962</v>
      </c>
      <c r="O409" s="115"/>
      <c r="P409" s="36">
        <v>1</v>
      </c>
      <c r="R409" s="116">
        <f t="shared" si="52"/>
        <v>0</v>
      </c>
      <c r="S409" s="117"/>
      <c r="T409" s="116">
        <f t="shared" si="53"/>
        <v>0</v>
      </c>
    </row>
    <row r="410" spans="1:28">
      <c r="A410" s="113"/>
      <c r="B410" s="548">
        <v>56</v>
      </c>
      <c r="C410" s="6" t="s">
        <v>73</v>
      </c>
      <c r="D410" s="118" t="s">
        <v>131</v>
      </c>
      <c r="F410" s="114">
        <v>970</v>
      </c>
      <c r="O410" s="115"/>
      <c r="P410" s="36">
        <v>4</v>
      </c>
      <c r="R410" s="116">
        <f t="shared" si="52"/>
        <v>0</v>
      </c>
      <c r="S410" s="117"/>
      <c r="T410" s="116">
        <f t="shared" si="53"/>
        <v>0</v>
      </c>
    </row>
    <row r="411" spans="1:28" ht="13.8" thickBot="1">
      <c r="A411" s="119"/>
      <c r="B411" s="120"/>
      <c r="C411" s="121"/>
      <c r="D411" s="122"/>
      <c r="E411" s="123"/>
      <c r="F411" s="124"/>
      <c r="G411" s="123"/>
      <c r="H411" s="123"/>
      <c r="I411" s="123"/>
      <c r="J411" s="123"/>
      <c r="K411" s="123"/>
      <c r="L411" s="123"/>
      <c r="M411" s="123"/>
      <c r="N411" s="123"/>
      <c r="O411" s="125"/>
      <c r="P411" s="123"/>
      <c r="Q411" s="123"/>
      <c r="R411" s="126"/>
      <c r="S411" s="127"/>
      <c r="T411" s="126"/>
      <c r="U411" s="123"/>
      <c r="V411" s="123"/>
      <c r="W411" s="123"/>
      <c r="X411" s="123"/>
      <c r="Y411" s="123"/>
      <c r="Z411" s="123"/>
      <c r="AA411" s="123"/>
      <c r="AB411" s="123"/>
    </row>
    <row r="412" spans="1:28" ht="13.8" thickTop="1">
      <c r="A412" s="113"/>
      <c r="B412" s="128"/>
      <c r="C412" s="6" t="s">
        <v>73</v>
      </c>
      <c r="D412" s="129"/>
      <c r="F412" s="130" t="s">
        <v>160</v>
      </c>
      <c r="G412" s="131"/>
      <c r="H412" s="36">
        <v>1</v>
      </c>
      <c r="O412" s="115"/>
      <c r="R412" s="116">
        <f ca="1">SUMIF($P355:$P410,1,R355:R410)</f>
        <v>20204.570045620439</v>
      </c>
      <c r="T412" s="116">
        <f ca="1">SUMIF($P355:$P410,1,T355:T410)</f>
        <v>1202.23</v>
      </c>
    </row>
    <row r="413" spans="1:28">
      <c r="A413" s="113"/>
      <c r="B413" s="128"/>
      <c r="C413" s="6" t="s">
        <v>73</v>
      </c>
      <c r="D413" s="129"/>
      <c r="F413" s="130" t="s">
        <v>161</v>
      </c>
      <c r="G413" s="131"/>
      <c r="H413" s="36">
        <v>2</v>
      </c>
      <c r="O413" s="115"/>
      <c r="R413" s="116">
        <f ca="1">SUMIF($P355:$P410,2,R355:R410)</f>
        <v>11696.518852459016</v>
      </c>
      <c r="T413" s="116">
        <f ca="1">SUMIF($P355:$P410,2,T355:T410)</f>
        <v>842.46800000000007</v>
      </c>
    </row>
    <row r="414" spans="1:28">
      <c r="A414" s="113"/>
      <c r="B414" s="128"/>
      <c r="C414" s="6" t="s">
        <v>73</v>
      </c>
      <c r="D414" s="129"/>
      <c r="F414" s="130" t="s">
        <v>162</v>
      </c>
      <c r="G414" s="131"/>
      <c r="H414" s="36">
        <v>2</v>
      </c>
      <c r="O414" s="115"/>
      <c r="R414" s="116">
        <f ca="1">SUMIF($P355:$P410,3,R355:R410)</f>
        <v>75</v>
      </c>
      <c r="T414" s="116">
        <f ca="1">SUMIF($P355:$P410,3,T355:T410)</f>
        <v>236.55500000000004</v>
      </c>
    </row>
    <row r="415" spans="1:28">
      <c r="A415" s="113"/>
      <c r="B415" s="128"/>
      <c r="C415" s="6" t="s">
        <v>73</v>
      </c>
      <c r="D415" s="129"/>
      <c r="F415" s="130" t="s">
        <v>163</v>
      </c>
      <c r="G415" s="131"/>
      <c r="H415" s="36">
        <v>3</v>
      </c>
      <c r="O415" s="115"/>
      <c r="R415" s="116">
        <f>SUMIF($P355:$P410,4,R355:R410)</f>
        <v>0</v>
      </c>
      <c r="T415" s="116">
        <f>SUMIF($P355:$P410,4,T355:T410)</f>
        <v>0</v>
      </c>
    </row>
    <row r="416" spans="1:28" ht="13.8" thickBot="1">
      <c r="A416" s="119"/>
      <c r="B416" s="132"/>
      <c r="C416" s="121" t="s">
        <v>73</v>
      </c>
      <c r="D416" s="133"/>
      <c r="E416" s="123"/>
      <c r="F416" s="134" t="s">
        <v>164</v>
      </c>
      <c r="G416" s="135"/>
      <c r="H416" s="136"/>
      <c r="I416" s="136"/>
      <c r="J416" s="136"/>
      <c r="K416" s="136"/>
      <c r="L416" s="136"/>
      <c r="M416" s="136"/>
      <c r="N416" s="136"/>
      <c r="O416" s="137"/>
      <c r="P416" s="136"/>
      <c r="Q416" s="136"/>
      <c r="R416" s="138">
        <f ca="1">SUM(R412:R415)</f>
        <v>31976.088898079455</v>
      </c>
      <c r="S416" s="139"/>
      <c r="T416" s="138">
        <f ca="1">SUM(T412:T415)</f>
        <v>2281.2530000000002</v>
      </c>
      <c r="U416" s="123"/>
      <c r="V416" s="123"/>
      <c r="W416" s="123"/>
      <c r="X416" s="123"/>
      <c r="Y416" s="123"/>
      <c r="Z416" s="123"/>
      <c r="AA416" s="123"/>
      <c r="AB416" s="123"/>
    </row>
    <row r="417" ht="13.8" thickTop="1"/>
  </sheetData>
  <sheetProtection formatCells="0" formatColumns="0" formatRows="0" insertColumns="0" insertRows="0" insertHyperlinks="0" deleteColumns="0" deleteRows="0" sort="0" autoFilter="0" pivotTables="0"/>
  <phoneticPr fontId="33"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IV1070"/>
  <sheetViews>
    <sheetView tabSelected="1" topLeftCell="A888" zoomScaleNormal="100" workbookViewId="0">
      <selection activeCell="R910" sqref="R910"/>
    </sheetView>
  </sheetViews>
  <sheetFormatPr defaultColWidth="9.109375" defaultRowHeight="13.8"/>
  <cols>
    <col min="1" max="2" width="11.33203125" style="36" customWidth="1"/>
    <col min="3" max="3" width="11.109375" style="36" hidden="1" customWidth="1"/>
    <col min="4" max="4" width="49.109375" style="36" customWidth="1"/>
    <col min="5" max="6" width="32"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20" width="16.6640625" style="36" customWidth="1"/>
    <col min="21" max="21" width="6.33203125" style="36" customWidth="1"/>
    <col min="22" max="22" width="4.6640625" style="373" customWidth="1"/>
    <col min="23" max="23" width="5" style="373" bestFit="1" customWidth="1"/>
    <col min="24" max="24" width="4.88671875" style="373" bestFit="1" customWidth="1"/>
    <col min="25" max="25" width="4.33203125" style="373" bestFit="1" customWidth="1"/>
    <col min="26" max="26" width="5.33203125" style="373" customWidth="1"/>
    <col min="27" max="27" width="4" style="373" customWidth="1"/>
    <col min="28" max="28" width="4.109375" style="373" customWidth="1"/>
    <col min="29" max="32" width="9.109375" style="36" customWidth="1"/>
    <col min="33" max="33" width="12.88671875" style="36" hidden="1" customWidth="1"/>
    <col min="34" max="34" width="10.6640625" style="36" hidden="1" customWidth="1"/>
    <col min="35" max="35" width="11.44140625" style="36" hidden="1" customWidth="1"/>
    <col min="36" max="36" width="9.109375" style="36" hidden="1" customWidth="1"/>
    <col min="37" max="37" width="13.6640625" style="36" hidden="1" customWidth="1"/>
    <col min="38" max="38" width="9.109375" style="36" hidden="1" customWidth="1"/>
    <col min="39" max="40" width="12" style="36" hidden="1" customWidth="1"/>
    <col min="41" max="41" width="11.109375" style="36" hidden="1" customWidth="1"/>
    <col min="42" max="42" width="9.109375" style="36" hidden="1" customWidth="1"/>
    <col min="43" max="16384" width="9.109375" style="36"/>
  </cols>
  <sheetData>
    <row r="1" spans="1:42" s="32" customFormat="1" ht="15.6">
      <c r="A1" s="575"/>
      <c r="B1" s="552" t="s">
        <v>0</v>
      </c>
      <c r="C1" s="553">
        <f>ML_Sum!$C1</f>
        <v>1</v>
      </c>
      <c r="D1" s="554" t="str">
        <f>ML_Sum!$D1</f>
        <v>Eden Lesuire Group</v>
      </c>
      <c r="E1" s="555"/>
      <c r="F1" s="556">
        <f>ML_Sum!$F1</f>
        <v>0</v>
      </c>
      <c r="G1" s="597"/>
      <c r="H1"/>
      <c r="I1" s="324">
        <v>1</v>
      </c>
      <c r="J1" s="325">
        <f>ML_Sum!$J1</f>
        <v>1</v>
      </c>
      <c r="K1" s="325">
        <f>ML_Sum!$K1</f>
        <v>1</v>
      </c>
      <c r="L1" s="325">
        <f>ML_Sum!$L1</f>
        <v>1</v>
      </c>
      <c r="M1" s="325">
        <f>ML_Sum!$M1</f>
        <v>1</v>
      </c>
      <c r="N1" s="325">
        <f>ML_Sum!$N1</f>
        <v>1</v>
      </c>
      <c r="O1" s="325">
        <f>ML_Sum!$O1</f>
        <v>1</v>
      </c>
      <c r="P1"/>
      <c r="Q1" s="393" t="str">
        <f>ML_Sum!$Q1</f>
        <v>€</v>
      </c>
      <c r="R1" s="328" t="s">
        <v>1</v>
      </c>
      <c r="S1" s="392" t="str">
        <f>ML_Sum!$S1</f>
        <v>R</v>
      </c>
      <c r="T1" s="496">
        <f>ML_Sum!$T1</f>
        <v>1</v>
      </c>
      <c r="U1" s="497" t="str">
        <f>ML_Sum!W1</f>
        <v>BOQ</v>
      </c>
      <c r="V1" s="498" t="s">
        <v>207</v>
      </c>
      <c r="W1" s="576" t="s">
        <v>197</v>
      </c>
      <c r="X1" s="499" t="s">
        <v>198</v>
      </c>
      <c r="Y1" s="577" t="s">
        <v>199</v>
      </c>
      <c r="Z1" s="500" t="s">
        <v>195</v>
      </c>
      <c r="AA1" s="500" t="s">
        <v>200</v>
      </c>
      <c r="AB1" s="576" t="s">
        <v>201</v>
      </c>
      <c r="AG1" s="594"/>
      <c r="AH1" s="594"/>
      <c r="AI1" s="594"/>
      <c r="AJ1" s="594"/>
      <c r="AK1" s="595"/>
    </row>
    <row r="2" spans="1:42" s="32" customFormat="1">
      <c r="A2" s="551"/>
      <c r="B2" s="552" t="s">
        <v>2</v>
      </c>
      <c r="C2" s="553">
        <f>ML_Sum!$C2</f>
        <v>0.97379223448350882</v>
      </c>
      <c r="D2" s="554" t="str">
        <f>ML_Sum!$D2</f>
        <v>Intercontinental - Plant Retrofit</v>
      </c>
      <c r="E2" s="558"/>
      <c r="F2" s="556" t="str">
        <f>ML_Sum!$F2</f>
        <v>Electrical</v>
      </c>
      <c r="G2" s="557"/>
      <c r="H2"/>
      <c r="I2" s="324">
        <v>2</v>
      </c>
      <c r="J2" s="325">
        <f>ML_Sum!$J2</f>
        <v>1</v>
      </c>
      <c r="K2" s="325">
        <f>ML_Sum!$K2</f>
        <v>1</v>
      </c>
      <c r="L2" s="325">
        <f>ML_Sum!$L2</f>
        <v>1</v>
      </c>
      <c r="M2" s="325">
        <f>ML_Sum!$M2</f>
        <v>1</v>
      </c>
      <c r="N2" s="325">
        <f>ML_Sum!$N2</f>
        <v>1</v>
      </c>
      <c r="O2" s="325">
        <f>ML_Sum!$O2</f>
        <v>1</v>
      </c>
      <c r="P2"/>
      <c r="Q2" s="398">
        <f>ML_Sum!$Q2</f>
        <v>2.6207765516491222E-2</v>
      </c>
      <c r="R2" s="18" t="s">
        <v>3</v>
      </c>
      <c r="S2" s="399">
        <f>ML_Sum!$S2</f>
        <v>1.35</v>
      </c>
      <c r="T2" s="400">
        <f>ML_Sum!$T2</f>
        <v>37.071000000000005</v>
      </c>
      <c r="V2" s="373"/>
      <c r="W2" s="373"/>
      <c r="X2" s="373"/>
      <c r="Y2" s="373"/>
      <c r="Z2" s="373"/>
      <c r="AA2" s="373"/>
      <c r="AB2" s="373"/>
    </row>
    <row r="3" spans="1:42" s="32" customFormat="1">
      <c r="A3" s="559"/>
      <c r="B3" s="560" t="s">
        <v>4</v>
      </c>
      <c r="C3" s="553">
        <f>ML_Sum!$C3</f>
        <v>0.97379223448350882</v>
      </c>
      <c r="D3" s="554" t="str">
        <f>ML_Sum!$D3</f>
        <v>Retrofitting works for the Electrical Installations</v>
      </c>
      <c r="E3" s="559"/>
      <c r="F3" s="556" t="str">
        <f>ML_Sum!$F3</f>
        <v>ECA (Technician)</v>
      </c>
      <c r="G3" s="561"/>
      <c r="H3"/>
      <c r="I3" s="324">
        <v>3</v>
      </c>
      <c r="J3" s="325">
        <f>ML_Sum!$J3</f>
        <v>1</v>
      </c>
      <c r="K3" s="325">
        <f>ML_Sum!$K3</f>
        <v>1</v>
      </c>
      <c r="L3" s="325">
        <f>ML_Sum!$L3</f>
        <v>1</v>
      </c>
      <c r="M3" s="325">
        <f>ML_Sum!$M3</f>
        <v>1</v>
      </c>
      <c r="N3" s="325">
        <f>ML_Sum!$N3</f>
        <v>1</v>
      </c>
      <c r="O3" s="325">
        <f>ML_Sum!$O3</f>
        <v>1</v>
      </c>
      <c r="P3"/>
      <c r="Q3" s="398">
        <f>ML_Sum!$Q3</f>
        <v>2.6207765516491222E-2</v>
      </c>
      <c r="R3" s="19" t="s">
        <v>5</v>
      </c>
      <c r="S3" s="399">
        <f>ML_Sum!$S3</f>
        <v>1.35</v>
      </c>
      <c r="T3" s="400">
        <f>ML_Sum!$T3</f>
        <v>45.535499999999999</v>
      </c>
      <c r="V3" s="373"/>
      <c r="W3" s="373"/>
      <c r="X3" s="373"/>
      <c r="Y3" s="373"/>
      <c r="Z3" s="373"/>
      <c r="AA3" s="373"/>
      <c r="AB3" s="373"/>
    </row>
    <row r="4" spans="1:42" s="32" customFormat="1">
      <c r="A4" s="562"/>
      <c r="B4" s="552" t="s">
        <v>6</v>
      </c>
      <c r="C4" s="553">
        <f>ML_Sum!$C4</f>
        <v>0.97379223448350882</v>
      </c>
      <c r="D4" s="554" t="str">
        <f>ML_Sum!$D4</f>
        <v>EL25-0477</v>
      </c>
      <c r="E4" s="559"/>
      <c r="F4" s="556" t="str">
        <f>ML_Sum!$F4</f>
        <v>ECA (Engineer)</v>
      </c>
      <c r="G4" s="561"/>
      <c r="H4"/>
      <c r="I4" s="324">
        <v>4</v>
      </c>
      <c r="J4" s="325">
        <f>ML_Sum!$J4</f>
        <v>1</v>
      </c>
      <c r="K4" s="325">
        <f>ML_Sum!$K4</f>
        <v>1</v>
      </c>
      <c r="L4" s="325">
        <f>ML_Sum!$L4</f>
        <v>1</v>
      </c>
      <c r="M4" s="325">
        <f>ML_Sum!$M4</f>
        <v>1</v>
      </c>
      <c r="N4" s="325">
        <f>ML_Sum!$N4</f>
        <v>1</v>
      </c>
      <c r="O4" s="325">
        <f>ML_Sum!$O4</f>
        <v>1</v>
      </c>
      <c r="P4"/>
      <c r="Q4" s="398">
        <f>ML_Sum!$Q4</f>
        <v>2.6207765516491222E-2</v>
      </c>
      <c r="R4" s="20" t="s">
        <v>8</v>
      </c>
      <c r="S4" s="399">
        <f>ML_Sum!$S4</f>
        <v>1.35</v>
      </c>
      <c r="T4" s="400">
        <f>ML_Sum!$T4</f>
        <v>40.5</v>
      </c>
      <c r="V4" s="373"/>
      <c r="W4" s="373"/>
      <c r="X4" s="373"/>
      <c r="Y4" s="373"/>
      <c r="Z4" s="373"/>
      <c r="AA4" s="373"/>
      <c r="AB4" s="373"/>
    </row>
    <row r="5" spans="1:42" s="32" customFormat="1">
      <c r="A5" s="562"/>
      <c r="B5" s="552" t="s">
        <v>209</v>
      </c>
      <c r="C5" s="553">
        <f>ML_Sum!$C5</f>
        <v>1</v>
      </c>
      <c r="D5" s="554" t="str">
        <f>ML_Sum!$D5</f>
        <v>Tender</v>
      </c>
      <c r="E5" s="559"/>
      <c r="F5" s="556" t="str">
        <f>ML_Sum!$F5</f>
        <v>Megaline</v>
      </c>
      <c r="G5" s="563"/>
      <c r="H5"/>
      <c r="I5" s="324">
        <v>5</v>
      </c>
      <c r="J5" s="325">
        <f>ML_Sum!$J5</f>
        <v>1</v>
      </c>
      <c r="K5" s="325">
        <f>ML_Sum!$K5</f>
        <v>1</v>
      </c>
      <c r="L5" s="325">
        <f>ML_Sum!$L5</f>
        <v>1</v>
      </c>
      <c r="M5" s="325">
        <f>ML_Sum!$M5</f>
        <v>1</v>
      </c>
      <c r="N5" s="325">
        <f>ML_Sum!$N5</f>
        <v>1</v>
      </c>
      <c r="O5" s="325">
        <f>ML_Sum!$O5</f>
        <v>1</v>
      </c>
      <c r="P5"/>
      <c r="Q5" s="398">
        <f>ML_Sum!$Q5</f>
        <v>0</v>
      </c>
      <c r="R5" s="21" t="s">
        <v>10</v>
      </c>
      <c r="S5" s="399">
        <f>ML_Sum!$S5</f>
        <v>1</v>
      </c>
      <c r="T5" s="400">
        <f>ML_Sum!$T5</f>
        <v>37.071000000000005</v>
      </c>
      <c r="V5" s="373"/>
      <c r="W5" s="373"/>
      <c r="X5" s="373"/>
      <c r="Y5" s="373"/>
      <c r="Z5" s="373"/>
      <c r="AA5" s="373"/>
      <c r="AB5" s="373"/>
    </row>
    <row r="6" spans="1:42" s="32" customFormat="1">
      <c r="A6"/>
      <c r="B6" s="560" t="s">
        <v>9</v>
      </c>
      <c r="C6" s="553">
        <f>ML_Sum!$C6</f>
        <v>1</v>
      </c>
      <c r="D6" s="554" t="str">
        <f>ML_Sum!$D6</f>
        <v>VAT EXCL.</v>
      </c>
      <c r="E6"/>
      <c r="F6" s="556">
        <f>ML_Sum!$F6</f>
        <v>0</v>
      </c>
      <c r="G6" s="563"/>
      <c r="H6"/>
      <c r="I6" s="324">
        <v>6</v>
      </c>
      <c r="J6" s="325">
        <f>ML_Sum!$J6</f>
        <v>1</v>
      </c>
      <c r="K6" s="325">
        <f>ML_Sum!$K6</f>
        <v>1</v>
      </c>
      <c r="L6" s="325">
        <f>ML_Sum!$L6</f>
        <v>1</v>
      </c>
      <c r="M6" s="325">
        <f>ML_Sum!$M6</f>
        <v>1</v>
      </c>
      <c r="N6" s="325">
        <f>ML_Sum!$N6</f>
        <v>1</v>
      </c>
      <c r="O6" s="325">
        <f>ML_Sum!$O6</f>
        <v>1</v>
      </c>
      <c r="P6"/>
      <c r="Q6" s="398">
        <f>ML_Sum!$Q6</f>
        <v>0</v>
      </c>
      <c r="R6" s="22" t="s">
        <v>11</v>
      </c>
      <c r="S6" s="399">
        <f>ML_Sum!$S6</f>
        <v>0</v>
      </c>
      <c r="T6" s="400">
        <f>ML_Sum!$T6</f>
        <v>0</v>
      </c>
      <c r="V6" s="373"/>
      <c r="W6" s="373"/>
      <c r="X6" s="373"/>
      <c r="Y6" s="373"/>
      <c r="Z6" s="373"/>
      <c r="AA6" s="373"/>
      <c r="AB6" s="373"/>
    </row>
    <row r="7" spans="1:42" s="32" customFormat="1">
      <c r="A7" s="551"/>
      <c r="B7" s="560" t="s">
        <v>12</v>
      </c>
      <c r="C7" s="553">
        <f>ML_Sum!$C7</f>
        <v>1</v>
      </c>
      <c r="D7" s="564">
        <v>39364</v>
      </c>
      <c r="E7" s="565"/>
      <c r="F7" s="556">
        <f>ML_Sum!$F7</f>
        <v>0</v>
      </c>
      <c r="G7" s="566"/>
      <c r="H7"/>
      <c r="I7" s="324">
        <v>7</v>
      </c>
      <c r="J7" s="325">
        <f>ML_Sum!$J7</f>
        <v>1</v>
      </c>
      <c r="K7" s="325">
        <f>ML_Sum!$K7</f>
        <v>1</v>
      </c>
      <c r="L7" s="325">
        <f>ML_Sum!$L7</f>
        <v>1</v>
      </c>
      <c r="M7" s="325">
        <f>ML_Sum!$M7</f>
        <v>1</v>
      </c>
      <c r="N7" s="325">
        <f>ML_Sum!$N7</f>
        <v>1</v>
      </c>
      <c r="O7" s="325">
        <f>ML_Sum!$O7</f>
        <v>0</v>
      </c>
      <c r="P7"/>
      <c r="Q7" s="398">
        <f>ML_Sum!$Q7</f>
        <v>0</v>
      </c>
      <c r="R7" s="23" t="s">
        <v>13</v>
      </c>
      <c r="S7" s="399">
        <f>ML_Sum!$S7</f>
        <v>0</v>
      </c>
      <c r="T7" s="400">
        <f>ML_Sum!$T7</f>
        <v>0</v>
      </c>
      <c r="V7" s="373"/>
      <c r="W7" s="373"/>
      <c r="X7" s="373"/>
      <c r="Y7" s="373"/>
      <c r="Z7" s="373"/>
      <c r="AA7" s="373"/>
      <c r="AB7" s="373"/>
    </row>
    <row r="8" spans="1:42" s="32" customFormat="1">
      <c r="A8" s="562"/>
      <c r="B8" s="560" t="s">
        <v>14</v>
      </c>
      <c r="C8" s="553">
        <f>ML_Sum!$C8</f>
        <v>1</v>
      </c>
      <c r="D8" s="554" t="str">
        <f>ML_Sum!$D8</f>
        <v>M.Scicluna</v>
      </c>
      <c r="E8" s="559"/>
      <c r="F8" s="556">
        <f>ML_Sum!$F8</f>
        <v>0</v>
      </c>
      <c r="G8" s="567"/>
      <c r="H8"/>
      <c r="I8" s="324">
        <v>8</v>
      </c>
      <c r="J8" s="325">
        <f>ML_Sum!$J8</f>
        <v>1</v>
      </c>
      <c r="K8" s="325">
        <f>ML_Sum!$K8</f>
        <v>1</v>
      </c>
      <c r="L8" s="325">
        <f>ML_Sum!$L8</f>
        <v>1</v>
      </c>
      <c r="M8" s="325">
        <f>ML_Sum!$M8</f>
        <v>1</v>
      </c>
      <c r="N8" s="325">
        <f>ML_Sum!$N8</f>
        <v>1</v>
      </c>
      <c r="O8" s="325">
        <f>ML_Sum!$O8</f>
        <v>0</v>
      </c>
      <c r="P8"/>
      <c r="Q8" s="398">
        <f>ML_Sum!$Q8</f>
        <v>0</v>
      </c>
      <c r="R8" s="24" t="s">
        <v>15</v>
      </c>
      <c r="S8" s="399">
        <f>ML_Sum!$S8</f>
        <v>0</v>
      </c>
      <c r="T8" s="400">
        <f>ML_Sum!$T8</f>
        <v>0</v>
      </c>
      <c r="V8" s="373"/>
      <c r="W8" s="373"/>
      <c r="X8" s="373"/>
      <c r="Y8" s="373"/>
      <c r="Z8" s="373"/>
      <c r="AA8" s="373"/>
      <c r="AB8" s="373"/>
    </row>
    <row r="9" spans="1:42" s="32" customFormat="1">
      <c r="A9" s="562"/>
      <c r="B9" s="560" t="s">
        <v>293</v>
      </c>
      <c r="C9" s="553">
        <f>ML_Sum!$C9</f>
        <v>1</v>
      </c>
      <c r="D9" s="554">
        <f>ML_Sum!$D9</f>
        <v>27.46</v>
      </c>
      <c r="E9" s="559"/>
      <c r="F9" s="556">
        <f>ML_Sum!$F9</f>
        <v>0</v>
      </c>
      <c r="G9" s="567"/>
      <c r="H9"/>
      <c r="I9" s="324">
        <v>9</v>
      </c>
      <c r="J9" s="325">
        <f>ML_Sum!$J9</f>
        <v>1</v>
      </c>
      <c r="K9" s="325">
        <f>ML_Sum!$K9</f>
        <v>1</v>
      </c>
      <c r="L9" s="325">
        <f>ML_Sum!$L9</f>
        <v>1</v>
      </c>
      <c r="M9" s="325">
        <f>ML_Sum!$M9</f>
        <v>1</v>
      </c>
      <c r="N9" s="325">
        <f>ML_Sum!$N9</f>
        <v>1</v>
      </c>
      <c r="O9" s="325">
        <f>ML_Sum!$O9</f>
        <v>0</v>
      </c>
      <c r="P9"/>
      <c r="Q9" s="398">
        <f>ML_Sum!$Q9</f>
        <v>0</v>
      </c>
      <c r="R9" s="25" t="s">
        <v>16</v>
      </c>
      <c r="S9" s="399">
        <f>ML_Sum!$S9</f>
        <v>0</v>
      </c>
      <c r="T9" s="400">
        <f>ML_Sum!$T9</f>
        <v>0</v>
      </c>
      <c r="V9" s="373"/>
      <c r="W9" s="373"/>
      <c r="X9" s="373"/>
      <c r="Y9" s="373"/>
      <c r="Z9" s="373"/>
      <c r="AA9" s="373"/>
      <c r="AB9" s="373"/>
    </row>
    <row r="10" spans="1:42" s="32" customFormat="1">
      <c r="A10" s="562"/>
      <c r="B10" s="551"/>
      <c r="C10" s="553">
        <f>ML_Sum!$C10</f>
        <v>1</v>
      </c>
      <c r="D10" s="551"/>
      <c r="E10" s="559"/>
      <c r="F10" s="556">
        <f>ML_Sum!$F10</f>
        <v>0</v>
      </c>
      <c r="G10" s="567"/>
      <c r="H10"/>
      <c r="I10" s="324">
        <v>10</v>
      </c>
      <c r="J10" s="325">
        <f>ML_Sum!$J10</f>
        <v>1</v>
      </c>
      <c r="K10" s="325">
        <f>ML_Sum!$K10</f>
        <v>1</v>
      </c>
      <c r="L10" s="325">
        <f>ML_Sum!$L10</f>
        <v>1</v>
      </c>
      <c r="M10" s="325">
        <f>ML_Sum!$M10</f>
        <v>1</v>
      </c>
      <c r="N10" s="325">
        <f>ML_Sum!$N10</f>
        <v>1</v>
      </c>
      <c r="O10" s="325">
        <f>ML_Sum!$O10</f>
        <v>1</v>
      </c>
      <c r="P10"/>
      <c r="Q10" s="398">
        <f>ML_Sum!$Q10</f>
        <v>0</v>
      </c>
      <c r="R10" s="26" t="s">
        <v>17</v>
      </c>
      <c r="S10" s="399">
        <f>ML_Sum!$S10</f>
        <v>0</v>
      </c>
      <c r="T10" s="400">
        <f>ML_Sum!$T10</f>
        <v>0</v>
      </c>
      <c r="V10" s="373"/>
      <c r="W10" s="373"/>
      <c r="X10" s="373"/>
      <c r="Y10" s="373"/>
      <c r="Z10" s="373"/>
      <c r="AA10" s="373"/>
      <c r="AB10" s="373"/>
    </row>
    <row r="11" spans="1:42" s="32" customFormat="1">
      <c r="A11" s="562"/>
      <c r="B11" s="551"/>
      <c r="C11" s="553">
        <f>ML_Sum!$C11</f>
        <v>1</v>
      </c>
      <c r="D11" s="551"/>
      <c r="E11" s="559"/>
      <c r="F11" s="556">
        <f>ML_Sum!$F11</f>
        <v>0</v>
      </c>
      <c r="G11" s="567"/>
      <c r="H11" s="567"/>
      <c r="I11" s="551"/>
      <c r="J11" s="551"/>
      <c r="K11" s="551"/>
      <c r="L11" s="551"/>
      <c r="M11" s="551"/>
      <c r="N11" s="551"/>
      <c r="O11" s="551"/>
      <c r="P11" s="567"/>
      <c r="Q11" s="398">
        <f>ML_Sum!$Q11</f>
        <v>0</v>
      </c>
      <c r="R11" s="27" t="s">
        <v>18</v>
      </c>
      <c r="S11" s="399">
        <f>ML_Sum!$S11</f>
        <v>0</v>
      </c>
      <c r="T11" s="400">
        <f>ML_Sum!$T11</f>
        <v>0</v>
      </c>
      <c r="V11" s="373"/>
      <c r="W11" s="373"/>
      <c r="X11" s="373"/>
      <c r="Y11" s="373"/>
      <c r="Z11" s="373"/>
      <c r="AA11" s="373"/>
      <c r="AB11" s="373"/>
    </row>
    <row r="12" spans="1:42" s="32" customFormat="1" ht="14.4" thickBot="1">
      <c r="A12" s="562"/>
      <c r="B12" s="551"/>
      <c r="C12" s="553">
        <f>ML_Sum!$C12</f>
        <v>0.97379223448350882</v>
      </c>
      <c r="D12" s="551"/>
      <c r="E12" s="559"/>
      <c r="F12" s="556">
        <f>ML_Sum!$F12</f>
        <v>0</v>
      </c>
      <c r="G12" s="567"/>
      <c r="H12" s="567"/>
      <c r="I12" s="551"/>
      <c r="J12" s="551"/>
      <c r="K12" s="551"/>
      <c r="L12" s="551"/>
      <c r="M12" s="551"/>
      <c r="N12" s="551"/>
      <c r="O12" s="551"/>
      <c r="P12" s="567"/>
      <c r="Q12" s="398">
        <f>ML_Sum!$Q12</f>
        <v>2.6207765516491222E-2</v>
      </c>
      <c r="R12" s="448" t="s">
        <v>227</v>
      </c>
      <c r="S12" s="399" t="str">
        <f>ML_Sum!$S12</f>
        <v>MAT MU</v>
      </c>
      <c r="T12" s="400" t="str">
        <f>ML_Sum!$T12</f>
        <v>LAB RATE</v>
      </c>
      <c r="V12" s="373"/>
      <c r="W12" s="373"/>
      <c r="X12" s="373"/>
      <c r="Y12" s="373"/>
      <c r="Z12" s="373"/>
      <c r="AA12" s="373"/>
      <c r="AB12" s="373"/>
    </row>
    <row r="13" spans="1:42" s="32" customFormat="1" ht="14.4" thickBot="1">
      <c r="A13" s="568"/>
      <c r="B13" s="569"/>
      <c r="C13" s="570"/>
      <c r="D13" s="571"/>
      <c r="E13" s="572"/>
      <c r="F13" s="573"/>
      <c r="G13" s="574" t="s">
        <v>142</v>
      </c>
      <c r="H13" s="574" t="s">
        <v>20</v>
      </c>
      <c r="I13" s="574" t="s">
        <v>21</v>
      </c>
      <c r="J13" s="574" t="s">
        <v>22</v>
      </c>
      <c r="K13" s="574" t="s">
        <v>23</v>
      </c>
      <c r="L13" s="574" t="s">
        <v>24</v>
      </c>
      <c r="M13" s="574" t="s">
        <v>25</v>
      </c>
      <c r="N13" s="574" t="s">
        <v>26</v>
      </c>
      <c r="O13" s="574" t="s">
        <v>27</v>
      </c>
      <c r="P13" s="574" t="s">
        <v>28</v>
      </c>
      <c r="Q13" s="28" t="s">
        <v>222</v>
      </c>
      <c r="R13" s="29" t="s">
        <v>30</v>
      </c>
      <c r="S13" s="30" t="s">
        <v>31</v>
      </c>
      <c r="T13" s="31" t="s">
        <v>32</v>
      </c>
      <c r="V13" s="373"/>
      <c r="W13" s="373"/>
      <c r="X13" s="373"/>
      <c r="Y13" s="373"/>
      <c r="Z13" s="373"/>
      <c r="AA13" s="373"/>
      <c r="AB13" s="373"/>
      <c r="AG13"/>
      <c r="AH13"/>
      <c r="AI13"/>
      <c r="AJ13"/>
      <c r="AK13"/>
      <c r="AM13" s="598" t="s">
        <v>289</v>
      </c>
      <c r="AN13" s="600" t="s">
        <v>298</v>
      </c>
      <c r="AO13" s="600" t="s">
        <v>290</v>
      </c>
      <c r="AP13" s="599" t="s">
        <v>287</v>
      </c>
    </row>
    <row r="14" spans="1:42" s="602" customFormat="1" ht="13.2">
      <c r="A14" s="63"/>
      <c r="B14" s="63"/>
      <c r="C14" s="3"/>
      <c r="D14" s="3"/>
      <c r="E14" s="63"/>
      <c r="F14" s="63"/>
      <c r="G14" s="63"/>
      <c r="H14" s="63"/>
      <c r="I14" s="63"/>
      <c r="J14" s="63"/>
      <c r="K14" s="63" t="s">
        <v>134</v>
      </c>
      <c r="L14" s="63"/>
      <c r="M14" s="63"/>
      <c r="N14" s="63"/>
      <c r="O14" s="64"/>
      <c r="P14" s="63"/>
      <c r="Q14" s="63"/>
      <c r="R14" s="63"/>
      <c r="S14" s="63"/>
      <c r="T14" s="63"/>
    </row>
    <row r="15" spans="1:42" s="602" customFormat="1" ht="12">
      <c r="A15" s="63"/>
      <c r="B15" s="63"/>
      <c r="C15" s="63" t="s">
        <v>135</v>
      </c>
      <c r="D15" s="37"/>
      <c r="E15" s="63"/>
      <c r="F15" s="63"/>
      <c r="G15" s="63"/>
      <c r="H15" s="63"/>
      <c r="I15" s="63"/>
      <c r="J15" s="63"/>
      <c r="K15" s="63"/>
      <c r="L15" s="63"/>
      <c r="M15" s="63"/>
      <c r="N15" s="63"/>
      <c r="O15" s="64"/>
      <c r="P15" s="63"/>
      <c r="Q15" s="63"/>
      <c r="R15" s="63"/>
      <c r="S15" s="63"/>
      <c r="T15" s="63"/>
    </row>
    <row r="16" spans="1:42" s="602" customFormat="1" ht="12">
      <c r="A16" s="63"/>
      <c r="B16" s="63"/>
      <c r="C16" s="63"/>
      <c r="D16" s="37" t="s">
        <v>438</v>
      </c>
      <c r="E16" s="63"/>
      <c r="F16" s="63"/>
      <c r="G16" s="63"/>
      <c r="H16" s="63"/>
      <c r="I16" s="63"/>
      <c r="J16" s="63"/>
      <c r="K16" s="63"/>
      <c r="L16" s="63"/>
      <c r="M16" s="63"/>
      <c r="N16" s="63"/>
      <c r="O16" s="64"/>
      <c r="P16" s="63"/>
      <c r="Q16" s="63"/>
      <c r="R16" s="63"/>
      <c r="S16" s="38"/>
      <c r="T16" s="38"/>
    </row>
    <row r="17" spans="1:41" s="3" customFormat="1" thickBot="1">
      <c r="A17" s="611"/>
      <c r="O17" s="158"/>
    </row>
    <row r="18" spans="1:41" s="602" customFormat="1" thickTop="1">
      <c r="A18" s="63"/>
      <c r="B18" s="63"/>
      <c r="C18" s="3"/>
      <c r="D18" s="3"/>
      <c r="E18" s="63"/>
      <c r="F18" s="63"/>
      <c r="G18" s="63"/>
      <c r="H18" s="63"/>
      <c r="I18" s="63"/>
      <c r="J18" s="63"/>
      <c r="K18" s="63" t="s">
        <v>134</v>
      </c>
      <c r="L18" s="63"/>
      <c r="M18" s="63"/>
      <c r="N18" s="63"/>
      <c r="O18" s="64"/>
      <c r="P18" s="63"/>
      <c r="Q18" s="63"/>
      <c r="R18" s="63"/>
      <c r="S18" s="63"/>
      <c r="T18" s="63"/>
    </row>
    <row r="19" spans="1:41" s="602" customFormat="1" ht="12">
      <c r="A19" s="63"/>
      <c r="B19" s="63"/>
      <c r="C19" s="63" t="s">
        <v>135</v>
      </c>
      <c r="D19" s="37"/>
      <c r="E19" s="63"/>
      <c r="F19" s="63"/>
      <c r="G19" s="63"/>
      <c r="H19" s="63"/>
      <c r="I19" s="63"/>
      <c r="J19" s="63"/>
      <c r="K19" s="63"/>
      <c r="L19" s="63"/>
      <c r="M19" s="63"/>
      <c r="N19" s="63"/>
      <c r="O19" s="64"/>
      <c r="P19" s="63"/>
      <c r="Q19" s="63"/>
      <c r="R19" s="63"/>
      <c r="S19" s="63"/>
      <c r="T19" s="63"/>
    </row>
    <row r="20" spans="1:41" s="602" customFormat="1" ht="12">
      <c r="A20" s="63"/>
      <c r="B20" s="63"/>
      <c r="C20" s="63"/>
      <c r="D20" s="37" t="s">
        <v>317</v>
      </c>
      <c r="E20" s="63"/>
      <c r="F20" s="63"/>
      <c r="G20" s="63"/>
      <c r="H20" s="63"/>
      <c r="I20" s="63"/>
      <c r="J20" s="63"/>
      <c r="K20" s="63"/>
      <c r="L20" s="63"/>
      <c r="M20" s="63"/>
      <c r="N20" s="63"/>
      <c r="O20" s="64"/>
      <c r="P20" s="63"/>
      <c r="Q20" s="63"/>
      <c r="R20" s="63"/>
      <c r="S20" s="38"/>
      <c r="T20" s="38"/>
    </row>
    <row r="21" spans="1:41" s="3" customFormat="1" thickBot="1">
      <c r="A21" s="611"/>
      <c r="O21" s="158"/>
    </row>
    <row r="22" spans="1:41" s="602" customFormat="1" thickTop="1">
      <c r="A22" s="63"/>
      <c r="B22" s="63"/>
      <c r="C22" s="3"/>
      <c r="D22" s="3"/>
      <c r="E22" s="63"/>
      <c r="F22" s="63"/>
      <c r="G22" s="63"/>
      <c r="H22" s="63"/>
      <c r="I22" s="63"/>
      <c r="J22" s="63"/>
      <c r="K22" s="63" t="s">
        <v>134</v>
      </c>
      <c r="L22" s="63"/>
      <c r="M22" s="63"/>
      <c r="N22" s="63"/>
      <c r="O22" s="64"/>
      <c r="P22" s="63"/>
      <c r="Q22" s="63"/>
      <c r="R22" s="63"/>
      <c r="S22" s="63"/>
      <c r="T22" s="63"/>
    </row>
    <row r="23" spans="1:41" s="602" customFormat="1" ht="12">
      <c r="A23" s="63"/>
      <c r="B23" s="63"/>
      <c r="C23" s="63" t="s">
        <v>135</v>
      </c>
      <c r="D23" s="37" t="s">
        <v>402</v>
      </c>
      <c r="E23" s="63"/>
      <c r="F23" s="63"/>
      <c r="G23" s="63"/>
      <c r="H23" s="63"/>
      <c r="I23" s="63"/>
      <c r="J23" s="63"/>
      <c r="K23" s="63"/>
      <c r="L23" s="63"/>
      <c r="M23" s="63"/>
      <c r="N23" s="63"/>
      <c r="O23" s="64"/>
      <c r="P23" s="63"/>
      <c r="Q23" s="63"/>
      <c r="R23" s="63"/>
      <c r="S23" s="63"/>
      <c r="T23" s="63"/>
    </row>
    <row r="24" spans="1:41" s="602" customFormat="1" ht="12">
      <c r="A24" s="63"/>
      <c r="B24" s="63"/>
      <c r="C24" s="63"/>
      <c r="D24" s="37" t="s">
        <v>318</v>
      </c>
      <c r="E24" s="63"/>
      <c r="F24" s="63"/>
      <c r="G24" s="63"/>
      <c r="H24" s="63"/>
      <c r="I24" s="63"/>
      <c r="J24" s="63"/>
      <c r="K24" s="63"/>
      <c r="L24" s="63"/>
      <c r="M24" s="63"/>
      <c r="N24" s="63"/>
      <c r="O24" s="64"/>
      <c r="P24" s="63"/>
      <c r="Q24" s="63"/>
      <c r="R24" s="63"/>
      <c r="S24" s="38"/>
      <c r="T24" s="38"/>
    </row>
    <row r="25" spans="1:41" s="3" customFormat="1" thickBot="1">
      <c r="A25" s="611"/>
      <c r="O25" s="158"/>
    </row>
    <row r="26" spans="1:41" s="602" customFormat="1" ht="12" thickTop="1">
      <c r="A26" s="63"/>
      <c r="B26" s="41"/>
      <c r="C26" s="63"/>
      <c r="E26" s="42" t="s">
        <v>138</v>
      </c>
      <c r="F26" s="42" t="s">
        <v>139</v>
      </c>
      <c r="G26" s="63"/>
      <c r="H26" s="63"/>
      <c r="I26" s="63"/>
      <c r="J26" s="63"/>
      <c r="K26" s="63" t="s">
        <v>140</v>
      </c>
      <c r="L26" s="63"/>
      <c r="M26" s="63"/>
      <c r="N26" s="63"/>
      <c r="O26" s="64"/>
      <c r="P26" s="63"/>
      <c r="Q26" s="63"/>
      <c r="R26" s="63"/>
      <c r="S26" s="63"/>
      <c r="T26" s="41"/>
      <c r="AG26" s="667" t="s">
        <v>278</v>
      </c>
      <c r="AH26" s="667" t="s">
        <v>279</v>
      </c>
      <c r="AI26" s="667" t="s">
        <v>280</v>
      </c>
      <c r="AJ26" s="667" t="s">
        <v>281</v>
      </c>
      <c r="AK26" s="667" t="s">
        <v>282</v>
      </c>
      <c r="AM26" s="668" t="s">
        <v>291</v>
      </c>
      <c r="AN26" s="669" t="s">
        <v>292</v>
      </c>
      <c r="AO26" s="603" t="s">
        <v>288</v>
      </c>
    </row>
    <row r="27" spans="1:41" s="602" customFormat="1" ht="12" customHeight="1">
      <c r="A27" s="670">
        <v>1</v>
      </c>
      <c r="B27" s="838" t="s">
        <v>320</v>
      </c>
      <c r="C27" s="672"/>
      <c r="D27" s="673" t="s">
        <v>425</v>
      </c>
      <c r="E27" s="1237">
        <f>IF(AND($A27=0,$A$1="DIF"),0, ROUND(ROUND(($R31*$S$5+($T31*$T$5))/$A27,2)*$C$5,2))</f>
        <v>989.85</v>
      </c>
      <c r="F27" s="1238">
        <f>ROUND($A27*$E27,2)</f>
        <v>989.85</v>
      </c>
      <c r="G27" s="676" t="s">
        <v>142</v>
      </c>
      <c r="H27" s="664"/>
      <c r="I27" s="677"/>
      <c r="J27" s="664"/>
      <c r="K27" s="664" t="s">
        <v>10</v>
      </c>
      <c r="L27" s="678" t="s">
        <v>143</v>
      </c>
      <c r="M27" s="678"/>
      <c r="N27" s="678"/>
      <c r="O27" s="678"/>
      <c r="P27" s="678"/>
      <c r="Q27" s="63"/>
      <c r="T27" s="1242" t="str">
        <f>IF(AND($R31=0,$T31=0),"0.00","mu: "&amp; ROUND(F27/$C$5/($R31+$T31*$D$9),2))</f>
        <v>mu: 1</v>
      </c>
      <c r="W27" s="604"/>
      <c r="AG27" s="1239">
        <f>IF($E27=0,0,ROUND($R31*$S$5*$C$5/$A27,2))</f>
        <v>989.85</v>
      </c>
      <c r="AH27" s="1239">
        <f>$AG27*$A27</f>
        <v>989.85</v>
      </c>
      <c r="AI27" s="1240">
        <f>$E27-$AG27</f>
        <v>0</v>
      </c>
      <c r="AJ27" s="1240">
        <f>$A27*$AI27</f>
        <v>0</v>
      </c>
      <c r="AK27" s="1241">
        <f>ROUND(($AG27+$AI27)*$A27,2)</f>
        <v>989.85</v>
      </c>
      <c r="AM27" s="607">
        <f>ROUND(R31,2)</f>
        <v>989.85</v>
      </c>
      <c r="AN27" s="608">
        <f>ROUND(T31,2)</f>
        <v>0</v>
      </c>
      <c r="AO27" s="609">
        <f>ROUND(AM27+AN27,2)*A27</f>
        <v>989.85</v>
      </c>
    </row>
    <row r="28" spans="1:41" s="602" customFormat="1" ht="13.2">
      <c r="A28" s="672"/>
      <c r="B28"/>
      <c r="C28" s="672"/>
      <c r="D28" s="673" t="s">
        <v>1078</v>
      </c>
      <c r="F28" s="664"/>
      <c r="G28" s="3"/>
      <c r="H28" s="664"/>
      <c r="I28" s="677"/>
      <c r="J28" s="664"/>
      <c r="K28" s="664" t="s">
        <v>144</v>
      </c>
      <c r="L28" s="664"/>
      <c r="M28" s="664"/>
      <c r="N28" s="664"/>
      <c r="O28" s="664"/>
      <c r="P28" s="664"/>
      <c r="Q28" s="63"/>
      <c r="R28" s="610"/>
      <c r="S28" s="680"/>
      <c r="T28" s="664"/>
    </row>
    <row r="29" spans="1:41" s="730" customFormat="1" ht="13.2">
      <c r="A29" s="750">
        <v>1</v>
      </c>
      <c r="B29" s="740" t="s">
        <v>312</v>
      </c>
      <c r="C29" s="740"/>
      <c r="D29" s="740" t="s">
        <v>1175</v>
      </c>
      <c r="E29" s="740"/>
      <c r="F29" s="749" t="s">
        <v>1177</v>
      </c>
      <c r="G29" s="741" t="s">
        <v>1176</v>
      </c>
      <c r="H29" s="1002">
        <v>960</v>
      </c>
      <c r="I29" s="740" t="s">
        <v>686</v>
      </c>
      <c r="J29" s="740"/>
      <c r="K29" s="740"/>
      <c r="L29" s="740"/>
      <c r="M29" s="740"/>
      <c r="N29" s="740"/>
      <c r="O29" s="744">
        <v>4</v>
      </c>
      <c r="P29" s="745">
        <v>38594</v>
      </c>
      <c r="Q29" s="746">
        <v>989.85</v>
      </c>
      <c r="R29" s="747">
        <f>$A29*Q29</f>
        <v>989.85</v>
      </c>
      <c r="S29" s="746"/>
      <c r="T29" s="748">
        <f>$A29*S29*$T$1</f>
        <v>0</v>
      </c>
    </row>
    <row r="30" spans="1:41" s="602" customFormat="1" ht="12">
      <c r="A30" s="663"/>
      <c r="B30" s="663"/>
      <c r="C30" s="663"/>
      <c r="D30" s="663"/>
      <c r="E30" s="663"/>
      <c r="F30" s="664"/>
      <c r="G30" s="663"/>
      <c r="H30" s="663"/>
      <c r="I30" s="601"/>
      <c r="J30" s="663"/>
      <c r="K30" s="663"/>
      <c r="L30" s="663"/>
      <c r="M30" s="663"/>
      <c r="N30" s="663"/>
      <c r="O30" s="663"/>
      <c r="P30" s="663"/>
      <c r="Q30" s="601"/>
      <c r="R30" s="666">
        <f>$A30*Q30</f>
        <v>0</v>
      </c>
      <c r="S30" s="601"/>
      <c r="T30" s="681">
        <f>$A30*S30*$T$1</f>
        <v>0</v>
      </c>
    </row>
    <row r="31" spans="1:41" s="602" customFormat="1" ht="12.6" thickBot="1">
      <c r="A31" s="682" t="s">
        <v>145</v>
      </c>
      <c r="B31" s="683">
        <f>(R30+T30)</f>
        <v>0</v>
      </c>
      <c r="C31" s="684"/>
      <c r="D31" s="684"/>
      <c r="E31" s="684"/>
      <c r="F31" s="685"/>
      <c r="G31" s="684" t="s">
        <v>146</v>
      </c>
      <c r="H31" s="684"/>
      <c r="I31" s="686"/>
      <c r="J31" s="684"/>
      <c r="K31" s="684" t="s">
        <v>10</v>
      </c>
      <c r="L31" s="687" t="s">
        <v>143</v>
      </c>
      <c r="M31" s="687"/>
      <c r="N31" s="687"/>
      <c r="O31" s="687"/>
      <c r="P31" s="687"/>
      <c r="Q31" s="688"/>
      <c r="R31" s="689">
        <f>SUM(R28:R30)</f>
        <v>989.85</v>
      </c>
      <c r="S31" s="684"/>
      <c r="T31" s="689">
        <f>SUM(T28:T30)</f>
        <v>0</v>
      </c>
      <c r="U31" s="611"/>
      <c r="V31" s="611"/>
      <c r="W31" s="611"/>
      <c r="X31" s="611"/>
      <c r="Y31" s="611"/>
      <c r="Z31" s="611"/>
      <c r="AA31" s="611"/>
      <c r="AB31" s="611"/>
      <c r="AC31" s="611"/>
      <c r="AD31" s="611"/>
      <c r="AE31" s="611"/>
      <c r="AF31" s="611"/>
      <c r="AG31" s="611"/>
      <c r="AH31" s="611"/>
      <c r="AI31" s="611"/>
      <c r="AJ31" s="611"/>
      <c r="AK31" s="611"/>
      <c r="AL31" s="611"/>
      <c r="AM31" s="611"/>
      <c r="AN31" s="611"/>
      <c r="AO31" s="611"/>
    </row>
    <row r="32" spans="1:41" s="602" customFormat="1" ht="12" thickTop="1">
      <c r="A32" s="63"/>
      <c r="B32" s="41"/>
      <c r="C32" s="63"/>
      <c r="E32" s="42" t="s">
        <v>138</v>
      </c>
      <c r="F32" s="42" t="s">
        <v>139</v>
      </c>
      <c r="G32" s="63"/>
      <c r="H32" s="63"/>
      <c r="I32" s="63"/>
      <c r="J32" s="63"/>
      <c r="K32" s="63" t="s">
        <v>140</v>
      </c>
      <c r="L32" s="63"/>
      <c r="M32" s="63"/>
      <c r="N32" s="63"/>
      <c r="O32" s="64"/>
      <c r="P32" s="63"/>
      <c r="Q32" s="63"/>
      <c r="R32" s="63"/>
      <c r="S32" s="63"/>
      <c r="T32" s="41"/>
      <c r="AG32" s="667" t="s">
        <v>278</v>
      </c>
      <c r="AH32" s="667" t="s">
        <v>279</v>
      </c>
      <c r="AI32" s="667" t="s">
        <v>280</v>
      </c>
      <c r="AJ32" s="667" t="s">
        <v>281</v>
      </c>
      <c r="AK32" s="667" t="s">
        <v>282</v>
      </c>
      <c r="AM32" s="668" t="s">
        <v>291</v>
      </c>
      <c r="AN32" s="669" t="s">
        <v>292</v>
      </c>
      <c r="AO32" s="603" t="s">
        <v>288</v>
      </c>
    </row>
    <row r="33" spans="1:41" s="602" customFormat="1" ht="12" customHeight="1">
      <c r="A33" s="670">
        <v>1</v>
      </c>
      <c r="B33" s="838" t="s">
        <v>320</v>
      </c>
      <c r="C33" s="672"/>
      <c r="D33" s="673" t="s">
        <v>426</v>
      </c>
      <c r="E33" s="1237">
        <f>IF(AND($A33=0,$A$1="DIF"),0, ROUND(ROUND(($R37*$S$5+($T37*$T$5))/$A33,2)*$C$5,2))</f>
        <v>232.28</v>
      </c>
      <c r="F33" s="1238">
        <f>ROUND($A33*$E33,2)</f>
        <v>232.28</v>
      </c>
      <c r="G33" s="676" t="s">
        <v>142</v>
      </c>
      <c r="H33" s="664"/>
      <c r="I33" s="677"/>
      <c r="J33" s="664"/>
      <c r="K33" s="664" t="s">
        <v>10</v>
      </c>
      <c r="L33" s="678" t="s">
        <v>143</v>
      </c>
      <c r="M33" s="678"/>
      <c r="N33" s="678"/>
      <c r="O33" s="678"/>
      <c r="P33" s="678"/>
      <c r="Q33" s="63"/>
      <c r="T33" s="1242" t="str">
        <f>IF(AND($R37=0,$T37=0),"0.00","mu: "&amp; ROUND(F33/$C$5/($R37+$T37*$D$9),2))</f>
        <v>mu: 1</v>
      </c>
      <c r="W33" s="604"/>
      <c r="AG33" s="1239">
        <f>IF($E33=0,0,ROUND($R37*$S$5*$C$5/$A33,2))</f>
        <v>232.28</v>
      </c>
      <c r="AH33" s="1239">
        <f>$AG33*$A33</f>
        <v>232.28</v>
      </c>
      <c r="AI33" s="1240">
        <f>$E33-$AG33</f>
        <v>0</v>
      </c>
      <c r="AJ33" s="1240">
        <f>$A33*$AI33</f>
        <v>0</v>
      </c>
      <c r="AK33" s="1241">
        <f>ROUND(($AG33+$AI33)*$A33,2)</f>
        <v>232.28</v>
      </c>
      <c r="AM33" s="607">
        <f>ROUND(R37,2)</f>
        <v>232.28</v>
      </c>
      <c r="AN33" s="608">
        <f>ROUND(T37,2)</f>
        <v>0</v>
      </c>
      <c r="AO33" s="609">
        <f>ROUND(AM33+AN33,2)*A33</f>
        <v>232.28</v>
      </c>
    </row>
    <row r="34" spans="1:41" s="602" customFormat="1" ht="39.9" customHeight="1">
      <c r="A34" s="672"/>
      <c r="B34"/>
      <c r="C34" s="672"/>
      <c r="D34" s="1368" t="s">
        <v>1079</v>
      </c>
      <c r="E34" s="1369"/>
      <c r="F34" s="1369"/>
      <c r="G34" s="1369"/>
      <c r="H34" s="1369"/>
      <c r="I34" s="1369"/>
      <c r="J34" s="1369"/>
      <c r="K34" s="1369"/>
      <c r="L34" s="1369"/>
      <c r="M34" s="1369"/>
      <c r="N34" s="1369"/>
      <c r="O34" s="1369"/>
      <c r="P34" s="1369"/>
      <c r="Q34" s="1369"/>
      <c r="R34" s="1369"/>
      <c r="S34" s="1369"/>
      <c r="T34" s="1369"/>
    </row>
    <row r="35" spans="1:41" s="730" customFormat="1" ht="13.2">
      <c r="A35" s="750">
        <v>1</v>
      </c>
      <c r="B35" s="740" t="s">
        <v>312</v>
      </c>
      <c r="C35" s="740"/>
      <c r="D35" s="740" t="s">
        <v>1175</v>
      </c>
      <c r="E35" s="740"/>
      <c r="F35" s="749" t="s">
        <v>1177</v>
      </c>
      <c r="G35" s="741" t="s">
        <v>1176</v>
      </c>
      <c r="H35" s="1002">
        <v>960</v>
      </c>
      <c r="I35" s="740" t="s">
        <v>686</v>
      </c>
      <c r="J35" s="740"/>
      <c r="K35" s="740"/>
      <c r="L35" s="740"/>
      <c r="M35" s="740"/>
      <c r="N35" s="740"/>
      <c r="O35" s="744">
        <v>4</v>
      </c>
      <c r="P35" s="745">
        <v>38594</v>
      </c>
      <c r="Q35" s="746">
        <v>232.28</v>
      </c>
      <c r="R35" s="747">
        <f>$A35*Q35</f>
        <v>232.28</v>
      </c>
      <c r="S35" s="746"/>
      <c r="T35" s="748">
        <f>$A35*S35*$T$1</f>
        <v>0</v>
      </c>
    </row>
    <row r="36" spans="1:41" s="602" customFormat="1" ht="12">
      <c r="A36" s="663"/>
      <c r="B36" s="663"/>
      <c r="C36" s="663"/>
      <c r="D36" s="663"/>
      <c r="E36" s="663"/>
      <c r="F36" s="664"/>
      <c r="G36" s="663"/>
      <c r="H36" s="663"/>
      <c r="I36" s="601"/>
      <c r="J36" s="663"/>
      <c r="K36" s="663"/>
      <c r="L36" s="663"/>
      <c r="M36" s="663"/>
      <c r="N36" s="663"/>
      <c r="O36" s="663"/>
      <c r="P36" s="663"/>
      <c r="Q36" s="601"/>
      <c r="R36" s="666">
        <f>$A36*Q36</f>
        <v>0</v>
      </c>
      <c r="S36" s="601"/>
      <c r="T36" s="681">
        <f>$A36*S36*$T$1</f>
        <v>0</v>
      </c>
    </row>
    <row r="37" spans="1:41" s="602" customFormat="1" ht="12.6" thickBot="1">
      <c r="A37" s="682" t="s">
        <v>145</v>
      </c>
      <c r="B37" s="683">
        <f>(R36+T36)</f>
        <v>0</v>
      </c>
      <c r="C37" s="684"/>
      <c r="D37" s="684"/>
      <c r="E37" s="684"/>
      <c r="F37" s="685"/>
      <c r="G37" s="684" t="s">
        <v>146</v>
      </c>
      <c r="H37" s="684"/>
      <c r="I37" s="686"/>
      <c r="J37" s="684"/>
      <c r="K37" s="684" t="s">
        <v>10</v>
      </c>
      <c r="L37" s="687" t="s">
        <v>143</v>
      </c>
      <c r="M37" s="687"/>
      <c r="N37" s="687"/>
      <c r="O37" s="687"/>
      <c r="P37" s="687"/>
      <c r="Q37" s="688"/>
      <c r="R37" s="689">
        <f>SUM(R34:R36)</f>
        <v>232.28</v>
      </c>
      <c r="S37" s="684"/>
      <c r="T37" s="689">
        <f>SUM(T34:T36)</f>
        <v>0</v>
      </c>
      <c r="U37" s="611"/>
      <c r="V37" s="611"/>
      <c r="W37" s="611"/>
      <c r="X37" s="611"/>
      <c r="Y37" s="611"/>
      <c r="Z37" s="611"/>
      <c r="AA37" s="611"/>
      <c r="AB37" s="611"/>
      <c r="AC37" s="611"/>
      <c r="AD37" s="611"/>
      <c r="AE37" s="611"/>
      <c r="AF37" s="611"/>
      <c r="AG37" s="611"/>
      <c r="AH37" s="611"/>
      <c r="AI37" s="611"/>
      <c r="AJ37" s="611"/>
      <c r="AK37" s="611"/>
      <c r="AL37" s="611"/>
      <c r="AM37" s="611"/>
      <c r="AN37" s="611"/>
      <c r="AO37" s="611"/>
    </row>
    <row r="38" spans="1:41" s="602" customFormat="1" thickTop="1">
      <c r="A38" s="63"/>
      <c r="B38" s="63"/>
      <c r="C38" s="3"/>
      <c r="D38" s="3"/>
      <c r="E38" s="63"/>
      <c r="F38" s="63"/>
      <c r="G38" s="63"/>
      <c r="H38" s="63"/>
      <c r="I38" s="63"/>
      <c r="J38" s="63"/>
      <c r="K38" s="63" t="s">
        <v>134</v>
      </c>
      <c r="L38" s="63"/>
      <c r="M38" s="63"/>
      <c r="N38" s="63"/>
      <c r="O38" s="64"/>
      <c r="P38" s="63"/>
      <c r="Q38" s="63"/>
      <c r="R38" s="63"/>
      <c r="S38" s="63"/>
      <c r="T38" s="63"/>
    </row>
    <row r="39" spans="1:41" s="602" customFormat="1" ht="12">
      <c r="A39" s="63"/>
      <c r="B39" s="63"/>
      <c r="C39" s="63" t="s">
        <v>135</v>
      </c>
      <c r="D39" s="37" t="s">
        <v>403</v>
      </c>
      <c r="E39" s="63"/>
      <c r="F39" s="63"/>
      <c r="G39" s="63"/>
      <c r="H39" s="63"/>
      <c r="I39" s="63"/>
      <c r="J39" s="63"/>
      <c r="K39" s="63"/>
      <c r="L39" s="63"/>
      <c r="M39" s="63"/>
      <c r="N39" s="63"/>
      <c r="O39" s="64"/>
      <c r="P39" s="63"/>
      <c r="Q39" s="63"/>
      <c r="R39" s="63"/>
      <c r="S39" s="63"/>
      <c r="T39" s="63"/>
    </row>
    <row r="40" spans="1:41" s="602" customFormat="1" ht="12">
      <c r="A40" s="63"/>
      <c r="B40" s="63"/>
      <c r="C40" s="63"/>
      <c r="D40" s="37" t="s">
        <v>1080</v>
      </c>
      <c r="E40" s="63"/>
      <c r="F40" s="63"/>
      <c r="G40" s="63"/>
      <c r="H40" s="63"/>
      <c r="I40" s="63"/>
      <c r="J40" s="63"/>
      <c r="K40" s="63"/>
      <c r="L40" s="63"/>
      <c r="M40" s="63"/>
      <c r="N40" s="63"/>
      <c r="O40" s="64"/>
      <c r="P40" s="63"/>
      <c r="Q40" s="63"/>
      <c r="R40" s="63"/>
      <c r="S40" s="38"/>
      <c r="T40" s="38"/>
    </row>
    <row r="41" spans="1:41" s="3" customFormat="1" thickBot="1">
      <c r="A41" s="611"/>
      <c r="O41" s="158"/>
    </row>
    <row r="42" spans="1:41" s="602" customFormat="1" ht="12" thickTop="1">
      <c r="A42" s="63"/>
      <c r="B42" s="41"/>
      <c r="C42" s="63"/>
      <c r="E42" s="42" t="s">
        <v>138</v>
      </c>
      <c r="F42" s="42" t="s">
        <v>139</v>
      </c>
      <c r="G42" s="63"/>
      <c r="H42" s="63"/>
      <c r="I42" s="63"/>
      <c r="J42" s="63"/>
      <c r="K42" s="63" t="s">
        <v>140</v>
      </c>
      <c r="L42" s="63"/>
      <c r="M42" s="63"/>
      <c r="N42" s="63"/>
      <c r="O42" s="64"/>
      <c r="P42" s="63"/>
      <c r="Q42" s="63"/>
      <c r="R42" s="63"/>
      <c r="S42" s="63"/>
      <c r="T42" s="41"/>
      <c r="AG42" s="667" t="s">
        <v>278</v>
      </c>
      <c r="AH42" s="667" t="s">
        <v>279</v>
      </c>
      <c r="AI42" s="667" t="s">
        <v>280</v>
      </c>
      <c r="AJ42" s="667" t="s">
        <v>281</v>
      </c>
      <c r="AK42" s="667" t="s">
        <v>282</v>
      </c>
      <c r="AM42" s="668" t="s">
        <v>291</v>
      </c>
      <c r="AN42" s="669" t="s">
        <v>292</v>
      </c>
      <c r="AO42" s="603" t="s">
        <v>288</v>
      </c>
    </row>
    <row r="43" spans="1:41" s="602" customFormat="1" ht="12" customHeight="1">
      <c r="A43" s="670">
        <v>1</v>
      </c>
      <c r="B43" s="838" t="s">
        <v>320</v>
      </c>
      <c r="C43" s="672"/>
      <c r="D43" s="673" t="s">
        <v>428</v>
      </c>
      <c r="E43" s="1237">
        <f>IF(AND($A43=0,$A$1="DIF"),0, ROUND(ROUND(($R47*$S$5+($T47*$T$5))/$A43,2)*$C$5,2))</f>
        <v>343.15</v>
      </c>
      <c r="F43" s="1238">
        <f>ROUND($A43*$E43,2)</f>
        <v>343.15</v>
      </c>
      <c r="G43" s="676" t="s">
        <v>142</v>
      </c>
      <c r="H43" s="664"/>
      <c r="I43" s="677"/>
      <c r="J43" s="664"/>
      <c r="K43" s="664" t="s">
        <v>10</v>
      </c>
      <c r="L43" s="678" t="s">
        <v>143</v>
      </c>
      <c r="M43" s="678"/>
      <c r="N43" s="678"/>
      <c r="O43" s="678"/>
      <c r="P43" s="678"/>
      <c r="Q43" s="63"/>
      <c r="T43" s="1242" t="str">
        <f>IF(AND($R47=0,$T47=0),"0.00","mu: "&amp; ROUND(F43/$C$5/($R47+$T47*$D$9),2))</f>
        <v>mu: 1</v>
      </c>
      <c r="W43" s="604"/>
      <c r="AG43" s="1239">
        <f>IF($E43=0,0,ROUND($R47*$S$5*$C$5/$A43,2))</f>
        <v>343.15</v>
      </c>
      <c r="AH43" s="1239">
        <f>$AG43*$A43</f>
        <v>343.15</v>
      </c>
      <c r="AI43" s="1240">
        <f>$E43-$AG43</f>
        <v>0</v>
      </c>
      <c r="AJ43" s="1240">
        <f>$A43*$AI43</f>
        <v>0</v>
      </c>
      <c r="AK43" s="1241">
        <f>ROUND(($AG43+$AI43)*$A43,2)</f>
        <v>343.15</v>
      </c>
      <c r="AM43" s="607">
        <f>ROUND(R47,2)</f>
        <v>343.15</v>
      </c>
      <c r="AN43" s="608">
        <f>ROUND(T47,2)</f>
        <v>0</v>
      </c>
      <c r="AO43" s="609">
        <f>ROUND(AM43+AN43,2)*A43</f>
        <v>343.15</v>
      </c>
    </row>
    <row r="44" spans="1:41" s="602" customFormat="1" ht="13.2">
      <c r="A44" s="672"/>
      <c r="B44"/>
      <c r="C44" s="672"/>
      <c r="D44" s="673" t="s">
        <v>1078</v>
      </c>
      <c r="F44" s="664"/>
      <c r="G44" s="3"/>
      <c r="H44" s="664"/>
      <c r="I44" s="677"/>
      <c r="J44" s="664"/>
      <c r="K44" s="664" t="s">
        <v>144</v>
      </c>
      <c r="L44" s="664"/>
      <c r="M44" s="664"/>
      <c r="N44" s="664"/>
      <c r="O44" s="664"/>
      <c r="P44" s="664"/>
      <c r="Q44" s="63"/>
      <c r="R44" s="610"/>
      <c r="S44" s="680"/>
      <c r="T44" s="664"/>
    </row>
    <row r="45" spans="1:41" s="730" customFormat="1" ht="13.2">
      <c r="A45" s="750">
        <v>1</v>
      </c>
      <c r="B45" s="740" t="s">
        <v>312</v>
      </c>
      <c r="C45" s="740"/>
      <c r="D45" s="740" t="s">
        <v>1175</v>
      </c>
      <c r="E45" s="740"/>
      <c r="F45" s="749" t="s">
        <v>1177</v>
      </c>
      <c r="G45" s="741" t="s">
        <v>1176</v>
      </c>
      <c r="H45" s="1002">
        <v>960</v>
      </c>
      <c r="I45" s="740" t="s">
        <v>686</v>
      </c>
      <c r="J45" s="740"/>
      <c r="K45" s="740"/>
      <c r="L45" s="740"/>
      <c r="M45" s="740"/>
      <c r="N45" s="740"/>
      <c r="O45" s="744">
        <v>4</v>
      </c>
      <c r="P45" s="745">
        <v>38594</v>
      </c>
      <c r="Q45" s="746">
        <v>343.15</v>
      </c>
      <c r="R45" s="747">
        <f>$A45*Q45</f>
        <v>343.15</v>
      </c>
      <c r="S45" s="746"/>
      <c r="T45" s="748">
        <f>$A45*S45*$T$1</f>
        <v>0</v>
      </c>
    </row>
    <row r="46" spans="1:41" s="602" customFormat="1" ht="12">
      <c r="A46" s="663"/>
      <c r="B46" s="663"/>
      <c r="C46" s="663"/>
      <c r="D46" s="663"/>
      <c r="E46" s="663"/>
      <c r="F46" s="664"/>
      <c r="G46" s="663"/>
      <c r="H46" s="663"/>
      <c r="I46" s="601"/>
      <c r="J46" s="663"/>
      <c r="K46" s="663"/>
      <c r="L46" s="663"/>
      <c r="M46" s="663"/>
      <c r="N46" s="663"/>
      <c r="O46" s="663"/>
      <c r="P46" s="663"/>
      <c r="Q46" s="601"/>
      <c r="R46" s="666">
        <f>$A46*Q46</f>
        <v>0</v>
      </c>
      <c r="S46" s="601"/>
      <c r="T46" s="681">
        <f>$A46*S46*$T$1</f>
        <v>0</v>
      </c>
    </row>
    <row r="47" spans="1:41" s="602" customFormat="1" ht="12.6" thickBot="1">
      <c r="A47" s="682" t="s">
        <v>145</v>
      </c>
      <c r="B47" s="683">
        <f>(R46+T46)</f>
        <v>0</v>
      </c>
      <c r="C47" s="684"/>
      <c r="D47" s="684"/>
      <c r="E47" s="684"/>
      <c r="F47" s="685"/>
      <c r="G47" s="684" t="s">
        <v>146</v>
      </c>
      <c r="H47" s="684"/>
      <c r="I47" s="686"/>
      <c r="J47" s="684"/>
      <c r="K47" s="684" t="s">
        <v>10</v>
      </c>
      <c r="L47" s="687" t="s">
        <v>143</v>
      </c>
      <c r="M47" s="687"/>
      <c r="N47" s="687"/>
      <c r="O47" s="687"/>
      <c r="P47" s="687"/>
      <c r="Q47" s="688"/>
      <c r="R47" s="689">
        <f>SUM(R44:R46)</f>
        <v>343.15</v>
      </c>
      <c r="S47" s="684"/>
      <c r="T47" s="689">
        <f>SUM(T44:T46)</f>
        <v>0</v>
      </c>
      <c r="U47" s="611"/>
      <c r="V47" s="611"/>
      <c r="W47" s="611"/>
      <c r="X47" s="611"/>
      <c r="Y47" s="611"/>
      <c r="Z47" s="611"/>
      <c r="AA47" s="611"/>
      <c r="AB47" s="611"/>
      <c r="AC47" s="611"/>
      <c r="AD47" s="611"/>
      <c r="AE47" s="611"/>
      <c r="AF47" s="611"/>
      <c r="AG47" s="611"/>
      <c r="AH47" s="611"/>
      <c r="AI47" s="611"/>
      <c r="AJ47" s="611"/>
      <c r="AK47" s="611"/>
      <c r="AL47" s="611"/>
      <c r="AM47" s="611"/>
      <c r="AN47" s="611"/>
      <c r="AO47" s="611"/>
    </row>
    <row r="48" spans="1:41" s="602" customFormat="1" ht="12" thickTop="1">
      <c r="A48" s="63"/>
      <c r="B48" s="41"/>
      <c r="C48" s="63"/>
      <c r="E48" s="42" t="s">
        <v>138</v>
      </c>
      <c r="F48" s="42" t="s">
        <v>139</v>
      </c>
      <c r="G48" s="63"/>
      <c r="H48" s="63"/>
      <c r="I48" s="63"/>
      <c r="J48" s="63"/>
      <c r="K48" s="63" t="s">
        <v>140</v>
      </c>
      <c r="L48" s="63"/>
      <c r="M48" s="63"/>
      <c r="N48" s="63"/>
      <c r="O48" s="64"/>
      <c r="P48" s="63"/>
      <c r="Q48" s="63"/>
      <c r="R48" s="63"/>
      <c r="S48" s="63"/>
      <c r="T48" s="41"/>
      <c r="AG48" s="667" t="s">
        <v>278</v>
      </c>
      <c r="AH48" s="667" t="s">
        <v>279</v>
      </c>
      <c r="AI48" s="667" t="s">
        <v>280</v>
      </c>
      <c r="AJ48" s="667" t="s">
        <v>281</v>
      </c>
      <c r="AK48" s="667" t="s">
        <v>282</v>
      </c>
      <c r="AM48" s="668" t="s">
        <v>291</v>
      </c>
      <c r="AN48" s="669" t="s">
        <v>292</v>
      </c>
      <c r="AO48" s="603" t="s">
        <v>288</v>
      </c>
    </row>
    <row r="49" spans="1:41" s="602" customFormat="1" ht="12" customHeight="1">
      <c r="A49" s="670">
        <v>1</v>
      </c>
      <c r="B49" s="838" t="s">
        <v>320</v>
      </c>
      <c r="C49" s="672"/>
      <c r="D49" s="673" t="s">
        <v>429</v>
      </c>
      <c r="E49" s="1237">
        <f>IF(AND($A49=0,$A$1="DIF"),0, ROUND(ROUND(($R53*$S$5+($T53*$T$5))/$A49,2)*$C$5,2))</f>
        <v>232.28</v>
      </c>
      <c r="F49" s="1238">
        <f>ROUND($A49*$E49,2)</f>
        <v>232.28</v>
      </c>
      <c r="G49" s="676" t="s">
        <v>142</v>
      </c>
      <c r="H49" s="664"/>
      <c r="I49" s="677"/>
      <c r="J49" s="664"/>
      <c r="K49" s="664" t="s">
        <v>10</v>
      </c>
      <c r="L49" s="678" t="s">
        <v>143</v>
      </c>
      <c r="M49" s="678"/>
      <c r="N49" s="678"/>
      <c r="O49" s="678"/>
      <c r="P49" s="678"/>
      <c r="Q49" s="63"/>
      <c r="T49" s="1242" t="str">
        <f>IF(AND($R53=0,$T53=0),"0.00","mu: "&amp; ROUND(F49/$C$5/($R53+$T53*$D$9),2))</f>
        <v>mu: 1</v>
      </c>
      <c r="W49" s="604"/>
      <c r="AG49" s="1239">
        <f>IF($E49=0,0,ROUND($R53*$S$5*$C$5/$A49,2))</f>
        <v>232.28</v>
      </c>
      <c r="AH49" s="1239">
        <f>$AG49*$A49</f>
        <v>232.28</v>
      </c>
      <c r="AI49" s="1240">
        <f>$E49-$AG49</f>
        <v>0</v>
      </c>
      <c r="AJ49" s="1240">
        <f>$A49*$AI49</f>
        <v>0</v>
      </c>
      <c r="AK49" s="1241">
        <f>ROUND(($AG49+$AI49)*$A49,2)</f>
        <v>232.28</v>
      </c>
      <c r="AM49" s="607">
        <f>ROUND(R53,2)</f>
        <v>232.28</v>
      </c>
      <c r="AN49" s="608">
        <f>ROUND(T53,2)</f>
        <v>0</v>
      </c>
      <c r="AO49" s="609">
        <f>ROUND(AM49+AN49,2)*A49</f>
        <v>232.28</v>
      </c>
    </row>
    <row r="50" spans="1:41" s="602" customFormat="1" ht="39.9" customHeight="1">
      <c r="A50" s="672"/>
      <c r="B50"/>
      <c r="C50" s="672"/>
      <c r="D50" s="1368" t="s">
        <v>1079</v>
      </c>
      <c r="E50" s="1369"/>
      <c r="F50" s="1369"/>
      <c r="G50" s="1369"/>
      <c r="H50" s="1369"/>
      <c r="I50" s="1369"/>
      <c r="J50" s="1369"/>
      <c r="K50" s="1369"/>
      <c r="L50" s="1369"/>
      <c r="M50" s="1369"/>
      <c r="N50" s="1369"/>
      <c r="O50" s="1369"/>
      <c r="P50" s="1369"/>
      <c r="Q50" s="1369"/>
      <c r="R50" s="1369"/>
      <c r="S50" s="1369"/>
      <c r="T50" s="1369"/>
    </row>
    <row r="51" spans="1:41" s="730" customFormat="1" ht="13.2">
      <c r="A51" s="750">
        <v>1</v>
      </c>
      <c r="B51" s="740" t="s">
        <v>312</v>
      </c>
      <c r="C51" s="740"/>
      <c r="D51" s="740" t="s">
        <v>1175</v>
      </c>
      <c r="E51" s="740"/>
      <c r="F51" s="749" t="s">
        <v>1177</v>
      </c>
      <c r="G51" s="741" t="s">
        <v>1176</v>
      </c>
      <c r="H51" s="1002">
        <v>960</v>
      </c>
      <c r="I51" s="740" t="s">
        <v>686</v>
      </c>
      <c r="J51" s="740"/>
      <c r="K51" s="740"/>
      <c r="L51" s="740"/>
      <c r="M51" s="740"/>
      <c r="N51" s="740"/>
      <c r="O51" s="744">
        <v>4</v>
      </c>
      <c r="P51" s="745">
        <v>38594</v>
      </c>
      <c r="Q51" s="746">
        <v>232.28</v>
      </c>
      <c r="R51" s="747">
        <f>$A51*Q51</f>
        <v>232.28</v>
      </c>
      <c r="S51" s="746"/>
      <c r="T51" s="748">
        <f>$A51*S51*$T$1</f>
        <v>0</v>
      </c>
    </row>
    <row r="52" spans="1:41" s="602" customFormat="1" ht="12">
      <c r="A52" s="663"/>
      <c r="B52" s="663"/>
      <c r="C52" s="663"/>
      <c r="D52" s="663"/>
      <c r="E52" s="663"/>
      <c r="F52" s="664"/>
      <c r="G52" s="663"/>
      <c r="H52" s="663"/>
      <c r="I52" s="601"/>
      <c r="J52" s="663"/>
      <c r="K52" s="663"/>
      <c r="L52" s="663"/>
      <c r="M52" s="663"/>
      <c r="N52" s="663"/>
      <c r="O52" s="663"/>
      <c r="P52" s="663"/>
      <c r="Q52" s="601"/>
      <c r="R52" s="666">
        <f>$A52*Q52</f>
        <v>0</v>
      </c>
      <c r="S52" s="601"/>
      <c r="T52" s="681">
        <f>$A52*S52*$T$1</f>
        <v>0</v>
      </c>
    </row>
    <row r="53" spans="1:41" s="602" customFormat="1" ht="12.6" thickBot="1">
      <c r="A53" s="682" t="s">
        <v>145</v>
      </c>
      <c r="B53" s="683">
        <f>(R52+T52)</f>
        <v>0</v>
      </c>
      <c r="C53" s="684"/>
      <c r="D53" s="684"/>
      <c r="E53" s="684"/>
      <c r="F53" s="685"/>
      <c r="G53" s="684" t="s">
        <v>146</v>
      </c>
      <c r="H53" s="684"/>
      <c r="I53" s="686"/>
      <c r="J53" s="684"/>
      <c r="K53" s="684" t="s">
        <v>10</v>
      </c>
      <c r="L53" s="687" t="s">
        <v>143</v>
      </c>
      <c r="M53" s="687"/>
      <c r="N53" s="687"/>
      <c r="O53" s="687"/>
      <c r="P53" s="687"/>
      <c r="Q53" s="688"/>
      <c r="R53" s="689">
        <f>SUM(R50:R52)</f>
        <v>232.28</v>
      </c>
      <c r="S53" s="684"/>
      <c r="T53" s="689">
        <f>SUM(T50:T52)</f>
        <v>0</v>
      </c>
      <c r="U53" s="611"/>
      <c r="V53" s="611"/>
      <c r="W53" s="611"/>
      <c r="X53" s="611"/>
      <c r="Y53" s="611"/>
      <c r="Z53" s="611"/>
      <c r="AA53" s="611"/>
      <c r="AB53" s="611"/>
      <c r="AC53" s="611"/>
      <c r="AD53" s="611"/>
      <c r="AE53" s="611"/>
      <c r="AF53" s="611"/>
      <c r="AG53" s="611"/>
      <c r="AH53" s="611"/>
      <c r="AI53" s="611"/>
      <c r="AJ53" s="611"/>
      <c r="AK53" s="611"/>
      <c r="AL53" s="611"/>
      <c r="AM53" s="611"/>
      <c r="AN53" s="611"/>
      <c r="AO53" s="611"/>
    </row>
    <row r="54" spans="1:41" s="602" customFormat="1" thickTop="1">
      <c r="A54" s="63"/>
      <c r="B54" s="63"/>
      <c r="C54" s="3"/>
      <c r="D54" s="3"/>
      <c r="E54" s="63"/>
      <c r="F54" s="63"/>
      <c r="G54" s="63"/>
      <c r="H54" s="63"/>
      <c r="I54" s="63"/>
      <c r="J54" s="63"/>
      <c r="K54" s="63" t="s">
        <v>134</v>
      </c>
      <c r="L54" s="63"/>
      <c r="M54" s="63"/>
      <c r="N54" s="63"/>
      <c r="O54" s="64"/>
      <c r="P54" s="63"/>
      <c r="Q54" s="63"/>
      <c r="R54" s="63"/>
      <c r="S54" s="63"/>
      <c r="T54" s="63"/>
    </row>
    <row r="55" spans="1:41" s="602" customFormat="1" ht="12">
      <c r="A55" s="63"/>
      <c r="B55" s="63"/>
      <c r="C55" s="63" t="s">
        <v>135</v>
      </c>
      <c r="D55" s="37"/>
      <c r="E55" s="63"/>
      <c r="F55" s="63"/>
      <c r="G55" s="63"/>
      <c r="H55" s="63"/>
      <c r="I55" s="63"/>
      <c r="J55" s="63"/>
      <c r="K55" s="63"/>
      <c r="L55" s="63"/>
      <c r="M55" s="63"/>
      <c r="N55" s="63"/>
      <c r="O55" s="64"/>
      <c r="P55" s="63"/>
      <c r="Q55" s="63"/>
      <c r="R55" s="63"/>
      <c r="S55" s="63"/>
      <c r="T55" s="63"/>
    </row>
    <row r="56" spans="1:41" s="602" customFormat="1" ht="12">
      <c r="A56" s="63"/>
      <c r="B56" s="63"/>
      <c r="C56" s="63"/>
      <c r="D56" s="37" t="s">
        <v>324</v>
      </c>
      <c r="E56" s="63"/>
      <c r="F56" s="63"/>
      <c r="G56" s="63"/>
      <c r="H56" s="63"/>
      <c r="I56" s="63"/>
      <c r="J56" s="63"/>
      <c r="K56" s="63"/>
      <c r="L56" s="63"/>
      <c r="M56" s="63"/>
      <c r="N56" s="63"/>
      <c r="O56" s="64"/>
      <c r="P56" s="63"/>
      <c r="Q56" s="63"/>
      <c r="R56" s="63"/>
      <c r="S56" s="38"/>
      <c r="T56" s="38"/>
    </row>
    <row r="57" spans="1:41" s="3" customFormat="1" thickBot="1">
      <c r="A57" s="611"/>
      <c r="O57" s="158"/>
    </row>
    <row r="58" spans="1:41" s="602" customFormat="1" thickTop="1">
      <c r="A58" s="63"/>
      <c r="B58" s="63"/>
      <c r="C58" s="3"/>
      <c r="D58" s="3"/>
      <c r="E58" s="63"/>
      <c r="F58" s="63"/>
      <c r="G58" s="63"/>
      <c r="H58" s="63"/>
      <c r="I58" s="63"/>
      <c r="J58" s="63"/>
      <c r="K58" s="63" t="s">
        <v>134</v>
      </c>
      <c r="L58" s="63"/>
      <c r="M58" s="63"/>
      <c r="N58" s="63"/>
      <c r="O58" s="64"/>
      <c r="P58" s="63"/>
      <c r="Q58" s="63"/>
      <c r="R58" s="63"/>
      <c r="S58" s="63"/>
      <c r="T58" s="63"/>
    </row>
    <row r="59" spans="1:41" s="602" customFormat="1" ht="12">
      <c r="A59" s="63"/>
      <c r="B59" s="63"/>
      <c r="C59" s="63" t="s">
        <v>135</v>
      </c>
      <c r="D59" s="37" t="s">
        <v>404</v>
      </c>
      <c r="E59" s="63"/>
      <c r="F59" s="63"/>
      <c r="G59" s="63"/>
      <c r="H59" s="63"/>
      <c r="I59" s="63"/>
      <c r="J59" s="63"/>
      <c r="K59" s="63"/>
      <c r="L59" s="63"/>
      <c r="M59" s="63"/>
      <c r="N59" s="63"/>
      <c r="O59" s="64"/>
      <c r="P59" s="63"/>
      <c r="Q59" s="63"/>
      <c r="R59" s="63"/>
      <c r="S59" s="63"/>
      <c r="T59" s="63"/>
    </row>
    <row r="60" spans="1:41" s="602" customFormat="1" ht="39.9" customHeight="1">
      <c r="A60" s="63"/>
      <c r="B60" s="63"/>
      <c r="C60" s="63"/>
      <c r="D60" s="1371" t="s">
        <v>1081</v>
      </c>
      <c r="E60" s="1369"/>
      <c r="F60" s="1369"/>
      <c r="G60" s="1369"/>
      <c r="H60" s="1369"/>
      <c r="I60" s="1369"/>
      <c r="J60" s="1369"/>
      <c r="K60" s="1369"/>
      <c r="L60" s="1369"/>
      <c r="M60" s="1369"/>
      <c r="N60" s="1369"/>
      <c r="O60" s="1369"/>
      <c r="P60" s="1369"/>
      <c r="Q60" s="1369"/>
      <c r="R60" s="1369"/>
      <c r="S60" s="1369"/>
      <c r="T60" s="1369"/>
    </row>
    <row r="61" spans="1:41" s="3" customFormat="1" thickBot="1">
      <c r="A61" s="611"/>
      <c r="O61" s="158"/>
    </row>
    <row r="62" spans="1:41" s="602" customFormat="1" ht="12" thickTop="1">
      <c r="A62" s="63"/>
      <c r="B62" s="41"/>
      <c r="C62" s="63"/>
      <c r="E62" s="42" t="s">
        <v>138</v>
      </c>
      <c r="F62" s="42" t="s">
        <v>139</v>
      </c>
      <c r="G62" s="63"/>
      <c r="H62" s="63"/>
      <c r="I62" s="63"/>
      <c r="J62" s="63"/>
      <c r="K62" s="63" t="s">
        <v>140</v>
      </c>
      <c r="L62" s="63"/>
      <c r="M62" s="63"/>
      <c r="N62" s="63"/>
      <c r="O62" s="64"/>
      <c r="P62" s="63"/>
      <c r="Q62" s="63"/>
      <c r="R62" s="63"/>
      <c r="S62" s="63"/>
      <c r="T62" s="41"/>
      <c r="AG62" s="667" t="s">
        <v>278</v>
      </c>
      <c r="AH62" s="667" t="s">
        <v>279</v>
      </c>
      <c r="AI62" s="667" t="s">
        <v>280</v>
      </c>
      <c r="AJ62" s="667" t="s">
        <v>281</v>
      </c>
      <c r="AK62" s="667" t="s">
        <v>282</v>
      </c>
      <c r="AM62" s="668" t="s">
        <v>291</v>
      </c>
      <c r="AN62" s="669" t="s">
        <v>292</v>
      </c>
      <c r="AO62" s="603" t="s">
        <v>288</v>
      </c>
    </row>
    <row r="63" spans="1:41" s="602" customFormat="1" ht="12" customHeight="1">
      <c r="A63" s="670">
        <v>155</v>
      </c>
      <c r="B63" s="838" t="s">
        <v>326</v>
      </c>
      <c r="C63" s="672"/>
      <c r="D63" s="673" t="s">
        <v>433</v>
      </c>
      <c r="E63" s="1237">
        <f>IF(AND($A63=0,$A$1="DIF"),0, ROUND(ROUND(($R67*$S$5+($T67*$T$5))/$A63,2)*$C$5,2))</f>
        <v>123.09</v>
      </c>
      <c r="F63" s="1238">
        <f>ROUND($A63*$E63,2)</f>
        <v>19078.95</v>
      </c>
      <c r="G63" s="676" t="s">
        <v>142</v>
      </c>
      <c r="H63" s="664"/>
      <c r="I63" s="677"/>
      <c r="J63" s="664"/>
      <c r="K63" s="664" t="s">
        <v>10</v>
      </c>
      <c r="L63" s="678" t="s">
        <v>143</v>
      </c>
      <c r="M63" s="678"/>
      <c r="N63" s="678"/>
      <c r="O63" s="678"/>
      <c r="P63" s="678"/>
      <c r="Q63" s="63"/>
      <c r="T63" s="1242" t="str">
        <f>IF(AND($R67=0,$T67=0),"0.00","mu: "&amp; ROUND(F63/$C$5/($R67+$T67*$D$9),2))</f>
        <v>mu: 1</v>
      </c>
      <c r="W63" s="604"/>
      <c r="AG63" s="1239">
        <f>IF($E63=0,0,ROUND($R67*$S$5*$C$5/$A63,2))</f>
        <v>123.09</v>
      </c>
      <c r="AH63" s="1239">
        <f>$AG63*$A63</f>
        <v>19078.95</v>
      </c>
      <c r="AI63" s="1240">
        <f>$E63-$AG63</f>
        <v>0</v>
      </c>
      <c r="AJ63" s="1240">
        <f>$A63*$AI63</f>
        <v>0</v>
      </c>
      <c r="AK63" s="1241">
        <f>ROUND(($AG63+$AI63)*$A63,2)</f>
        <v>19078.95</v>
      </c>
      <c r="AM63" s="607">
        <f>ROUND(R67,2)</f>
        <v>19078.95</v>
      </c>
      <c r="AN63" s="608">
        <f>ROUND(T67,2)</f>
        <v>0</v>
      </c>
      <c r="AO63" s="609">
        <f>ROUND(AM63+AN63,2)*A63</f>
        <v>2957237.25</v>
      </c>
    </row>
    <row r="64" spans="1:41" s="602" customFormat="1" ht="13.2">
      <c r="A64" s="672"/>
      <c r="B64"/>
      <c r="C64" s="672"/>
      <c r="D64" s="673" t="s">
        <v>325</v>
      </c>
      <c r="F64" s="664"/>
      <c r="G64" s="3"/>
      <c r="H64" s="664"/>
      <c r="I64" s="677"/>
      <c r="J64" s="664"/>
      <c r="K64" s="664" t="s">
        <v>144</v>
      </c>
      <c r="L64" s="664"/>
      <c r="M64" s="664"/>
      <c r="N64" s="664"/>
      <c r="O64" s="664"/>
      <c r="P64" s="664"/>
      <c r="Q64" s="63"/>
      <c r="R64" s="610"/>
      <c r="S64" s="680"/>
      <c r="T64" s="664"/>
    </row>
    <row r="65" spans="1:41" s="730" customFormat="1" ht="13.2">
      <c r="A65" s="750">
        <f>A63</f>
        <v>155</v>
      </c>
      <c r="B65" s="740" t="s">
        <v>312</v>
      </c>
      <c r="C65" s="740"/>
      <c r="D65" s="740" t="s">
        <v>1175</v>
      </c>
      <c r="E65" s="740"/>
      <c r="F65" s="749" t="s">
        <v>1177</v>
      </c>
      <c r="G65" s="741" t="s">
        <v>1176</v>
      </c>
      <c r="H65" s="1002">
        <v>960</v>
      </c>
      <c r="I65" s="740" t="s">
        <v>686</v>
      </c>
      <c r="J65" s="740"/>
      <c r="K65" s="740"/>
      <c r="L65" s="740"/>
      <c r="M65" s="740"/>
      <c r="N65" s="740"/>
      <c r="O65" s="744">
        <v>4</v>
      </c>
      <c r="P65" s="745">
        <v>38594</v>
      </c>
      <c r="Q65" s="746">
        <v>123.09</v>
      </c>
      <c r="R65" s="747">
        <f>$A65*Q65</f>
        <v>19078.95</v>
      </c>
      <c r="S65" s="746"/>
      <c r="T65" s="748">
        <f>$A65*S65*$T$1</f>
        <v>0</v>
      </c>
    </row>
    <row r="66" spans="1:41" s="602" customFormat="1" ht="12">
      <c r="A66" s="663"/>
      <c r="B66" s="663"/>
      <c r="C66" s="663"/>
      <c r="D66" s="663"/>
      <c r="E66" s="663"/>
      <c r="F66" s="664"/>
      <c r="G66" s="663"/>
      <c r="H66" s="663"/>
      <c r="I66" s="601"/>
      <c r="J66" s="663"/>
      <c r="K66" s="663"/>
      <c r="L66" s="663"/>
      <c r="M66" s="663"/>
      <c r="N66" s="663"/>
      <c r="O66" s="663"/>
      <c r="P66" s="663"/>
      <c r="Q66" s="601"/>
      <c r="R66" s="666">
        <f>$A66*Q66</f>
        <v>0</v>
      </c>
      <c r="S66" s="601"/>
      <c r="T66" s="681">
        <f>$A66*S66*$T$1</f>
        <v>0</v>
      </c>
    </row>
    <row r="67" spans="1:41" s="602" customFormat="1" ht="12.6" thickBot="1">
      <c r="A67" s="682" t="s">
        <v>145</v>
      </c>
      <c r="B67" s="683">
        <f>(R66+T66)</f>
        <v>0</v>
      </c>
      <c r="C67" s="684"/>
      <c r="D67" s="684"/>
      <c r="E67" s="684"/>
      <c r="F67" s="685"/>
      <c r="G67" s="684" t="s">
        <v>146</v>
      </c>
      <c r="H67" s="684"/>
      <c r="I67" s="686"/>
      <c r="J67" s="684"/>
      <c r="K67" s="684" t="s">
        <v>10</v>
      </c>
      <c r="L67" s="687" t="s">
        <v>143</v>
      </c>
      <c r="M67" s="687"/>
      <c r="N67" s="687"/>
      <c r="O67" s="687"/>
      <c r="P67" s="687"/>
      <c r="Q67" s="688"/>
      <c r="R67" s="689">
        <f>SUM(R64:R66)</f>
        <v>19078.95</v>
      </c>
      <c r="S67" s="684"/>
      <c r="T67" s="689">
        <f>SUM(T64:T66)</f>
        <v>0</v>
      </c>
      <c r="U67" s="611"/>
      <c r="V67" s="611"/>
      <c r="W67" s="611"/>
      <c r="X67" s="611"/>
      <c r="Y67" s="611"/>
      <c r="Z67" s="611"/>
      <c r="AA67" s="611"/>
      <c r="AB67" s="611"/>
      <c r="AC67" s="611"/>
      <c r="AD67" s="611"/>
      <c r="AE67" s="611"/>
      <c r="AF67" s="611"/>
      <c r="AG67" s="611"/>
      <c r="AH67" s="611"/>
      <c r="AI67" s="611"/>
      <c r="AJ67" s="611"/>
      <c r="AK67" s="611"/>
      <c r="AL67" s="611"/>
      <c r="AM67" s="611"/>
      <c r="AN67" s="611"/>
      <c r="AO67" s="611"/>
    </row>
    <row r="68" spans="1:41" s="602" customFormat="1" thickTop="1">
      <c r="A68" s="63"/>
      <c r="B68" s="63"/>
      <c r="C68" s="3"/>
      <c r="D68" s="3"/>
      <c r="E68" s="63"/>
      <c r="F68" s="63"/>
      <c r="G68" s="63"/>
      <c r="H68" s="63"/>
      <c r="I68" s="63"/>
      <c r="J68" s="63"/>
      <c r="K68" s="63" t="s">
        <v>134</v>
      </c>
      <c r="L68" s="63"/>
      <c r="M68" s="63"/>
      <c r="N68" s="63"/>
      <c r="O68" s="64"/>
      <c r="P68" s="63"/>
      <c r="Q68" s="63"/>
      <c r="R68" s="63"/>
      <c r="S68" s="63"/>
      <c r="T68" s="63"/>
    </row>
    <row r="69" spans="1:41" s="602" customFormat="1" ht="12">
      <c r="A69" s="63"/>
      <c r="B69" s="63"/>
      <c r="C69" s="63" t="s">
        <v>135</v>
      </c>
      <c r="D69" s="37" t="s">
        <v>405</v>
      </c>
      <c r="E69" s="63"/>
      <c r="F69" s="63"/>
      <c r="G69" s="63"/>
      <c r="H69" s="63"/>
      <c r="I69" s="63"/>
      <c r="J69" s="63"/>
      <c r="K69" s="63"/>
      <c r="L69" s="63"/>
      <c r="M69" s="63"/>
      <c r="N69" s="63"/>
      <c r="O69" s="64"/>
      <c r="P69" s="63"/>
      <c r="Q69" s="63"/>
      <c r="R69" s="63"/>
      <c r="S69" s="63"/>
      <c r="T69" s="63"/>
    </row>
    <row r="70" spans="1:41" s="602" customFormat="1" ht="39.9" customHeight="1">
      <c r="A70" s="63"/>
      <c r="B70" s="63"/>
      <c r="C70" s="63"/>
      <c r="D70" s="1371" t="s">
        <v>1082</v>
      </c>
      <c r="E70" s="1369"/>
      <c r="F70" s="1369"/>
      <c r="G70" s="1369"/>
      <c r="H70" s="1369"/>
      <c r="I70" s="1369"/>
      <c r="J70" s="1369"/>
      <c r="K70" s="1369"/>
      <c r="L70" s="1369"/>
      <c r="M70" s="1369"/>
      <c r="N70" s="1369"/>
      <c r="O70" s="1369"/>
      <c r="P70" s="1369"/>
      <c r="Q70" s="1369"/>
      <c r="R70" s="1369"/>
      <c r="S70" s="1369"/>
      <c r="T70" s="1369"/>
    </row>
    <row r="71" spans="1:41" s="3" customFormat="1" thickBot="1">
      <c r="A71" s="611"/>
      <c r="O71" s="158"/>
    </row>
    <row r="72" spans="1:41" s="602" customFormat="1" ht="12" thickTop="1">
      <c r="A72" s="63"/>
      <c r="B72" s="41"/>
      <c r="C72" s="63"/>
      <c r="E72" s="42" t="s">
        <v>138</v>
      </c>
      <c r="F72" s="42" t="s">
        <v>139</v>
      </c>
      <c r="G72" s="63"/>
      <c r="H72" s="63"/>
      <c r="I72" s="63"/>
      <c r="J72" s="63"/>
      <c r="K72" s="63" t="s">
        <v>140</v>
      </c>
      <c r="L72" s="63"/>
      <c r="M72" s="63"/>
      <c r="N72" s="63"/>
      <c r="O72" s="64"/>
      <c r="P72" s="63"/>
      <c r="Q72" s="63"/>
      <c r="R72" s="63"/>
      <c r="S72" s="63"/>
      <c r="T72" s="41"/>
      <c r="AG72" s="667" t="s">
        <v>278</v>
      </c>
      <c r="AH72" s="667" t="s">
        <v>279</v>
      </c>
      <c r="AI72" s="667" t="s">
        <v>280</v>
      </c>
      <c r="AJ72" s="667" t="s">
        <v>281</v>
      </c>
      <c r="AK72" s="667" t="s">
        <v>282</v>
      </c>
      <c r="AM72" s="668" t="s">
        <v>291</v>
      </c>
      <c r="AN72" s="669" t="s">
        <v>292</v>
      </c>
      <c r="AO72" s="603" t="s">
        <v>288</v>
      </c>
    </row>
    <row r="73" spans="1:41" s="602" customFormat="1" ht="12" customHeight="1">
      <c r="A73" s="670">
        <v>4</v>
      </c>
      <c r="B73" s="838" t="s">
        <v>326</v>
      </c>
      <c r="C73" s="672"/>
      <c r="D73" s="673" t="s">
        <v>440</v>
      </c>
      <c r="E73" s="1237">
        <f>IF(AND($A73=0,$A$1="DIF"),0, ROUND(ROUND(($R77*$S$5+($T77*$T$5))/$A73,2)*$C$5,2))</f>
        <v>126.04</v>
      </c>
      <c r="F73" s="1238">
        <f>ROUND($A73*$E73,2)</f>
        <v>504.16</v>
      </c>
      <c r="G73" s="676" t="s">
        <v>142</v>
      </c>
      <c r="H73" s="664"/>
      <c r="I73" s="677"/>
      <c r="J73" s="664"/>
      <c r="K73" s="664" t="s">
        <v>10</v>
      </c>
      <c r="L73" s="678" t="s">
        <v>143</v>
      </c>
      <c r="M73" s="678"/>
      <c r="N73" s="678"/>
      <c r="O73" s="678"/>
      <c r="P73" s="678"/>
      <c r="Q73" s="63"/>
      <c r="T73" s="1242" t="str">
        <f>IF(AND($R77=0,$T77=0),"0.00","mu: "&amp; ROUND(F73/$C$5/($R77+$T77*$D$9),2))</f>
        <v>mu: 1</v>
      </c>
      <c r="W73" s="604"/>
      <c r="AG73" s="1239">
        <f>IF($E73=0,0,ROUND($R77*$S$5*$C$5/$A73,2))</f>
        <v>126.04</v>
      </c>
      <c r="AH73" s="1239">
        <f>$AG73*$A73</f>
        <v>504.16</v>
      </c>
      <c r="AI73" s="1240">
        <f>$E73-$AG73</f>
        <v>0</v>
      </c>
      <c r="AJ73" s="1240">
        <f>$A73*$AI73</f>
        <v>0</v>
      </c>
      <c r="AK73" s="1241">
        <f>ROUND(($AG73+$AI73)*$A73,2)</f>
        <v>504.16</v>
      </c>
      <c r="AM73" s="607">
        <f>ROUND(R77,2)</f>
        <v>504.16</v>
      </c>
      <c r="AN73" s="608">
        <f>ROUND(T77,2)</f>
        <v>0</v>
      </c>
      <c r="AO73" s="609">
        <f>ROUND(AM73+AN73,2)*A73</f>
        <v>2016.64</v>
      </c>
    </row>
    <row r="74" spans="1:41" s="602" customFormat="1" ht="13.2">
      <c r="A74" s="672"/>
      <c r="B74"/>
      <c r="C74" s="672"/>
      <c r="D74" s="673" t="s">
        <v>328</v>
      </c>
      <c r="F74" s="664"/>
      <c r="G74" s="3"/>
      <c r="H74" s="664"/>
      <c r="I74" s="677"/>
      <c r="J74" s="664"/>
      <c r="K74" s="664" t="s">
        <v>144</v>
      </c>
      <c r="L74" s="664"/>
      <c r="M74" s="664"/>
      <c r="N74" s="664"/>
      <c r="O74" s="664"/>
      <c r="P74" s="664"/>
      <c r="Q74" s="63"/>
      <c r="R74" s="610"/>
      <c r="S74" s="680"/>
      <c r="T74" s="664"/>
    </row>
    <row r="75" spans="1:41" s="730" customFormat="1" ht="13.2">
      <c r="A75" s="750">
        <f>A73</f>
        <v>4</v>
      </c>
      <c r="B75" s="740" t="s">
        <v>312</v>
      </c>
      <c r="C75" s="740"/>
      <c r="D75" s="740" t="s">
        <v>1175</v>
      </c>
      <c r="E75" s="740"/>
      <c r="F75" s="749" t="s">
        <v>1177</v>
      </c>
      <c r="G75" s="741" t="s">
        <v>1176</v>
      </c>
      <c r="H75" s="1002">
        <v>960</v>
      </c>
      <c r="I75" s="740" t="s">
        <v>686</v>
      </c>
      <c r="J75" s="740"/>
      <c r="K75" s="740"/>
      <c r="L75" s="740"/>
      <c r="M75" s="740"/>
      <c r="N75" s="740"/>
      <c r="O75" s="744">
        <v>4</v>
      </c>
      <c r="P75" s="745">
        <v>38594</v>
      </c>
      <c r="Q75" s="746">
        <v>126.04</v>
      </c>
      <c r="R75" s="747">
        <f t="shared" ref="R75:R76" si="0">$A75*Q75</f>
        <v>504.16</v>
      </c>
      <c r="S75" s="746"/>
      <c r="T75" s="748">
        <f t="shared" ref="T75:T76" si="1">$A75*S75*$T$1</f>
        <v>0</v>
      </c>
    </row>
    <row r="76" spans="1:41" s="602" customFormat="1" ht="12">
      <c r="A76" s="663"/>
      <c r="B76" s="663"/>
      <c r="C76" s="663"/>
      <c r="D76" s="663"/>
      <c r="E76" s="663"/>
      <c r="F76" s="664"/>
      <c r="G76" s="663"/>
      <c r="H76" s="663"/>
      <c r="I76" s="601"/>
      <c r="J76" s="663"/>
      <c r="K76" s="663"/>
      <c r="L76" s="663"/>
      <c r="M76" s="663"/>
      <c r="N76" s="663"/>
      <c r="O76" s="663"/>
      <c r="P76" s="663"/>
      <c r="Q76" s="601"/>
      <c r="R76" s="666">
        <f t="shared" si="0"/>
        <v>0</v>
      </c>
      <c r="S76" s="601"/>
      <c r="T76" s="681">
        <f t="shared" si="1"/>
        <v>0</v>
      </c>
    </row>
    <row r="77" spans="1:41" s="602" customFormat="1" ht="12.6" thickBot="1">
      <c r="A77" s="682" t="s">
        <v>145</v>
      </c>
      <c r="B77" s="683">
        <f>(R76+T76)</f>
        <v>0</v>
      </c>
      <c r="C77" s="684"/>
      <c r="D77" s="684"/>
      <c r="E77" s="684"/>
      <c r="F77" s="685"/>
      <c r="G77" s="684" t="s">
        <v>146</v>
      </c>
      <c r="H77" s="684"/>
      <c r="I77" s="686"/>
      <c r="J77" s="684"/>
      <c r="K77" s="684" t="s">
        <v>10</v>
      </c>
      <c r="L77" s="687" t="s">
        <v>143</v>
      </c>
      <c r="M77" s="687"/>
      <c r="N77" s="687"/>
      <c r="O77" s="687"/>
      <c r="P77" s="687"/>
      <c r="Q77" s="688"/>
      <c r="R77" s="689">
        <f>SUM(R74:R76)</f>
        <v>504.16</v>
      </c>
      <c r="S77" s="684"/>
      <c r="T77" s="689">
        <f>SUM(T74:T76)</f>
        <v>0</v>
      </c>
      <c r="U77" s="611"/>
      <c r="V77" s="611"/>
      <c r="W77" s="611"/>
      <c r="X77" s="611"/>
      <c r="Y77" s="611"/>
      <c r="Z77" s="611"/>
      <c r="AA77" s="611"/>
      <c r="AB77" s="611"/>
      <c r="AC77" s="611"/>
      <c r="AD77" s="611"/>
      <c r="AE77" s="611"/>
      <c r="AF77" s="611"/>
      <c r="AG77" s="611"/>
      <c r="AH77" s="611"/>
      <c r="AI77" s="611"/>
      <c r="AJ77" s="611"/>
      <c r="AK77" s="611"/>
      <c r="AL77" s="611"/>
      <c r="AM77" s="611"/>
      <c r="AN77" s="611"/>
      <c r="AO77" s="611"/>
    </row>
    <row r="78" spans="1:41" s="602" customFormat="1" ht="12" thickTop="1">
      <c r="A78" s="51" t="s">
        <v>154</v>
      </c>
      <c r="D78" s="13"/>
      <c r="E78" s="42"/>
      <c r="O78" s="698"/>
    </row>
    <row r="79" spans="1:41" s="602" customFormat="1" ht="13.2">
      <c r="B79" s="3"/>
      <c r="O79" s="698"/>
    </row>
    <row r="80" spans="1:41" s="602" customFormat="1" ht="12">
      <c r="B80" s="699">
        <f>$F80/$C$2-($R80*$S$2+$T80*$T$2)</f>
        <v>-6907.8144400498677</v>
      </c>
      <c r="D80" s="700" t="s">
        <v>414</v>
      </c>
      <c r="E80" s="701"/>
      <c r="F80" s="702">
        <f>SUMIF($L14:$L78,"ITEM",F14:F78)</f>
        <v>21380.670000000002</v>
      </c>
      <c r="G80" s="663"/>
      <c r="H80" s="663"/>
      <c r="I80" s="601"/>
      <c r="J80" s="663"/>
      <c r="K80" s="663"/>
      <c r="L80" s="678" t="s">
        <v>166</v>
      </c>
      <c r="M80" s="678"/>
      <c r="N80" s="678"/>
      <c r="O80" s="678"/>
      <c r="P80" s="678"/>
      <c r="R80" s="702">
        <f>SUMIF($L14:$L78,"ITEM",R14:R78)</f>
        <v>21380.670000000002</v>
      </c>
      <c r="S80" s="71"/>
      <c r="T80" s="702">
        <f>SUMIF($L14:$L78,"ITEM",T14:T78)</f>
        <v>0</v>
      </c>
    </row>
    <row r="81" spans="1:41" s="602" customFormat="1" ht="13.2">
      <c r="A81" s="63"/>
      <c r="B81" s="55" t="s">
        <v>413</v>
      </c>
      <c r="C81" s="63"/>
      <c r="D81" s="3"/>
      <c r="F81" s="703" t="s">
        <v>168</v>
      </c>
      <c r="G81" s="663"/>
      <c r="H81" s="663"/>
      <c r="I81" s="601"/>
      <c r="J81" s="663"/>
      <c r="K81" s="663"/>
      <c r="L81" s="663"/>
      <c r="M81" s="663"/>
      <c r="N81" s="663"/>
      <c r="O81" s="663"/>
      <c r="P81" s="663"/>
      <c r="Q81" s="665"/>
      <c r="R81" s="703" t="s">
        <v>169</v>
      </c>
      <c r="S81" s="38"/>
      <c r="T81" s="703" t="s">
        <v>170</v>
      </c>
    </row>
    <row r="82" spans="1:41" s="602" customFormat="1" ht="13.2">
      <c r="A82" s="663"/>
      <c r="B82" s="3"/>
      <c r="C82" s="663"/>
      <c r="D82" s="3"/>
      <c r="E82" s="3"/>
      <c r="G82" s="3"/>
      <c r="H82" s="3"/>
      <c r="I82" s="3"/>
      <c r="J82" s="3"/>
      <c r="K82" s="3"/>
      <c r="L82" s="3"/>
      <c r="M82" s="3"/>
      <c r="N82" s="3"/>
      <c r="O82" s="158"/>
      <c r="P82" s="3"/>
      <c r="Q82" s="3"/>
      <c r="R82" s="3"/>
      <c r="S82" s="3"/>
      <c r="T82" s="3"/>
    </row>
    <row r="83" spans="1:41" s="602" customFormat="1" ht="12" thickBot="1">
      <c r="A83" s="611"/>
      <c r="B83" s="684"/>
      <c r="C83" s="684"/>
      <c r="D83" s="611"/>
      <c r="E83" s="39"/>
      <c r="F83" s="704"/>
      <c r="G83" s="684"/>
      <c r="H83" s="684"/>
      <c r="I83" s="686"/>
      <c r="J83" s="684"/>
      <c r="K83" s="684"/>
      <c r="L83" s="687"/>
      <c r="M83" s="687"/>
      <c r="N83" s="687"/>
      <c r="O83" s="687"/>
      <c r="P83" s="687"/>
      <c r="Q83" s="688"/>
      <c r="R83" s="704"/>
      <c r="S83" s="705"/>
      <c r="T83" s="704"/>
      <c r="U83" s="611"/>
      <c r="V83" s="611"/>
      <c r="W83" s="611"/>
      <c r="X83" s="611"/>
      <c r="Y83" s="611"/>
      <c r="Z83" s="611"/>
      <c r="AA83" s="611"/>
      <c r="AB83" s="611"/>
      <c r="AC83" s="611"/>
      <c r="AD83" s="611"/>
      <c r="AE83" s="611"/>
      <c r="AF83" s="611"/>
      <c r="AG83" s="611"/>
      <c r="AH83" s="611"/>
      <c r="AI83" s="611"/>
      <c r="AJ83" s="611"/>
      <c r="AK83" s="611"/>
    </row>
    <row r="84" spans="1:41" s="602" customFormat="1" thickTop="1">
      <c r="A84" s="63"/>
      <c r="B84" s="63"/>
      <c r="C84" s="3"/>
      <c r="D84" s="3"/>
      <c r="E84" s="63"/>
      <c r="F84" s="63"/>
      <c r="G84" s="63"/>
      <c r="H84" s="63"/>
      <c r="I84" s="63"/>
      <c r="J84" s="63"/>
      <c r="K84" s="63" t="s">
        <v>134</v>
      </c>
      <c r="L84" s="63"/>
      <c r="M84" s="63"/>
      <c r="N84" s="63"/>
      <c r="O84" s="64"/>
      <c r="P84" s="63"/>
      <c r="Q84" s="63"/>
      <c r="R84" s="63"/>
      <c r="S84" s="63"/>
      <c r="T84" s="63"/>
    </row>
    <row r="85" spans="1:41" s="602" customFormat="1" ht="12">
      <c r="A85" s="63"/>
      <c r="B85" s="63"/>
      <c r="C85" s="63" t="s">
        <v>135</v>
      </c>
      <c r="D85" s="37"/>
      <c r="E85" s="63"/>
      <c r="F85" s="63"/>
      <c r="G85" s="63"/>
      <c r="H85" s="63"/>
      <c r="I85" s="63"/>
      <c r="J85" s="63"/>
      <c r="K85" s="63"/>
      <c r="L85" s="63"/>
      <c r="M85" s="63"/>
      <c r="N85" s="63"/>
      <c r="O85" s="64"/>
      <c r="P85" s="63"/>
      <c r="Q85" s="63"/>
      <c r="R85" s="63"/>
      <c r="S85" s="63"/>
      <c r="T85" s="63"/>
    </row>
    <row r="86" spans="1:41" s="602" customFormat="1" ht="12">
      <c r="A86" s="63"/>
      <c r="B86" s="63"/>
      <c r="C86" s="63"/>
      <c r="D86" s="37" t="s">
        <v>451</v>
      </c>
      <c r="E86" s="63"/>
      <c r="F86" s="63"/>
      <c r="G86" s="63"/>
      <c r="H86" s="63"/>
      <c r="I86" s="63"/>
      <c r="J86" s="63"/>
      <c r="K86" s="63"/>
      <c r="L86" s="63"/>
      <c r="M86" s="63"/>
      <c r="N86" s="63"/>
      <c r="O86" s="64"/>
      <c r="P86" s="63"/>
      <c r="Q86" s="63"/>
      <c r="R86" s="63"/>
      <c r="S86" s="38"/>
      <c r="T86" s="38"/>
    </row>
    <row r="87" spans="1:41" s="3" customFormat="1" thickBot="1">
      <c r="A87" s="611"/>
      <c r="O87" s="158"/>
    </row>
    <row r="88" spans="1:41" s="602" customFormat="1" thickTop="1">
      <c r="A88" s="63"/>
      <c r="B88" s="63"/>
      <c r="C88" s="3"/>
      <c r="D88" s="3"/>
      <c r="E88" s="63"/>
      <c r="F88" s="63"/>
      <c r="G88" s="63"/>
      <c r="H88" s="63"/>
      <c r="I88" s="63"/>
      <c r="J88" s="63"/>
      <c r="K88" s="63" t="s">
        <v>134</v>
      </c>
      <c r="L88" s="63"/>
      <c r="M88" s="63"/>
      <c r="N88" s="63"/>
      <c r="O88" s="64"/>
      <c r="P88" s="63"/>
      <c r="Q88" s="63"/>
      <c r="R88" s="63"/>
      <c r="S88" s="63"/>
      <c r="T88" s="63"/>
    </row>
    <row r="89" spans="1:41" s="602" customFormat="1" ht="12">
      <c r="A89" s="63"/>
      <c r="B89" s="63"/>
      <c r="C89" s="63" t="s">
        <v>135</v>
      </c>
      <c r="D89" s="37" t="s">
        <v>406</v>
      </c>
      <c r="E89" s="63"/>
      <c r="F89" s="63"/>
      <c r="G89" s="63"/>
      <c r="H89" s="63"/>
      <c r="I89" s="63"/>
      <c r="J89" s="63"/>
      <c r="K89" s="63"/>
      <c r="L89" s="63"/>
      <c r="M89" s="63"/>
      <c r="N89" s="63"/>
      <c r="O89" s="64"/>
      <c r="P89" s="63"/>
      <c r="Q89" s="63"/>
      <c r="R89" s="63"/>
      <c r="S89" s="63"/>
      <c r="T89" s="63"/>
    </row>
    <row r="90" spans="1:41" s="602" customFormat="1" ht="39.9" customHeight="1">
      <c r="A90" s="63"/>
      <c r="B90" s="63"/>
      <c r="C90" s="63"/>
      <c r="D90" s="1371" t="s">
        <v>1083</v>
      </c>
      <c r="E90" s="1369"/>
      <c r="F90" s="1369"/>
      <c r="G90" s="1369"/>
      <c r="H90" s="1369"/>
      <c r="I90" s="1369"/>
      <c r="J90" s="1369"/>
      <c r="K90" s="1369"/>
      <c r="L90" s="1369"/>
      <c r="M90" s="1369"/>
      <c r="N90" s="1369"/>
      <c r="O90" s="1369"/>
      <c r="P90" s="1369"/>
      <c r="Q90" s="1369"/>
      <c r="R90" s="1369"/>
      <c r="S90" s="1369"/>
      <c r="T90" s="1369"/>
    </row>
    <row r="91" spans="1:41" s="3" customFormat="1" thickBot="1">
      <c r="A91" s="611"/>
      <c r="O91" s="158"/>
    </row>
    <row r="92" spans="1:41" s="602" customFormat="1" ht="12" thickTop="1">
      <c r="A92" s="63"/>
      <c r="B92" s="41"/>
      <c r="C92" s="63"/>
      <c r="E92" s="42" t="s">
        <v>138</v>
      </c>
      <c r="F92" s="42" t="s">
        <v>139</v>
      </c>
      <c r="G92" s="63"/>
      <c r="H92" s="63"/>
      <c r="I92" s="63"/>
      <c r="J92" s="63"/>
      <c r="K92" s="63" t="s">
        <v>140</v>
      </c>
      <c r="L92" s="63"/>
      <c r="M92" s="63"/>
      <c r="N92" s="63"/>
      <c r="O92" s="64"/>
      <c r="P92" s="63"/>
      <c r="Q92" s="63"/>
      <c r="R92" s="63"/>
      <c r="S92" s="63"/>
      <c r="T92" s="41"/>
      <c r="AG92" s="667" t="s">
        <v>278</v>
      </c>
      <c r="AH92" s="667" t="s">
        <v>279</v>
      </c>
      <c r="AI92" s="667" t="s">
        <v>280</v>
      </c>
      <c r="AJ92" s="667" t="s">
        <v>281</v>
      </c>
      <c r="AK92" s="667" t="s">
        <v>282</v>
      </c>
      <c r="AM92" s="668" t="s">
        <v>291</v>
      </c>
      <c r="AN92" s="669" t="s">
        <v>292</v>
      </c>
      <c r="AO92" s="603" t="s">
        <v>288</v>
      </c>
    </row>
    <row r="93" spans="1:41" s="602" customFormat="1" ht="12" customHeight="1">
      <c r="A93" s="670">
        <v>160</v>
      </c>
      <c r="B93" s="838" t="s">
        <v>330</v>
      </c>
      <c r="C93" s="672"/>
      <c r="D93" s="673" t="s">
        <v>444</v>
      </c>
      <c r="E93" s="1237">
        <f>IF(AND($A93=0,$A$1="DIF"),0, ROUND(ROUND(($R97*$S$5+($T97*$T$5))/$A93,2)*$C$5,2))</f>
        <v>745.77</v>
      </c>
      <c r="F93" s="1238">
        <f>ROUND($A93*$E93,2)</f>
        <v>119323.2</v>
      </c>
      <c r="G93" s="676" t="s">
        <v>142</v>
      </c>
      <c r="H93" s="664"/>
      <c r="I93" s="677"/>
      <c r="J93" s="664"/>
      <c r="K93" s="664" t="s">
        <v>10</v>
      </c>
      <c r="L93" s="678" t="s">
        <v>143</v>
      </c>
      <c r="M93" s="678"/>
      <c r="N93" s="678"/>
      <c r="O93" s="678"/>
      <c r="P93" s="678"/>
      <c r="Q93" s="63"/>
      <c r="T93" s="1242" t="str">
        <f>IF(AND($R97=0,$T97=0),"0.00","mu: "&amp; ROUND(F93/$C$5/($R97+$T97*$D$9),2))</f>
        <v>mu: 1</v>
      </c>
      <c r="W93" s="604"/>
      <c r="AG93" s="1239">
        <f>IF($E93=0,0,ROUND($R97*$S$5*$C$5/$A93,2))</f>
        <v>745.77</v>
      </c>
      <c r="AH93" s="1239">
        <f>$AG93*$A93</f>
        <v>119323.2</v>
      </c>
      <c r="AI93" s="1240">
        <f>$E93-$AG93</f>
        <v>0</v>
      </c>
      <c r="AJ93" s="1240">
        <f>$A93*$AI93</f>
        <v>0</v>
      </c>
      <c r="AK93" s="1241">
        <f>ROUND(($AG93+$AI93)*$A93,2)</f>
        <v>119323.2</v>
      </c>
      <c r="AM93" s="607">
        <f>ROUND(R97,2)</f>
        <v>119323.2</v>
      </c>
      <c r="AN93" s="608">
        <f>ROUND(T97,2)</f>
        <v>0</v>
      </c>
      <c r="AO93" s="609">
        <f>ROUND(AM93+AN93,2)*A93</f>
        <v>19091712</v>
      </c>
    </row>
    <row r="94" spans="1:41" s="602" customFormat="1" ht="39.9" customHeight="1">
      <c r="A94" s="672"/>
      <c r="B94"/>
      <c r="C94" s="672"/>
      <c r="D94" s="1368" t="s">
        <v>1178</v>
      </c>
      <c r="E94" s="1369"/>
      <c r="F94" s="1369"/>
      <c r="G94" s="1369"/>
      <c r="H94" s="1369"/>
      <c r="I94" s="1369"/>
      <c r="J94" s="1369"/>
      <c r="K94" s="1369"/>
      <c r="L94" s="1369"/>
      <c r="M94" s="1369"/>
      <c r="N94" s="1369"/>
      <c r="O94" s="1369"/>
      <c r="P94" s="1369"/>
      <c r="Q94" s="1369"/>
      <c r="R94" s="1369"/>
      <c r="S94" s="1369"/>
      <c r="T94" s="1369"/>
    </row>
    <row r="95" spans="1:41" s="730" customFormat="1" ht="13.2">
      <c r="A95" s="750">
        <f>A93</f>
        <v>160</v>
      </c>
      <c r="B95" s="740" t="s">
        <v>312</v>
      </c>
      <c r="C95" s="740"/>
      <c r="D95" s="740" t="s">
        <v>1175</v>
      </c>
      <c r="E95" s="740"/>
      <c r="F95" s="749" t="s">
        <v>1177</v>
      </c>
      <c r="G95" s="741" t="s">
        <v>1176</v>
      </c>
      <c r="H95" s="1002">
        <v>960</v>
      </c>
      <c r="I95" s="740" t="s">
        <v>686</v>
      </c>
      <c r="J95" s="740"/>
      <c r="K95" s="740"/>
      <c r="L95" s="740"/>
      <c r="M95" s="740"/>
      <c r="N95" s="740"/>
      <c r="O95" s="744">
        <v>4</v>
      </c>
      <c r="P95" s="745">
        <v>38594</v>
      </c>
      <c r="Q95" s="746">
        <v>745.77</v>
      </c>
      <c r="R95" s="747">
        <f>$A95*Q95</f>
        <v>119323.2</v>
      </c>
      <c r="S95" s="746"/>
      <c r="T95" s="748">
        <f>$A95*S95*$T$1</f>
        <v>0</v>
      </c>
    </row>
    <row r="96" spans="1:41" s="602" customFormat="1" ht="12">
      <c r="A96" s="663"/>
      <c r="B96" s="663"/>
      <c r="C96" s="663"/>
      <c r="D96" s="663"/>
      <c r="E96" s="663"/>
      <c r="F96" s="664"/>
      <c r="G96" s="663"/>
      <c r="H96" s="663"/>
      <c r="I96" s="601"/>
      <c r="J96" s="663"/>
      <c r="K96" s="663"/>
      <c r="L96" s="663"/>
      <c r="M96" s="663"/>
      <c r="N96" s="663"/>
      <c r="O96" s="663"/>
      <c r="P96" s="663"/>
      <c r="Q96" s="601"/>
      <c r="R96" s="666">
        <f>$A96*Q96</f>
        <v>0</v>
      </c>
      <c r="S96" s="601"/>
      <c r="T96" s="681">
        <f>$A96*S96*$T$1</f>
        <v>0</v>
      </c>
    </row>
    <row r="97" spans="1:41" s="602" customFormat="1" ht="12.6" thickBot="1">
      <c r="A97" s="682" t="s">
        <v>145</v>
      </c>
      <c r="B97" s="683">
        <f>(R96+T96)</f>
        <v>0</v>
      </c>
      <c r="C97" s="684"/>
      <c r="D97" s="684"/>
      <c r="E97" s="684"/>
      <c r="F97" s="685"/>
      <c r="G97" s="684" t="s">
        <v>146</v>
      </c>
      <c r="H97" s="684"/>
      <c r="I97" s="686"/>
      <c r="J97" s="684"/>
      <c r="K97" s="684" t="s">
        <v>10</v>
      </c>
      <c r="L97" s="687" t="s">
        <v>143</v>
      </c>
      <c r="M97" s="687"/>
      <c r="N97" s="687"/>
      <c r="O97" s="687"/>
      <c r="P97" s="687"/>
      <c r="Q97" s="688"/>
      <c r="R97" s="689">
        <f>SUM(R94:R96)</f>
        <v>119323.2</v>
      </c>
      <c r="S97" s="684"/>
      <c r="T97" s="689">
        <f>SUM(T94:T96)</f>
        <v>0</v>
      </c>
      <c r="U97" s="611"/>
      <c r="V97" s="611"/>
      <c r="W97" s="611"/>
      <c r="X97" s="611"/>
      <c r="Y97" s="611"/>
      <c r="Z97" s="611"/>
      <c r="AA97" s="611"/>
      <c r="AB97" s="611"/>
      <c r="AC97" s="611"/>
      <c r="AD97" s="611"/>
      <c r="AE97" s="611"/>
      <c r="AF97" s="611"/>
      <c r="AG97" s="611"/>
      <c r="AH97" s="611"/>
      <c r="AI97" s="611"/>
      <c r="AJ97" s="611"/>
      <c r="AK97" s="611"/>
      <c r="AL97" s="611"/>
      <c r="AM97" s="611"/>
      <c r="AN97" s="611"/>
      <c r="AO97" s="611"/>
    </row>
    <row r="98" spans="1:41" s="602" customFormat="1" ht="12" thickTop="1">
      <c r="A98" s="63"/>
      <c r="B98" s="41"/>
      <c r="C98" s="63"/>
      <c r="E98" s="42" t="s">
        <v>138</v>
      </c>
      <c r="F98" s="42" t="s">
        <v>139</v>
      </c>
      <c r="G98" s="63"/>
      <c r="H98" s="63"/>
      <c r="I98" s="63"/>
      <c r="J98" s="63"/>
      <c r="K98" s="63" t="s">
        <v>140</v>
      </c>
      <c r="L98" s="63"/>
      <c r="M98" s="63"/>
      <c r="N98" s="63"/>
      <c r="O98" s="64"/>
      <c r="P98" s="63"/>
      <c r="Q98" s="63"/>
      <c r="R98" s="63"/>
      <c r="S98" s="63"/>
      <c r="T98" s="41"/>
      <c r="AG98" s="667" t="s">
        <v>278</v>
      </c>
      <c r="AH98" s="667" t="s">
        <v>279</v>
      </c>
      <c r="AI98" s="667" t="s">
        <v>280</v>
      </c>
      <c r="AJ98" s="667" t="s">
        <v>281</v>
      </c>
      <c r="AK98" s="667" t="s">
        <v>282</v>
      </c>
      <c r="AM98" s="668" t="s">
        <v>291</v>
      </c>
      <c r="AN98" s="669" t="s">
        <v>292</v>
      </c>
      <c r="AO98" s="603" t="s">
        <v>288</v>
      </c>
    </row>
    <row r="99" spans="1:41" s="602" customFormat="1" ht="12" customHeight="1">
      <c r="A99" s="670">
        <v>12</v>
      </c>
      <c r="B99" s="838" t="s">
        <v>330</v>
      </c>
      <c r="C99" s="672"/>
      <c r="D99" s="673" t="s">
        <v>445</v>
      </c>
      <c r="E99" s="1237">
        <f>IF(AND($A99=0,$A$1="DIF"),0, ROUND(ROUND(($R103*$S$5+($T103*$T$5))/$A99,2)*$C$5,2))</f>
        <v>153.33000000000001</v>
      </c>
      <c r="F99" s="1238">
        <f>ROUND($A99*$E99,2)</f>
        <v>1839.96</v>
      </c>
      <c r="G99" s="676" t="s">
        <v>142</v>
      </c>
      <c r="H99" s="664"/>
      <c r="I99" s="677"/>
      <c r="J99" s="664"/>
      <c r="K99" s="664" t="s">
        <v>10</v>
      </c>
      <c r="L99" s="678" t="s">
        <v>143</v>
      </c>
      <c r="M99" s="678"/>
      <c r="N99" s="678"/>
      <c r="O99" s="678"/>
      <c r="P99" s="678"/>
      <c r="Q99" s="63"/>
      <c r="T99" s="1242" t="str">
        <f>IF(AND($R103=0,$T103=0),"0.00","mu: "&amp; ROUND(F99/$C$5/($R103+$T103*$D$9),2))</f>
        <v>mu: 1</v>
      </c>
      <c r="W99" s="604"/>
      <c r="AG99" s="1239">
        <f>IF($E99=0,0,ROUND($R103*$S$5*$C$5/$A99,2))</f>
        <v>153.33000000000001</v>
      </c>
      <c r="AH99" s="1239">
        <f>$AG99*$A99</f>
        <v>1839.96</v>
      </c>
      <c r="AI99" s="1240">
        <f>$E99-$AG99</f>
        <v>0</v>
      </c>
      <c r="AJ99" s="1240">
        <f>$A99*$AI99</f>
        <v>0</v>
      </c>
      <c r="AK99" s="1241">
        <f>ROUND(($AG99+$AI99)*$A99,2)</f>
        <v>1839.96</v>
      </c>
      <c r="AM99" s="607">
        <f>ROUND(R103,2)</f>
        <v>1839.96</v>
      </c>
      <c r="AN99" s="608">
        <f>ROUND(T103,2)</f>
        <v>0</v>
      </c>
      <c r="AO99" s="609">
        <f>ROUND(AM99+AN99,2)*A99</f>
        <v>22079.52</v>
      </c>
    </row>
    <row r="100" spans="1:41" s="602" customFormat="1" ht="13.2">
      <c r="A100" s="672"/>
      <c r="B100"/>
      <c r="C100" s="672"/>
      <c r="D100" s="673" t="s">
        <v>1179</v>
      </c>
      <c r="F100" s="664"/>
      <c r="G100" s="3"/>
      <c r="H100" s="664"/>
      <c r="I100" s="677"/>
      <c r="J100" s="664"/>
      <c r="K100" s="664" t="s">
        <v>144</v>
      </c>
      <c r="L100" s="664"/>
      <c r="M100" s="664"/>
      <c r="N100" s="664"/>
      <c r="O100" s="664"/>
      <c r="P100" s="664"/>
      <c r="Q100" s="63"/>
      <c r="R100" s="610"/>
      <c r="S100" s="680"/>
      <c r="T100" s="664"/>
    </row>
    <row r="101" spans="1:41" s="730" customFormat="1" ht="13.2">
      <c r="A101" s="750">
        <f>A99</f>
        <v>12</v>
      </c>
      <c r="B101" s="740" t="s">
        <v>312</v>
      </c>
      <c r="C101" s="740"/>
      <c r="D101" s="740" t="s">
        <v>1175</v>
      </c>
      <c r="E101" s="740"/>
      <c r="F101" s="749" t="s">
        <v>1177</v>
      </c>
      <c r="G101" s="741" t="s">
        <v>1176</v>
      </c>
      <c r="H101" s="1002">
        <v>960</v>
      </c>
      <c r="I101" s="740" t="s">
        <v>686</v>
      </c>
      <c r="J101" s="740"/>
      <c r="K101" s="740"/>
      <c r="L101" s="740"/>
      <c r="M101" s="740"/>
      <c r="N101" s="740"/>
      <c r="O101" s="744">
        <v>4</v>
      </c>
      <c r="P101" s="745">
        <v>38594</v>
      </c>
      <c r="Q101" s="746">
        <v>153.33000000000001</v>
      </c>
      <c r="R101" s="747">
        <f>$A101*Q101</f>
        <v>1839.96</v>
      </c>
      <c r="S101" s="746"/>
      <c r="T101" s="748">
        <f>$A101*S101*$T$1</f>
        <v>0</v>
      </c>
    </row>
    <row r="102" spans="1:41" s="602" customFormat="1" ht="12">
      <c r="A102" s="663"/>
      <c r="B102" s="663"/>
      <c r="C102" s="663"/>
      <c r="D102" s="663"/>
      <c r="E102" s="663"/>
      <c r="F102" s="664"/>
      <c r="G102" s="663"/>
      <c r="H102" s="663"/>
      <c r="I102" s="601"/>
      <c r="J102" s="663"/>
      <c r="K102" s="663"/>
      <c r="L102" s="663"/>
      <c r="M102" s="663"/>
      <c r="N102" s="663"/>
      <c r="O102" s="663"/>
      <c r="P102" s="663"/>
      <c r="Q102" s="601"/>
      <c r="R102" s="666">
        <f>$A102*Q102</f>
        <v>0</v>
      </c>
      <c r="S102" s="601"/>
      <c r="T102" s="681">
        <f>$A102*S102*$T$1</f>
        <v>0</v>
      </c>
    </row>
    <row r="103" spans="1:41" s="602" customFormat="1" ht="12.6" thickBot="1">
      <c r="A103" s="682" t="s">
        <v>145</v>
      </c>
      <c r="B103" s="683">
        <f>(R102+T102)</f>
        <v>0</v>
      </c>
      <c r="C103" s="684"/>
      <c r="D103" s="684"/>
      <c r="E103" s="684"/>
      <c r="F103" s="685"/>
      <c r="G103" s="684" t="s">
        <v>146</v>
      </c>
      <c r="H103" s="684"/>
      <c r="I103" s="686"/>
      <c r="J103" s="684"/>
      <c r="K103" s="684" t="s">
        <v>10</v>
      </c>
      <c r="L103" s="687" t="s">
        <v>143</v>
      </c>
      <c r="M103" s="687"/>
      <c r="N103" s="687"/>
      <c r="O103" s="687"/>
      <c r="P103" s="687"/>
      <c r="Q103" s="688"/>
      <c r="R103" s="689">
        <f>SUM(R100:R102)</f>
        <v>1839.96</v>
      </c>
      <c r="S103" s="684"/>
      <c r="T103" s="689">
        <f>SUM(T100:T102)</f>
        <v>0</v>
      </c>
      <c r="U103" s="611"/>
      <c r="V103" s="611"/>
      <c r="W103" s="611"/>
      <c r="X103" s="611"/>
      <c r="Y103" s="611"/>
      <c r="Z103" s="611"/>
      <c r="AA103" s="611"/>
      <c r="AB103" s="611"/>
      <c r="AC103" s="611"/>
      <c r="AD103" s="611"/>
      <c r="AE103" s="611"/>
      <c r="AF103" s="611"/>
      <c r="AG103" s="611"/>
      <c r="AH103" s="611"/>
      <c r="AI103" s="611"/>
      <c r="AJ103" s="611"/>
      <c r="AK103" s="611"/>
      <c r="AL103" s="611"/>
      <c r="AM103" s="611"/>
      <c r="AN103" s="611"/>
      <c r="AO103" s="611"/>
    </row>
    <row r="104" spans="1:41" s="602" customFormat="1" ht="12" thickTop="1">
      <c r="A104" s="63"/>
      <c r="B104" s="41"/>
      <c r="C104" s="63"/>
      <c r="E104" s="42" t="s">
        <v>138</v>
      </c>
      <c r="F104" s="42" t="s">
        <v>139</v>
      </c>
      <c r="G104" s="63"/>
      <c r="H104" s="63"/>
      <c r="I104" s="63"/>
      <c r="J104" s="63"/>
      <c r="K104" s="63" t="s">
        <v>140</v>
      </c>
      <c r="L104" s="63"/>
      <c r="M104" s="63"/>
      <c r="N104" s="63"/>
      <c r="O104" s="64"/>
      <c r="P104" s="63"/>
      <c r="Q104" s="63"/>
      <c r="R104" s="63"/>
      <c r="S104" s="63"/>
      <c r="T104" s="41"/>
      <c r="AG104" s="667" t="s">
        <v>278</v>
      </c>
      <c r="AH104" s="667" t="s">
        <v>279</v>
      </c>
      <c r="AI104" s="667" t="s">
        <v>280</v>
      </c>
      <c r="AJ104" s="667" t="s">
        <v>281</v>
      </c>
      <c r="AK104" s="667" t="s">
        <v>282</v>
      </c>
      <c r="AM104" s="668" t="s">
        <v>291</v>
      </c>
      <c r="AN104" s="669" t="s">
        <v>292</v>
      </c>
      <c r="AO104" s="603" t="s">
        <v>288</v>
      </c>
    </row>
    <row r="105" spans="1:41" s="602" customFormat="1" ht="12" customHeight="1">
      <c r="A105" s="670">
        <v>5</v>
      </c>
      <c r="B105" s="838" t="s">
        <v>330</v>
      </c>
      <c r="C105" s="672"/>
      <c r="D105" s="673" t="s">
        <v>446</v>
      </c>
      <c r="E105" s="1237">
        <f>IF(AND($A105=0,$A$1="DIF"),0, ROUND(ROUND(($R109*$S$5+($T109*$T$5))/$A105,2)*$C$5,2))</f>
        <v>69.3</v>
      </c>
      <c r="F105" s="1238">
        <f>ROUND($A105*$E105,2)</f>
        <v>346.5</v>
      </c>
      <c r="G105" s="676" t="s">
        <v>142</v>
      </c>
      <c r="H105" s="664"/>
      <c r="I105" s="677"/>
      <c r="J105" s="664"/>
      <c r="K105" s="664" t="s">
        <v>10</v>
      </c>
      <c r="L105" s="678" t="s">
        <v>143</v>
      </c>
      <c r="M105" s="678"/>
      <c r="N105" s="678"/>
      <c r="O105" s="678"/>
      <c r="P105" s="678"/>
      <c r="Q105" s="63"/>
      <c r="T105" s="1242" t="str">
        <f>IF(AND($R109=0,$T109=0),"0.00","mu: "&amp; ROUND(F105/$C$5/($R109+$T109*$D$9),2))</f>
        <v>mu: 1</v>
      </c>
      <c r="W105" s="604"/>
      <c r="AG105" s="1239">
        <f>IF($E105=0,0,ROUND($R109*$S$5*$C$5/$A105,2))</f>
        <v>69.3</v>
      </c>
      <c r="AH105" s="1239">
        <f>$AG105*$A105</f>
        <v>346.5</v>
      </c>
      <c r="AI105" s="1240">
        <f>$E105-$AG105</f>
        <v>0</v>
      </c>
      <c r="AJ105" s="1240">
        <f>$A105*$AI105</f>
        <v>0</v>
      </c>
      <c r="AK105" s="1241">
        <f>ROUND(($AG105+$AI105)*$A105,2)</f>
        <v>346.5</v>
      </c>
      <c r="AM105" s="607">
        <f>ROUND(R109,2)</f>
        <v>346.5</v>
      </c>
      <c r="AN105" s="608">
        <f>ROUND(T109,2)</f>
        <v>0</v>
      </c>
      <c r="AO105" s="609">
        <f>ROUND(AM105+AN105,2)*A105</f>
        <v>1732.5</v>
      </c>
    </row>
    <row r="106" spans="1:41" s="602" customFormat="1" ht="13.2">
      <c r="A106" s="672"/>
      <c r="B106"/>
      <c r="C106" s="672"/>
      <c r="D106" s="673" t="s">
        <v>1180</v>
      </c>
      <c r="F106" s="664"/>
      <c r="G106" s="3"/>
      <c r="H106" s="664"/>
      <c r="I106" s="677"/>
      <c r="J106" s="664"/>
      <c r="K106" s="664" t="s">
        <v>144</v>
      </c>
      <c r="L106" s="664"/>
      <c r="M106" s="664"/>
      <c r="N106" s="664"/>
      <c r="O106" s="664"/>
      <c r="P106" s="664"/>
      <c r="Q106" s="63"/>
      <c r="R106" s="610"/>
      <c r="S106" s="680"/>
      <c r="T106" s="664"/>
    </row>
    <row r="107" spans="1:41" s="730" customFormat="1" ht="13.2">
      <c r="A107" s="750">
        <f>A105</f>
        <v>5</v>
      </c>
      <c r="B107" s="740" t="s">
        <v>312</v>
      </c>
      <c r="C107" s="740"/>
      <c r="D107" s="740" t="s">
        <v>1175</v>
      </c>
      <c r="E107" s="740"/>
      <c r="F107" s="749" t="s">
        <v>1177</v>
      </c>
      <c r="G107" s="741" t="s">
        <v>1176</v>
      </c>
      <c r="H107" s="1002">
        <v>960</v>
      </c>
      <c r="I107" s="740" t="s">
        <v>686</v>
      </c>
      <c r="J107" s="740"/>
      <c r="K107" s="740"/>
      <c r="L107" s="740"/>
      <c r="M107" s="740"/>
      <c r="N107" s="740"/>
      <c r="O107" s="744">
        <v>4</v>
      </c>
      <c r="P107" s="745">
        <v>38594</v>
      </c>
      <c r="Q107" s="746">
        <v>69.3</v>
      </c>
      <c r="R107" s="747">
        <f>$A107*Q107</f>
        <v>346.5</v>
      </c>
      <c r="S107" s="746"/>
      <c r="T107" s="748">
        <f>$A107*S107*$T$1</f>
        <v>0</v>
      </c>
    </row>
    <row r="108" spans="1:41" s="602" customFormat="1" ht="12">
      <c r="A108" s="663"/>
      <c r="B108" s="663"/>
      <c r="C108" s="663"/>
      <c r="D108" s="663"/>
      <c r="E108" s="663"/>
      <c r="F108" s="664"/>
      <c r="G108" s="663"/>
      <c r="H108" s="663"/>
      <c r="I108" s="601"/>
      <c r="J108" s="663"/>
      <c r="K108" s="663"/>
      <c r="L108" s="663"/>
      <c r="M108" s="663"/>
      <c r="N108" s="663"/>
      <c r="O108" s="663"/>
      <c r="P108" s="663"/>
      <c r="Q108" s="601"/>
      <c r="R108" s="666">
        <f>$A108*Q108</f>
        <v>0</v>
      </c>
      <c r="S108" s="601"/>
      <c r="T108" s="681">
        <f>$A108*S108*$T$1</f>
        <v>0</v>
      </c>
    </row>
    <row r="109" spans="1:41" s="602" customFormat="1" ht="12.6" thickBot="1">
      <c r="A109" s="682" t="s">
        <v>145</v>
      </c>
      <c r="B109" s="683">
        <f>(R108+T108)</f>
        <v>0</v>
      </c>
      <c r="C109" s="684"/>
      <c r="D109" s="684"/>
      <c r="E109" s="684"/>
      <c r="F109" s="685"/>
      <c r="G109" s="684" t="s">
        <v>146</v>
      </c>
      <c r="H109" s="684"/>
      <c r="I109" s="686"/>
      <c r="J109" s="684"/>
      <c r="K109" s="684" t="s">
        <v>10</v>
      </c>
      <c r="L109" s="687" t="s">
        <v>143</v>
      </c>
      <c r="M109" s="687"/>
      <c r="N109" s="687"/>
      <c r="O109" s="687"/>
      <c r="P109" s="687"/>
      <c r="Q109" s="688"/>
      <c r="R109" s="689">
        <f>SUM(R106:R108)</f>
        <v>346.5</v>
      </c>
      <c r="S109" s="684"/>
      <c r="T109" s="689">
        <f>SUM(T106:T108)</f>
        <v>0</v>
      </c>
      <c r="U109" s="611"/>
      <c r="V109" s="611"/>
      <c r="W109" s="611"/>
      <c r="X109" s="611"/>
      <c r="Y109" s="611"/>
      <c r="Z109" s="611"/>
      <c r="AA109" s="611"/>
      <c r="AB109" s="611"/>
      <c r="AC109" s="611"/>
      <c r="AD109" s="611"/>
      <c r="AE109" s="611"/>
      <c r="AF109" s="611"/>
      <c r="AG109" s="611"/>
      <c r="AH109" s="611"/>
      <c r="AI109" s="611"/>
      <c r="AJ109" s="611"/>
      <c r="AK109" s="611"/>
      <c r="AL109" s="611"/>
      <c r="AM109" s="611"/>
      <c r="AN109" s="611"/>
      <c r="AO109" s="611"/>
    </row>
    <row r="110" spans="1:41" s="602" customFormat="1" thickTop="1">
      <c r="A110" s="63"/>
      <c r="B110" s="63"/>
      <c r="C110" s="3"/>
      <c r="D110" s="3"/>
      <c r="E110" s="63"/>
      <c r="F110" s="63"/>
      <c r="G110" s="63"/>
      <c r="H110" s="63"/>
      <c r="I110" s="63"/>
      <c r="J110" s="63"/>
      <c r="K110" s="63" t="s">
        <v>134</v>
      </c>
      <c r="L110" s="63"/>
      <c r="M110" s="63"/>
      <c r="N110" s="63"/>
      <c r="O110" s="64"/>
      <c r="P110" s="63"/>
      <c r="Q110" s="63"/>
      <c r="R110" s="63"/>
      <c r="S110" s="63"/>
      <c r="T110" s="63"/>
    </row>
    <row r="111" spans="1:41" s="602" customFormat="1" ht="12">
      <c r="A111" s="63"/>
      <c r="B111" s="63"/>
      <c r="C111" s="63" t="s">
        <v>135</v>
      </c>
      <c r="D111" s="37"/>
      <c r="E111" s="63"/>
      <c r="F111" s="63"/>
      <c r="G111" s="63"/>
      <c r="H111" s="63"/>
      <c r="I111" s="63"/>
      <c r="J111" s="63"/>
      <c r="K111" s="63"/>
      <c r="L111" s="63"/>
      <c r="M111" s="63"/>
      <c r="N111" s="63"/>
      <c r="O111" s="64"/>
      <c r="P111" s="63"/>
      <c r="Q111" s="63"/>
      <c r="R111" s="63"/>
      <c r="S111" s="63"/>
      <c r="T111" s="63"/>
    </row>
    <row r="112" spans="1:41" s="602" customFormat="1" ht="12">
      <c r="A112" s="63"/>
      <c r="B112" s="63"/>
      <c r="C112" s="63"/>
      <c r="D112" s="37" t="s">
        <v>332</v>
      </c>
      <c r="E112" s="63"/>
      <c r="F112" s="63"/>
      <c r="G112" s="63"/>
      <c r="H112" s="63"/>
      <c r="I112" s="63"/>
      <c r="J112" s="63"/>
      <c r="K112" s="63"/>
      <c r="L112" s="63"/>
      <c r="M112" s="63"/>
      <c r="N112" s="63"/>
      <c r="O112" s="64"/>
      <c r="P112" s="63"/>
      <c r="Q112" s="63"/>
      <c r="R112" s="63"/>
      <c r="S112" s="38"/>
      <c r="T112" s="38"/>
    </row>
    <row r="113" spans="1:41" s="3" customFormat="1" thickBot="1">
      <c r="A113" s="611"/>
      <c r="O113" s="158"/>
    </row>
    <row r="114" spans="1:41" s="602" customFormat="1" thickTop="1">
      <c r="A114" s="63"/>
      <c r="B114" s="63"/>
      <c r="C114" s="3"/>
      <c r="D114" s="3"/>
      <c r="E114" s="63"/>
      <c r="F114" s="63"/>
      <c r="G114" s="63"/>
      <c r="H114" s="63"/>
      <c r="I114" s="63"/>
      <c r="J114" s="63"/>
      <c r="K114" s="63" t="s">
        <v>134</v>
      </c>
      <c r="L114" s="63"/>
      <c r="M114" s="63"/>
      <c r="N114" s="63"/>
      <c r="O114" s="64"/>
      <c r="P114" s="63"/>
      <c r="Q114" s="63"/>
      <c r="R114" s="63"/>
      <c r="S114" s="63"/>
      <c r="T114" s="63"/>
    </row>
    <row r="115" spans="1:41" s="602" customFormat="1" ht="12">
      <c r="A115" s="63"/>
      <c r="B115" s="63"/>
      <c r="C115" s="63" t="s">
        <v>135</v>
      </c>
      <c r="D115" s="37" t="s">
        <v>407</v>
      </c>
      <c r="E115" s="63"/>
      <c r="F115" s="63"/>
      <c r="G115" s="63"/>
      <c r="H115" s="63"/>
      <c r="I115" s="63"/>
      <c r="J115" s="63"/>
      <c r="K115" s="63"/>
      <c r="L115" s="63"/>
      <c r="M115" s="63"/>
      <c r="N115" s="63"/>
      <c r="O115" s="64"/>
      <c r="P115" s="63"/>
      <c r="Q115" s="63"/>
      <c r="R115" s="63"/>
      <c r="S115" s="63"/>
      <c r="T115" s="63"/>
    </row>
    <row r="116" spans="1:41" s="602" customFormat="1" ht="39.9" customHeight="1">
      <c r="A116" s="63"/>
      <c r="B116" s="63"/>
      <c r="C116" s="63"/>
      <c r="D116" s="1371" t="s">
        <v>1151</v>
      </c>
      <c r="E116" s="1369"/>
      <c r="F116" s="1369"/>
      <c r="G116" s="1369"/>
      <c r="H116" s="1369"/>
      <c r="I116" s="1369"/>
      <c r="J116" s="1369"/>
      <c r="K116" s="1369"/>
      <c r="L116" s="1369"/>
      <c r="M116" s="1369"/>
      <c r="N116" s="1369"/>
      <c r="O116" s="1369"/>
      <c r="P116" s="1369"/>
      <c r="Q116" s="1369"/>
      <c r="R116" s="1369"/>
      <c r="S116" s="1369"/>
      <c r="T116" s="1369"/>
    </row>
    <row r="117" spans="1:41" s="3" customFormat="1" thickBot="1">
      <c r="A117" s="611"/>
      <c r="O117" s="158"/>
    </row>
    <row r="118" spans="1:41" s="602" customFormat="1" ht="12" thickTop="1">
      <c r="A118" s="63"/>
      <c r="B118" s="41"/>
      <c r="C118" s="63"/>
      <c r="E118" s="42" t="s">
        <v>138</v>
      </c>
      <c r="F118" s="42" t="s">
        <v>139</v>
      </c>
      <c r="G118" s="63"/>
      <c r="H118" s="63"/>
      <c r="I118" s="63"/>
      <c r="J118" s="63"/>
      <c r="K118" s="63" t="s">
        <v>140</v>
      </c>
      <c r="L118" s="63"/>
      <c r="M118" s="63"/>
      <c r="N118" s="63"/>
      <c r="O118" s="64"/>
      <c r="P118" s="63"/>
      <c r="Q118" s="63"/>
      <c r="R118" s="63"/>
      <c r="S118" s="63"/>
      <c r="T118" s="41"/>
      <c r="AG118" s="667" t="s">
        <v>278</v>
      </c>
      <c r="AH118" s="667" t="s">
        <v>279</v>
      </c>
      <c r="AI118" s="667" t="s">
        <v>280</v>
      </c>
      <c r="AJ118" s="667" t="s">
        <v>281</v>
      </c>
      <c r="AK118" s="667" t="s">
        <v>282</v>
      </c>
      <c r="AM118" s="668" t="s">
        <v>291</v>
      </c>
      <c r="AN118" s="669" t="s">
        <v>292</v>
      </c>
      <c r="AO118" s="603" t="s">
        <v>288</v>
      </c>
    </row>
    <row r="119" spans="1:41" s="602" customFormat="1" ht="12" customHeight="1">
      <c r="A119" s="670">
        <v>2</v>
      </c>
      <c r="B119" s="838" t="s">
        <v>320</v>
      </c>
      <c r="C119" s="672"/>
      <c r="D119" s="673" t="s">
        <v>448</v>
      </c>
      <c r="E119" s="1237">
        <f>IF(AND($A119=0,$A$1="DIF"),0, ROUND(ROUND(($R123*$S$5+($T123*$T$5))/$A119,2)*$C$5,2))</f>
        <v>106.06</v>
      </c>
      <c r="F119" s="1238">
        <f>ROUND($A119*$E119,2)</f>
        <v>212.12</v>
      </c>
      <c r="G119" s="676" t="s">
        <v>142</v>
      </c>
      <c r="H119" s="664"/>
      <c r="I119" s="677"/>
      <c r="J119" s="664"/>
      <c r="K119" s="664" t="s">
        <v>10</v>
      </c>
      <c r="L119" s="678" t="s">
        <v>143</v>
      </c>
      <c r="M119" s="678"/>
      <c r="N119" s="678"/>
      <c r="O119" s="678"/>
      <c r="P119" s="678"/>
      <c r="Q119" s="63"/>
      <c r="T119" s="1242" t="str">
        <f>IF(AND($R123=0,$T123=0),"0.00","mu: "&amp; ROUND(F119/$C$5/($R123+$T123*$D$9),2))</f>
        <v>mu: 1</v>
      </c>
      <c r="W119" s="604"/>
      <c r="AG119" s="1239">
        <f>IF($E119=0,0,ROUND($R123*$S$5*$C$5/$A119,2))</f>
        <v>106.06</v>
      </c>
      <c r="AH119" s="1239">
        <f>$AG119*$A119</f>
        <v>212.12</v>
      </c>
      <c r="AI119" s="1240">
        <f>$E119-$AG119</f>
        <v>0</v>
      </c>
      <c r="AJ119" s="1240">
        <f>$A119*$AI119</f>
        <v>0</v>
      </c>
      <c r="AK119" s="1241">
        <f>ROUND(($AG119+$AI119)*$A119,2)</f>
        <v>212.12</v>
      </c>
      <c r="AM119" s="607">
        <f>ROUND(R123,2)</f>
        <v>212.12</v>
      </c>
      <c r="AN119" s="608">
        <f>ROUND(T123,2)</f>
        <v>0</v>
      </c>
      <c r="AO119" s="609">
        <f>ROUND(AM119+AN119,2)*A119</f>
        <v>424.24</v>
      </c>
    </row>
    <row r="120" spans="1:41" s="602" customFormat="1" ht="13.2">
      <c r="A120" s="672"/>
      <c r="B120"/>
      <c r="C120" s="672"/>
      <c r="D120" s="673" t="s">
        <v>1091</v>
      </c>
      <c r="F120" s="664"/>
      <c r="G120" s="3"/>
      <c r="H120" s="664"/>
      <c r="I120" s="677"/>
      <c r="J120" s="664"/>
      <c r="K120" s="664" t="s">
        <v>144</v>
      </c>
      <c r="L120" s="664"/>
      <c r="M120" s="664"/>
      <c r="N120" s="664"/>
      <c r="O120" s="664"/>
      <c r="P120" s="664"/>
      <c r="Q120" s="63"/>
      <c r="R120" s="610"/>
      <c r="S120" s="680"/>
      <c r="T120" s="664"/>
    </row>
    <row r="121" spans="1:41" s="730" customFormat="1" ht="13.2">
      <c r="A121" s="750">
        <f>A119</f>
        <v>2</v>
      </c>
      <c r="B121" s="740" t="s">
        <v>312</v>
      </c>
      <c r="C121" s="740"/>
      <c r="D121" s="740" t="s">
        <v>1175</v>
      </c>
      <c r="E121" s="740"/>
      <c r="F121" s="749" t="s">
        <v>1177</v>
      </c>
      <c r="G121" s="741" t="s">
        <v>1176</v>
      </c>
      <c r="H121" s="1002">
        <v>960</v>
      </c>
      <c r="I121" s="740" t="s">
        <v>686</v>
      </c>
      <c r="J121" s="740"/>
      <c r="K121" s="740"/>
      <c r="L121" s="740"/>
      <c r="M121" s="740"/>
      <c r="N121" s="740"/>
      <c r="O121" s="744">
        <v>4</v>
      </c>
      <c r="P121" s="745">
        <v>38594</v>
      </c>
      <c r="Q121" s="746">
        <v>106.06</v>
      </c>
      <c r="R121" s="747">
        <f>$A121*Q121</f>
        <v>212.12</v>
      </c>
      <c r="S121" s="746"/>
      <c r="T121" s="748">
        <f>$A121*S121*$T$1</f>
        <v>0</v>
      </c>
    </row>
    <row r="122" spans="1:41" s="602" customFormat="1" ht="12">
      <c r="A122" s="663"/>
      <c r="B122" s="663"/>
      <c r="C122" s="663"/>
      <c r="D122" s="663"/>
      <c r="E122" s="663"/>
      <c r="F122" s="664"/>
      <c r="G122" s="663"/>
      <c r="H122" s="663"/>
      <c r="I122" s="601"/>
      <c r="J122" s="663"/>
      <c r="K122" s="663"/>
      <c r="L122" s="663"/>
      <c r="M122" s="663"/>
      <c r="N122" s="663"/>
      <c r="O122" s="663"/>
      <c r="P122" s="663"/>
      <c r="Q122" s="601"/>
      <c r="R122" s="666">
        <f>$A122*Q122</f>
        <v>0</v>
      </c>
      <c r="S122" s="601"/>
      <c r="T122" s="681">
        <f>$A122*S122*$T$1</f>
        <v>0</v>
      </c>
    </row>
    <row r="123" spans="1:41" s="602" customFormat="1" ht="12.6" thickBot="1">
      <c r="A123" s="682" t="s">
        <v>145</v>
      </c>
      <c r="B123" s="683">
        <f>(R122+T122)</f>
        <v>0</v>
      </c>
      <c r="C123" s="684"/>
      <c r="D123" s="684"/>
      <c r="E123" s="684"/>
      <c r="F123" s="685"/>
      <c r="G123" s="684" t="s">
        <v>146</v>
      </c>
      <c r="H123" s="684"/>
      <c r="I123" s="686"/>
      <c r="J123" s="684"/>
      <c r="K123" s="684" t="s">
        <v>10</v>
      </c>
      <c r="L123" s="687" t="s">
        <v>143</v>
      </c>
      <c r="M123" s="687"/>
      <c r="N123" s="687"/>
      <c r="O123" s="687"/>
      <c r="P123" s="687"/>
      <c r="Q123" s="688"/>
      <c r="R123" s="689">
        <f>SUM(R120:R122)</f>
        <v>212.12</v>
      </c>
      <c r="S123" s="684"/>
      <c r="T123" s="689">
        <f>SUM(T120:T122)</f>
        <v>0</v>
      </c>
      <c r="U123" s="611"/>
      <c r="V123" s="611"/>
      <c r="W123" s="611"/>
      <c r="X123" s="611"/>
      <c r="Y123" s="611"/>
      <c r="Z123" s="611"/>
      <c r="AA123" s="611"/>
      <c r="AB123" s="611"/>
      <c r="AC123" s="611"/>
      <c r="AD123" s="611"/>
      <c r="AE123" s="611"/>
      <c r="AF123" s="611"/>
      <c r="AG123" s="611"/>
      <c r="AH123" s="611"/>
      <c r="AI123" s="611"/>
      <c r="AJ123" s="611"/>
      <c r="AK123" s="611"/>
      <c r="AL123" s="611"/>
      <c r="AM123" s="611"/>
      <c r="AN123" s="611"/>
      <c r="AO123" s="611"/>
    </row>
    <row r="124" spans="1:41" s="602" customFormat="1" ht="12" thickTop="1">
      <c r="A124" s="63"/>
      <c r="B124" s="41"/>
      <c r="C124" s="63"/>
      <c r="E124" s="42" t="s">
        <v>138</v>
      </c>
      <c r="F124" s="42" t="s">
        <v>139</v>
      </c>
      <c r="G124" s="63"/>
      <c r="H124" s="63"/>
      <c r="I124" s="63"/>
      <c r="J124" s="63"/>
      <c r="K124" s="63" t="s">
        <v>140</v>
      </c>
      <c r="L124" s="63"/>
      <c r="M124" s="63"/>
      <c r="N124" s="63"/>
      <c r="O124" s="64"/>
      <c r="P124" s="63"/>
      <c r="Q124" s="63"/>
      <c r="R124" s="63"/>
      <c r="S124" s="63"/>
      <c r="T124" s="41"/>
      <c r="AG124" s="667" t="s">
        <v>278</v>
      </c>
      <c r="AH124" s="667" t="s">
        <v>279</v>
      </c>
      <c r="AI124" s="667" t="s">
        <v>280</v>
      </c>
      <c r="AJ124" s="667" t="s">
        <v>281</v>
      </c>
      <c r="AK124" s="667" t="s">
        <v>282</v>
      </c>
      <c r="AM124" s="668" t="s">
        <v>291</v>
      </c>
      <c r="AN124" s="669" t="s">
        <v>292</v>
      </c>
      <c r="AO124" s="603" t="s">
        <v>288</v>
      </c>
    </row>
    <row r="125" spans="1:41" s="602" customFormat="1" ht="12" customHeight="1">
      <c r="A125" s="670">
        <v>3</v>
      </c>
      <c r="B125" s="838" t="s">
        <v>320</v>
      </c>
      <c r="C125" s="672"/>
      <c r="D125" s="673" t="s">
        <v>1152</v>
      </c>
      <c r="E125" s="1237">
        <f>IF(AND($A125=0,$A$1="DIF"),0, ROUND(ROUND(($R129*$S$5+($T129*$T$5))/$A125,2)*$C$5,2))</f>
        <v>106.06</v>
      </c>
      <c r="F125" s="1238">
        <f>ROUND($A125*$E125,2)</f>
        <v>318.18</v>
      </c>
      <c r="G125" s="676" t="s">
        <v>142</v>
      </c>
      <c r="H125" s="664"/>
      <c r="I125" s="677"/>
      <c r="J125" s="664"/>
      <c r="K125" s="664" t="s">
        <v>10</v>
      </c>
      <c r="L125" s="678" t="s">
        <v>143</v>
      </c>
      <c r="M125" s="678"/>
      <c r="N125" s="678"/>
      <c r="O125" s="678"/>
      <c r="P125" s="678"/>
      <c r="Q125" s="63"/>
      <c r="T125" s="1242" t="str">
        <f>IF(AND($R129=0,$T129=0),"0.00","mu: "&amp; ROUND(F125/$C$5/($R129+$T129*$D$9),2))</f>
        <v>mu: 1</v>
      </c>
      <c r="W125" s="604"/>
      <c r="AG125" s="1239">
        <f>IF($E125=0,0,ROUND($R129*$S$5*$C$5/$A125,2))</f>
        <v>106.06</v>
      </c>
      <c r="AH125" s="1239">
        <f>$AG125*$A125</f>
        <v>318.18</v>
      </c>
      <c r="AI125" s="1240">
        <f>$E125-$AG125</f>
        <v>0</v>
      </c>
      <c r="AJ125" s="1240">
        <f>$A125*$AI125</f>
        <v>0</v>
      </c>
      <c r="AK125" s="1241">
        <f>ROUND(($AG125+$AI125)*$A125,2)</f>
        <v>318.18</v>
      </c>
      <c r="AM125" s="607">
        <f>ROUND(R129,2)</f>
        <v>318.18</v>
      </c>
      <c r="AN125" s="608">
        <f>ROUND(T129,2)</f>
        <v>0</v>
      </c>
      <c r="AO125" s="609">
        <f>ROUND(AM125+AN125,2)*A125</f>
        <v>954.54</v>
      </c>
    </row>
    <row r="126" spans="1:41" s="602" customFormat="1" ht="13.2">
      <c r="A126" s="672"/>
      <c r="B126"/>
      <c r="C126" s="672"/>
      <c r="D126" s="673" t="s">
        <v>334</v>
      </c>
      <c r="F126" s="664"/>
      <c r="G126" s="3"/>
      <c r="H126" s="664"/>
      <c r="I126" s="677"/>
      <c r="J126" s="664"/>
      <c r="K126" s="664" t="s">
        <v>144</v>
      </c>
      <c r="L126" s="664"/>
      <c r="M126" s="664"/>
      <c r="N126" s="664"/>
      <c r="O126" s="664"/>
      <c r="P126" s="664"/>
      <c r="Q126" s="63"/>
      <c r="R126" s="610"/>
      <c r="S126" s="680"/>
      <c r="T126" s="664"/>
    </row>
    <row r="127" spans="1:41" s="730" customFormat="1" ht="13.2">
      <c r="A127" s="750">
        <f>A125</f>
        <v>3</v>
      </c>
      <c r="B127" s="740" t="s">
        <v>312</v>
      </c>
      <c r="C127" s="740"/>
      <c r="D127" s="740" t="s">
        <v>1175</v>
      </c>
      <c r="E127" s="740"/>
      <c r="F127" s="749" t="s">
        <v>1177</v>
      </c>
      <c r="G127" s="741" t="s">
        <v>1176</v>
      </c>
      <c r="H127" s="1002">
        <v>960</v>
      </c>
      <c r="I127" s="740" t="s">
        <v>686</v>
      </c>
      <c r="J127" s="740"/>
      <c r="K127" s="740"/>
      <c r="L127" s="740"/>
      <c r="M127" s="740"/>
      <c r="N127" s="740"/>
      <c r="O127" s="744">
        <v>4</v>
      </c>
      <c r="P127" s="745">
        <v>38594</v>
      </c>
      <c r="Q127" s="746">
        <v>106.06</v>
      </c>
      <c r="R127" s="747">
        <f>$A127*Q127</f>
        <v>318.18</v>
      </c>
      <c r="S127" s="746"/>
      <c r="T127" s="748">
        <f>$A127*S127*$T$1</f>
        <v>0</v>
      </c>
    </row>
    <row r="128" spans="1:41" s="602" customFormat="1" ht="12">
      <c r="A128" s="663"/>
      <c r="B128" s="663"/>
      <c r="C128" s="663"/>
      <c r="D128" s="663"/>
      <c r="E128" s="663"/>
      <c r="F128" s="664"/>
      <c r="G128" s="663"/>
      <c r="H128" s="663"/>
      <c r="I128" s="601"/>
      <c r="J128" s="663"/>
      <c r="K128" s="663"/>
      <c r="L128" s="663"/>
      <c r="M128" s="663"/>
      <c r="N128" s="663"/>
      <c r="O128" s="663"/>
      <c r="P128" s="663"/>
      <c r="Q128" s="601"/>
      <c r="R128" s="666">
        <f>$A128*Q128</f>
        <v>0</v>
      </c>
      <c r="S128" s="601"/>
      <c r="T128" s="681">
        <f>$A128*S128*$T$1</f>
        <v>0</v>
      </c>
    </row>
    <row r="129" spans="1:41" s="602" customFormat="1" ht="12.6" thickBot="1">
      <c r="A129" s="682" t="s">
        <v>145</v>
      </c>
      <c r="B129" s="683">
        <f>(R128+T128)</f>
        <v>0</v>
      </c>
      <c r="C129" s="684"/>
      <c r="D129" s="684"/>
      <c r="E129" s="684"/>
      <c r="F129" s="685"/>
      <c r="G129" s="684" t="s">
        <v>146</v>
      </c>
      <c r="H129" s="684"/>
      <c r="I129" s="686"/>
      <c r="J129" s="684"/>
      <c r="K129" s="684" t="s">
        <v>10</v>
      </c>
      <c r="L129" s="687" t="s">
        <v>143</v>
      </c>
      <c r="M129" s="687"/>
      <c r="N129" s="687"/>
      <c r="O129" s="687"/>
      <c r="P129" s="687"/>
      <c r="Q129" s="688"/>
      <c r="R129" s="689">
        <f>SUM(R126:R128)</f>
        <v>318.18</v>
      </c>
      <c r="S129" s="684"/>
      <c r="T129" s="689">
        <f>SUM(T126:T128)</f>
        <v>0</v>
      </c>
      <c r="U129" s="611"/>
      <c r="V129" s="611"/>
      <c r="W129" s="611"/>
      <c r="X129" s="611"/>
      <c r="Y129" s="611"/>
      <c r="Z129" s="611"/>
      <c r="AA129" s="611"/>
      <c r="AB129" s="611"/>
      <c r="AC129" s="611"/>
      <c r="AD129" s="611"/>
      <c r="AE129" s="611"/>
      <c r="AF129" s="611"/>
      <c r="AG129" s="611"/>
      <c r="AH129" s="611"/>
      <c r="AI129" s="611"/>
      <c r="AJ129" s="611"/>
      <c r="AK129" s="611"/>
      <c r="AL129" s="611"/>
      <c r="AM129" s="611"/>
      <c r="AN129" s="611"/>
      <c r="AO129" s="611"/>
    </row>
    <row r="130" spans="1:41" s="602" customFormat="1" thickTop="1">
      <c r="A130" s="63"/>
      <c r="B130" s="63"/>
      <c r="C130" s="3"/>
      <c r="D130" s="3"/>
      <c r="E130" s="63"/>
      <c r="F130" s="63"/>
      <c r="G130" s="63"/>
      <c r="H130" s="63"/>
      <c r="I130" s="63"/>
      <c r="J130" s="63"/>
      <c r="K130" s="63" t="s">
        <v>134</v>
      </c>
      <c r="L130" s="63"/>
      <c r="M130" s="63"/>
      <c r="N130" s="63"/>
      <c r="O130" s="64"/>
      <c r="P130" s="63"/>
      <c r="Q130" s="63"/>
      <c r="R130" s="63"/>
      <c r="S130" s="63"/>
      <c r="T130" s="63"/>
    </row>
    <row r="131" spans="1:41" s="602" customFormat="1" ht="12">
      <c r="A131" s="63"/>
      <c r="B131" s="63"/>
      <c r="C131" s="63" t="s">
        <v>135</v>
      </c>
      <c r="D131" s="37" t="s">
        <v>408</v>
      </c>
      <c r="E131" s="63"/>
      <c r="F131" s="63"/>
      <c r="G131" s="63"/>
      <c r="H131" s="63"/>
      <c r="I131" s="63"/>
      <c r="J131" s="63"/>
      <c r="K131" s="63"/>
      <c r="L131" s="63"/>
      <c r="M131" s="63"/>
      <c r="N131" s="63"/>
      <c r="O131" s="64"/>
      <c r="P131" s="63"/>
      <c r="Q131" s="63"/>
      <c r="R131" s="63"/>
      <c r="S131" s="63"/>
      <c r="T131" s="63"/>
    </row>
    <row r="132" spans="1:41" s="602" customFormat="1" ht="12">
      <c r="A132" s="63"/>
      <c r="B132" s="63"/>
      <c r="C132" s="63"/>
      <c r="D132" s="37" t="s">
        <v>335</v>
      </c>
      <c r="E132" s="63"/>
      <c r="F132" s="63"/>
      <c r="G132" s="63"/>
      <c r="H132" s="63"/>
      <c r="I132" s="63"/>
      <c r="J132" s="63"/>
      <c r="K132" s="63"/>
      <c r="L132" s="63"/>
      <c r="M132" s="63"/>
      <c r="N132" s="63"/>
      <c r="O132" s="64"/>
      <c r="P132" s="63"/>
      <c r="Q132" s="63"/>
      <c r="R132" s="63"/>
      <c r="S132" s="38"/>
      <c r="T132" s="38"/>
    </row>
    <row r="133" spans="1:41" s="3" customFormat="1" thickBot="1">
      <c r="A133" s="611"/>
      <c r="O133" s="158"/>
    </row>
    <row r="134" spans="1:41" s="602" customFormat="1" ht="12" thickTop="1">
      <c r="A134" s="63"/>
      <c r="B134" s="41"/>
      <c r="C134" s="63"/>
      <c r="E134" s="42" t="s">
        <v>138</v>
      </c>
      <c r="F134" s="42" t="s">
        <v>139</v>
      </c>
      <c r="G134" s="63"/>
      <c r="H134" s="63"/>
      <c r="I134" s="63"/>
      <c r="J134" s="63"/>
      <c r="K134" s="63" t="s">
        <v>140</v>
      </c>
      <c r="L134" s="63"/>
      <c r="M134" s="63"/>
      <c r="N134" s="63"/>
      <c r="O134" s="64"/>
      <c r="P134" s="63"/>
      <c r="Q134" s="63"/>
      <c r="R134" s="63"/>
      <c r="S134" s="63"/>
      <c r="T134" s="41"/>
      <c r="AG134" s="667" t="s">
        <v>278</v>
      </c>
      <c r="AH134" s="667" t="s">
        <v>279</v>
      </c>
      <c r="AI134" s="667" t="s">
        <v>280</v>
      </c>
      <c r="AJ134" s="667" t="s">
        <v>281</v>
      </c>
      <c r="AK134" s="667" t="s">
        <v>282</v>
      </c>
      <c r="AM134" s="668" t="s">
        <v>291</v>
      </c>
      <c r="AN134" s="669" t="s">
        <v>292</v>
      </c>
      <c r="AO134" s="603" t="s">
        <v>288</v>
      </c>
    </row>
    <row r="135" spans="1:41" s="602" customFormat="1" ht="12" customHeight="1">
      <c r="A135" s="670">
        <v>4</v>
      </c>
      <c r="B135" s="838" t="s">
        <v>320</v>
      </c>
      <c r="C135" s="672"/>
      <c r="D135" s="673" t="s">
        <v>450</v>
      </c>
      <c r="E135" s="1237">
        <f>IF(AND($A135=0,$A$1="DIF"),0, ROUND(ROUND(($R139*$S$5+($T139*$T$5))/$A135,2)*$C$5,2))</f>
        <v>39.590000000000003</v>
      </c>
      <c r="F135" s="1238">
        <f>ROUND($A135*$E135,2)</f>
        <v>158.36000000000001</v>
      </c>
      <c r="G135" s="676" t="s">
        <v>142</v>
      </c>
      <c r="H135" s="664"/>
      <c r="I135" s="677"/>
      <c r="J135" s="664"/>
      <c r="K135" s="664" t="s">
        <v>10</v>
      </c>
      <c r="L135" s="678" t="s">
        <v>143</v>
      </c>
      <c r="M135" s="678"/>
      <c r="N135" s="678"/>
      <c r="O135" s="678"/>
      <c r="P135" s="678"/>
      <c r="Q135" s="63"/>
      <c r="T135" s="1242" t="str">
        <f>IF(AND($R139=0,$T139=0),"0.00","mu: "&amp; ROUND(F135/$C$5/($R139+$T139*$D$9),2))</f>
        <v>mu: 1</v>
      </c>
      <c r="W135" s="604"/>
      <c r="AG135" s="1239">
        <f>IF($E135=0,0,ROUND($R139*$S$5*$C$5/$A135,2))</f>
        <v>39.590000000000003</v>
      </c>
      <c r="AH135" s="1239">
        <f>$AG135*$A135</f>
        <v>158.36000000000001</v>
      </c>
      <c r="AI135" s="1240">
        <f>$E135-$AG135</f>
        <v>0</v>
      </c>
      <c r="AJ135" s="1240">
        <f>$A135*$AI135</f>
        <v>0</v>
      </c>
      <c r="AK135" s="1241">
        <f>ROUND(($AG135+$AI135)*$A135,2)</f>
        <v>158.36000000000001</v>
      </c>
      <c r="AM135" s="607">
        <f>ROUND(R139,2)</f>
        <v>158.36000000000001</v>
      </c>
      <c r="AN135" s="608">
        <f>ROUND(T139,2)</f>
        <v>0</v>
      </c>
      <c r="AO135" s="609">
        <f>ROUND(AM135+AN135,2)*A135</f>
        <v>633.44000000000005</v>
      </c>
    </row>
    <row r="136" spans="1:41" s="602" customFormat="1" ht="13.2">
      <c r="A136" s="672"/>
      <c r="B136"/>
      <c r="C136" s="672"/>
      <c r="D136" s="673" t="s">
        <v>336</v>
      </c>
      <c r="F136" s="664"/>
      <c r="G136" s="3"/>
      <c r="H136" s="664"/>
      <c r="I136" s="677"/>
      <c r="J136" s="664"/>
      <c r="K136" s="664" t="s">
        <v>144</v>
      </c>
      <c r="L136" s="664"/>
      <c r="M136" s="664"/>
      <c r="N136" s="664"/>
      <c r="O136" s="664"/>
      <c r="P136" s="664"/>
      <c r="Q136" s="63"/>
      <c r="R136" s="610"/>
      <c r="S136" s="680"/>
      <c r="T136" s="664"/>
    </row>
    <row r="137" spans="1:41" s="730" customFormat="1" ht="13.2">
      <c r="A137" s="750">
        <f>A135</f>
        <v>4</v>
      </c>
      <c r="B137" s="740" t="s">
        <v>312</v>
      </c>
      <c r="C137" s="740"/>
      <c r="D137" s="740" t="s">
        <v>1175</v>
      </c>
      <c r="E137" s="740"/>
      <c r="F137" s="749" t="s">
        <v>1177</v>
      </c>
      <c r="G137" s="741" t="s">
        <v>1176</v>
      </c>
      <c r="H137" s="1002">
        <v>960</v>
      </c>
      <c r="I137" s="740" t="s">
        <v>686</v>
      </c>
      <c r="J137" s="740"/>
      <c r="K137" s="740"/>
      <c r="L137" s="740"/>
      <c r="M137" s="740"/>
      <c r="N137" s="740"/>
      <c r="O137" s="744">
        <v>4</v>
      </c>
      <c r="P137" s="745">
        <v>38594</v>
      </c>
      <c r="Q137" s="746">
        <v>39.590000000000003</v>
      </c>
      <c r="R137" s="747">
        <f>$A137*Q137</f>
        <v>158.36000000000001</v>
      </c>
      <c r="S137" s="746"/>
      <c r="T137" s="748">
        <f>$A137*S137*$T$1</f>
        <v>0</v>
      </c>
    </row>
    <row r="138" spans="1:41" s="602" customFormat="1" ht="12">
      <c r="A138" s="663"/>
      <c r="B138" s="663"/>
      <c r="C138" s="663"/>
      <c r="D138" s="663"/>
      <c r="E138" s="663"/>
      <c r="F138" s="664"/>
      <c r="G138" s="663"/>
      <c r="H138" s="663"/>
      <c r="I138" s="601"/>
      <c r="J138" s="663"/>
      <c r="K138" s="663"/>
      <c r="L138" s="663"/>
      <c r="M138" s="663"/>
      <c r="N138" s="663"/>
      <c r="O138" s="663"/>
      <c r="P138" s="663"/>
      <c r="Q138" s="601"/>
      <c r="R138" s="666">
        <f>$A138*Q138</f>
        <v>0</v>
      </c>
      <c r="S138" s="601"/>
      <c r="T138" s="681">
        <f>$A138*S138*$T$1</f>
        <v>0</v>
      </c>
    </row>
    <row r="139" spans="1:41" s="602" customFormat="1" ht="12.6" thickBot="1">
      <c r="A139" s="682" t="s">
        <v>145</v>
      </c>
      <c r="B139" s="683">
        <f>(R138+T138)</f>
        <v>0</v>
      </c>
      <c r="C139" s="684"/>
      <c r="D139" s="684"/>
      <c r="E139" s="684"/>
      <c r="F139" s="685"/>
      <c r="G139" s="684" t="s">
        <v>146</v>
      </c>
      <c r="H139" s="684"/>
      <c r="I139" s="686"/>
      <c r="J139" s="684"/>
      <c r="K139" s="684" t="s">
        <v>10</v>
      </c>
      <c r="L139" s="687" t="s">
        <v>143</v>
      </c>
      <c r="M139" s="687"/>
      <c r="N139" s="687"/>
      <c r="O139" s="687"/>
      <c r="P139" s="687"/>
      <c r="Q139" s="688"/>
      <c r="R139" s="689">
        <f>SUM(R136:R138)</f>
        <v>158.36000000000001</v>
      </c>
      <c r="S139" s="684"/>
      <c r="T139" s="689">
        <f>SUM(T136:T138)</f>
        <v>0</v>
      </c>
      <c r="U139" s="611"/>
      <c r="V139" s="611"/>
      <c r="W139" s="611"/>
      <c r="X139" s="611"/>
      <c r="Y139" s="611"/>
      <c r="Z139" s="611"/>
      <c r="AA139" s="611"/>
      <c r="AB139" s="611"/>
      <c r="AC139" s="611"/>
      <c r="AD139" s="611"/>
      <c r="AE139" s="611"/>
      <c r="AF139" s="611"/>
      <c r="AG139" s="611"/>
      <c r="AH139" s="611"/>
      <c r="AI139" s="611"/>
      <c r="AJ139" s="611"/>
      <c r="AK139" s="611"/>
      <c r="AL139" s="611"/>
      <c r="AM139" s="611"/>
      <c r="AN139" s="611"/>
      <c r="AO139" s="611"/>
    </row>
    <row r="140" spans="1:41" s="602" customFormat="1" ht="12" thickTop="1">
      <c r="A140" s="63"/>
      <c r="B140" s="41"/>
      <c r="C140" s="63"/>
      <c r="E140" s="42" t="s">
        <v>138</v>
      </c>
      <c r="F140" s="42" t="s">
        <v>139</v>
      </c>
      <c r="G140" s="63"/>
      <c r="H140" s="63"/>
      <c r="I140" s="63"/>
      <c r="J140" s="63"/>
      <c r="K140" s="63" t="s">
        <v>140</v>
      </c>
      <c r="L140" s="63"/>
      <c r="M140" s="63"/>
      <c r="N140" s="63"/>
      <c r="O140" s="64"/>
      <c r="P140" s="63"/>
      <c r="Q140" s="63"/>
      <c r="R140" s="63"/>
      <c r="S140" s="63"/>
      <c r="T140" s="41"/>
      <c r="AG140" s="667" t="s">
        <v>278</v>
      </c>
      <c r="AH140" s="667" t="s">
        <v>279</v>
      </c>
      <c r="AI140" s="667" t="s">
        <v>280</v>
      </c>
      <c r="AJ140" s="667" t="s">
        <v>281</v>
      </c>
      <c r="AK140" s="667" t="s">
        <v>282</v>
      </c>
      <c r="AM140" s="668" t="s">
        <v>291</v>
      </c>
      <c r="AN140" s="669" t="s">
        <v>292</v>
      </c>
      <c r="AO140" s="603" t="s">
        <v>288</v>
      </c>
    </row>
    <row r="141" spans="1:41" s="602" customFormat="1" ht="12" customHeight="1">
      <c r="A141" s="670">
        <v>3</v>
      </c>
      <c r="B141" s="838" t="s">
        <v>320</v>
      </c>
      <c r="C141" s="672"/>
      <c r="D141" s="673" t="s">
        <v>1153</v>
      </c>
      <c r="E141" s="1237">
        <f>IF(AND($A141=0,$A$1="DIF"),0, ROUND(ROUND(($R145*$S$5+($T145*$T$5))/$A141,2)*$C$5,2))</f>
        <v>65.989999999999995</v>
      </c>
      <c r="F141" s="1238">
        <f>ROUND($A141*$E141,2)</f>
        <v>197.97</v>
      </c>
      <c r="G141" s="676" t="s">
        <v>142</v>
      </c>
      <c r="H141" s="664"/>
      <c r="I141" s="677"/>
      <c r="J141" s="664"/>
      <c r="K141" s="664" t="s">
        <v>10</v>
      </c>
      <c r="L141" s="678" t="s">
        <v>143</v>
      </c>
      <c r="M141" s="678"/>
      <c r="N141" s="678"/>
      <c r="O141" s="678"/>
      <c r="P141" s="678"/>
      <c r="Q141" s="63"/>
      <c r="T141" s="1242" t="str">
        <f>IF(AND($R145=0,$T145=0),"0.00","mu: "&amp; ROUND(F141/$C$5/($R145+$T145*$D$9),2))</f>
        <v>mu: 1</v>
      </c>
      <c r="W141" s="604"/>
      <c r="AG141" s="1239">
        <f>IF($E141=0,0,ROUND($R145*$S$5*$C$5/$A141,2))</f>
        <v>65.989999999999995</v>
      </c>
      <c r="AH141" s="1239">
        <f>$AG141*$A141</f>
        <v>197.96999999999997</v>
      </c>
      <c r="AI141" s="1240">
        <f>$E141-$AG141</f>
        <v>0</v>
      </c>
      <c r="AJ141" s="1240">
        <f>$A141*$AI141</f>
        <v>0</v>
      </c>
      <c r="AK141" s="1241">
        <f>ROUND(($AG141+$AI141)*$A141,2)</f>
        <v>197.97</v>
      </c>
      <c r="AM141" s="607">
        <f>ROUND(R145,2)</f>
        <v>197.97</v>
      </c>
      <c r="AN141" s="608">
        <f>ROUND(T145,2)</f>
        <v>0</v>
      </c>
      <c r="AO141" s="609">
        <f>ROUND(AM141+AN141,2)*A141</f>
        <v>593.91</v>
      </c>
    </row>
    <row r="142" spans="1:41" s="602" customFormat="1" ht="13.2">
      <c r="A142" s="672"/>
      <c r="B142"/>
      <c r="C142" s="672"/>
      <c r="D142" s="673" t="s">
        <v>337</v>
      </c>
      <c r="F142" s="664"/>
      <c r="G142" s="3"/>
      <c r="H142" s="664"/>
      <c r="I142" s="677"/>
      <c r="J142" s="664"/>
      <c r="K142" s="664" t="s">
        <v>144</v>
      </c>
      <c r="L142" s="664"/>
      <c r="M142" s="664"/>
      <c r="N142" s="664"/>
      <c r="O142" s="664"/>
      <c r="P142" s="664"/>
      <c r="Q142" s="63"/>
      <c r="R142" s="610"/>
      <c r="S142" s="680"/>
      <c r="T142" s="664"/>
    </row>
    <row r="143" spans="1:41" s="730" customFormat="1" ht="13.2">
      <c r="A143" s="750">
        <f>A141</f>
        <v>3</v>
      </c>
      <c r="B143" s="740" t="s">
        <v>312</v>
      </c>
      <c r="C143" s="740"/>
      <c r="D143" s="740" t="s">
        <v>1175</v>
      </c>
      <c r="E143" s="740"/>
      <c r="F143" s="749" t="s">
        <v>1177</v>
      </c>
      <c r="G143" s="741" t="s">
        <v>1176</v>
      </c>
      <c r="H143" s="1002">
        <v>960</v>
      </c>
      <c r="I143" s="740" t="s">
        <v>686</v>
      </c>
      <c r="J143" s="740"/>
      <c r="K143" s="740"/>
      <c r="L143" s="740"/>
      <c r="M143" s="740"/>
      <c r="N143" s="740"/>
      <c r="O143" s="744">
        <v>4</v>
      </c>
      <c r="P143" s="745">
        <v>38594</v>
      </c>
      <c r="Q143" s="746">
        <v>65.989999999999995</v>
      </c>
      <c r="R143" s="747">
        <f>$A143*Q143</f>
        <v>197.96999999999997</v>
      </c>
      <c r="S143" s="746"/>
      <c r="T143" s="748">
        <f>$A143*S143*$T$1</f>
        <v>0</v>
      </c>
    </row>
    <row r="144" spans="1:41" s="602" customFormat="1" ht="12">
      <c r="A144" s="663"/>
      <c r="B144" s="663"/>
      <c r="C144" s="663"/>
      <c r="D144" s="663"/>
      <c r="E144" s="663"/>
      <c r="F144" s="664"/>
      <c r="G144" s="663"/>
      <c r="H144" s="663"/>
      <c r="I144" s="601"/>
      <c r="J144" s="663"/>
      <c r="K144" s="663"/>
      <c r="L144" s="663"/>
      <c r="M144" s="663"/>
      <c r="N144" s="663"/>
      <c r="O144" s="663"/>
      <c r="P144" s="663"/>
      <c r="Q144" s="601"/>
      <c r="R144" s="666">
        <f>$A144*Q144</f>
        <v>0</v>
      </c>
      <c r="S144" s="601"/>
      <c r="T144" s="681">
        <f>$A144*S144*$T$1</f>
        <v>0</v>
      </c>
    </row>
    <row r="145" spans="1:41" s="602" customFormat="1" ht="12.6" thickBot="1">
      <c r="A145" s="682" t="s">
        <v>145</v>
      </c>
      <c r="B145" s="683">
        <f>(R144+T144)</f>
        <v>0</v>
      </c>
      <c r="C145" s="684"/>
      <c r="D145" s="684"/>
      <c r="E145" s="684"/>
      <c r="F145" s="685"/>
      <c r="G145" s="684" t="s">
        <v>146</v>
      </c>
      <c r="H145" s="684"/>
      <c r="I145" s="686"/>
      <c r="J145" s="684"/>
      <c r="K145" s="684" t="s">
        <v>10</v>
      </c>
      <c r="L145" s="687" t="s">
        <v>143</v>
      </c>
      <c r="M145" s="687"/>
      <c r="N145" s="687"/>
      <c r="O145" s="687"/>
      <c r="P145" s="687"/>
      <c r="Q145" s="688"/>
      <c r="R145" s="689">
        <f>SUM(R142:R144)</f>
        <v>197.96999999999997</v>
      </c>
      <c r="S145" s="684"/>
      <c r="T145" s="689">
        <f>SUM(T142:T144)</f>
        <v>0</v>
      </c>
      <c r="U145" s="611"/>
      <c r="V145" s="611"/>
      <c r="W145" s="611"/>
      <c r="X145" s="611"/>
      <c r="Y145" s="611"/>
      <c r="Z145" s="611"/>
      <c r="AA145" s="611"/>
      <c r="AB145" s="611"/>
      <c r="AC145" s="611"/>
      <c r="AD145" s="611"/>
      <c r="AE145" s="611"/>
      <c r="AF145" s="611"/>
      <c r="AG145" s="611"/>
      <c r="AH145" s="611"/>
      <c r="AI145" s="611"/>
      <c r="AJ145" s="611"/>
      <c r="AK145" s="611"/>
      <c r="AL145" s="611"/>
      <c r="AM145" s="611"/>
      <c r="AN145" s="611"/>
      <c r="AO145" s="611"/>
    </row>
    <row r="146" spans="1:41" s="602" customFormat="1" thickTop="1">
      <c r="A146" s="63"/>
      <c r="B146" s="63"/>
      <c r="C146" s="3"/>
      <c r="D146" s="3"/>
      <c r="E146" s="63"/>
      <c r="F146" s="63"/>
      <c r="G146" s="63"/>
      <c r="H146" s="63"/>
      <c r="I146" s="63"/>
      <c r="J146" s="63"/>
      <c r="K146" s="63" t="s">
        <v>134</v>
      </c>
      <c r="L146" s="63"/>
      <c r="M146" s="63"/>
      <c r="N146" s="63"/>
      <c r="O146" s="64"/>
      <c r="P146" s="63"/>
      <c r="Q146" s="63"/>
      <c r="R146" s="63"/>
      <c r="S146" s="63"/>
      <c r="T146" s="63"/>
    </row>
    <row r="147" spans="1:41" s="602" customFormat="1" ht="12">
      <c r="A147" s="63"/>
      <c r="B147" s="63"/>
      <c r="C147" s="63" t="s">
        <v>135</v>
      </c>
      <c r="D147" s="37" t="s">
        <v>409</v>
      </c>
      <c r="E147" s="63"/>
      <c r="F147" s="63"/>
      <c r="G147" s="63"/>
      <c r="H147" s="63"/>
      <c r="I147" s="63"/>
      <c r="J147" s="63"/>
      <c r="K147" s="63"/>
      <c r="L147" s="63"/>
      <c r="M147" s="63"/>
      <c r="N147" s="63"/>
      <c r="O147" s="64"/>
      <c r="P147" s="63"/>
      <c r="Q147" s="63"/>
      <c r="R147" s="63"/>
      <c r="S147" s="63"/>
      <c r="T147" s="63"/>
    </row>
    <row r="148" spans="1:41" s="602" customFormat="1" ht="12">
      <c r="A148" s="63"/>
      <c r="B148" s="63"/>
      <c r="C148" s="63"/>
      <c r="D148" s="37" t="s">
        <v>338</v>
      </c>
      <c r="E148" s="63"/>
      <c r="F148" s="63"/>
      <c r="G148" s="63"/>
      <c r="H148" s="63"/>
      <c r="I148" s="63"/>
      <c r="J148" s="63"/>
      <c r="K148" s="63"/>
      <c r="L148" s="63"/>
      <c r="M148" s="63"/>
      <c r="N148" s="63"/>
      <c r="O148" s="64"/>
      <c r="P148" s="63"/>
      <c r="Q148" s="63"/>
      <c r="R148" s="63"/>
      <c r="S148" s="38"/>
      <c r="T148" s="38"/>
    </row>
    <row r="149" spans="1:41" s="3" customFormat="1" thickBot="1">
      <c r="A149" s="611"/>
      <c r="O149" s="158"/>
    </row>
    <row r="150" spans="1:41" s="602" customFormat="1" ht="12" thickTop="1">
      <c r="A150" s="63"/>
      <c r="B150" s="41"/>
      <c r="C150" s="63"/>
      <c r="E150" s="42" t="s">
        <v>138</v>
      </c>
      <c r="F150" s="42" t="s">
        <v>139</v>
      </c>
      <c r="G150" s="63"/>
      <c r="H150" s="63"/>
      <c r="I150" s="63"/>
      <c r="J150" s="63"/>
      <c r="K150" s="63" t="s">
        <v>140</v>
      </c>
      <c r="L150" s="63"/>
      <c r="M150" s="63"/>
      <c r="N150" s="63"/>
      <c r="O150" s="64"/>
      <c r="P150" s="63"/>
      <c r="Q150" s="63"/>
      <c r="R150" s="63"/>
      <c r="S150" s="63"/>
      <c r="T150" s="41"/>
      <c r="AG150" s="667" t="s">
        <v>278</v>
      </c>
      <c r="AH150" s="667" t="s">
        <v>279</v>
      </c>
      <c r="AI150" s="667" t="s">
        <v>280</v>
      </c>
      <c r="AJ150" s="667" t="s">
        <v>281</v>
      </c>
      <c r="AK150" s="667" t="s">
        <v>282</v>
      </c>
      <c r="AM150" s="668" t="s">
        <v>291</v>
      </c>
      <c r="AN150" s="669" t="s">
        <v>292</v>
      </c>
      <c r="AO150" s="603" t="s">
        <v>288</v>
      </c>
    </row>
    <row r="151" spans="1:41" s="602" customFormat="1" ht="12" customHeight="1">
      <c r="A151" s="670">
        <v>4</v>
      </c>
      <c r="B151" s="838" t="s">
        <v>320</v>
      </c>
      <c r="C151" s="672"/>
      <c r="D151" s="673" t="s">
        <v>452</v>
      </c>
      <c r="E151" s="1237">
        <f>IF(AND($A151=0,$A$1="DIF"),0, ROUND(ROUND(($R155*$S$5+($T155*$T$5))/$A151,2)*$C$5,2))</f>
        <v>34.31</v>
      </c>
      <c r="F151" s="1238">
        <f>ROUND($A151*$E151,2)</f>
        <v>137.24</v>
      </c>
      <c r="G151" s="676" t="s">
        <v>142</v>
      </c>
      <c r="H151" s="664"/>
      <c r="I151" s="677"/>
      <c r="J151" s="664"/>
      <c r="K151" s="664" t="s">
        <v>10</v>
      </c>
      <c r="L151" s="678" t="s">
        <v>143</v>
      </c>
      <c r="M151" s="678"/>
      <c r="N151" s="678"/>
      <c r="O151" s="678"/>
      <c r="P151" s="678"/>
      <c r="Q151" s="63"/>
      <c r="T151" s="1242" t="str">
        <f>IF(AND($R155=0,$T155=0),"0.00","mu: "&amp; ROUND(F151/$C$5/($R155+$T155*$D$9),2))</f>
        <v>mu: 1</v>
      </c>
      <c r="W151" s="604"/>
      <c r="AG151" s="1239">
        <f>IF($E151=0,0,ROUND($R155*$S$5*$C$5/$A151,2))</f>
        <v>34.31</v>
      </c>
      <c r="AH151" s="1239">
        <f>$AG151*$A151</f>
        <v>137.24</v>
      </c>
      <c r="AI151" s="1240">
        <f>$E151-$AG151</f>
        <v>0</v>
      </c>
      <c r="AJ151" s="1240">
        <f>$A151*$AI151</f>
        <v>0</v>
      </c>
      <c r="AK151" s="1241">
        <f>ROUND(($AG151+$AI151)*$A151,2)</f>
        <v>137.24</v>
      </c>
      <c r="AM151" s="607">
        <f>ROUND(R155,2)</f>
        <v>137.24</v>
      </c>
      <c r="AN151" s="608">
        <f>ROUND(T155,2)</f>
        <v>0</v>
      </c>
      <c r="AO151" s="609">
        <f>ROUND(AM151+AN151,2)*A151</f>
        <v>548.96</v>
      </c>
    </row>
    <row r="152" spans="1:41" s="602" customFormat="1" ht="13.2">
      <c r="A152" s="672"/>
      <c r="B152"/>
      <c r="C152" s="672"/>
      <c r="D152" s="673" t="s">
        <v>336</v>
      </c>
      <c r="F152" s="664"/>
      <c r="G152" s="3"/>
      <c r="H152" s="664"/>
      <c r="I152" s="677"/>
      <c r="J152" s="664"/>
      <c r="K152" s="664" t="s">
        <v>144</v>
      </c>
      <c r="L152" s="664"/>
      <c r="M152" s="664"/>
      <c r="N152" s="664"/>
      <c r="O152" s="664"/>
      <c r="P152" s="664"/>
      <c r="Q152" s="63"/>
      <c r="R152" s="610"/>
      <c r="S152" s="680"/>
      <c r="T152" s="664"/>
    </row>
    <row r="153" spans="1:41" s="730" customFormat="1" ht="13.2">
      <c r="A153" s="750">
        <f>A151</f>
        <v>4</v>
      </c>
      <c r="B153" s="740" t="s">
        <v>312</v>
      </c>
      <c r="C153" s="740"/>
      <c r="D153" s="740" t="s">
        <v>1175</v>
      </c>
      <c r="E153" s="740"/>
      <c r="F153" s="749" t="s">
        <v>1177</v>
      </c>
      <c r="G153" s="741" t="s">
        <v>1176</v>
      </c>
      <c r="H153" s="1002">
        <v>960</v>
      </c>
      <c r="I153" s="740" t="s">
        <v>686</v>
      </c>
      <c r="J153" s="740"/>
      <c r="K153" s="740"/>
      <c r="L153" s="740"/>
      <c r="M153" s="740"/>
      <c r="N153" s="740"/>
      <c r="O153" s="744">
        <v>4</v>
      </c>
      <c r="P153" s="745">
        <v>38594</v>
      </c>
      <c r="Q153" s="746">
        <v>34.31</v>
      </c>
      <c r="R153" s="747">
        <f>$A153*Q153</f>
        <v>137.24</v>
      </c>
      <c r="S153" s="746"/>
      <c r="T153" s="748">
        <f>$A153*S153*$T$1</f>
        <v>0</v>
      </c>
    </row>
    <row r="154" spans="1:41" s="602" customFormat="1" ht="12">
      <c r="A154" s="663"/>
      <c r="B154" s="663"/>
      <c r="C154" s="663"/>
      <c r="D154" s="663"/>
      <c r="E154" s="663"/>
      <c r="F154" s="664"/>
      <c r="G154" s="663"/>
      <c r="H154" s="663"/>
      <c r="I154" s="601"/>
      <c r="J154" s="663"/>
      <c r="K154" s="663"/>
      <c r="L154" s="663"/>
      <c r="M154" s="663"/>
      <c r="N154" s="663"/>
      <c r="O154" s="663"/>
      <c r="P154" s="663"/>
      <c r="Q154" s="601"/>
      <c r="R154" s="666">
        <f>$A154*Q154</f>
        <v>0</v>
      </c>
      <c r="S154" s="601"/>
      <c r="T154" s="681">
        <f>$A154*S154*$T$1</f>
        <v>0</v>
      </c>
    </row>
    <row r="155" spans="1:41" s="602" customFormat="1" ht="12.6" thickBot="1">
      <c r="A155" s="682" t="s">
        <v>145</v>
      </c>
      <c r="B155" s="683">
        <f>(R154+T154)</f>
        <v>0</v>
      </c>
      <c r="C155" s="684"/>
      <c r="D155" s="684"/>
      <c r="E155" s="684"/>
      <c r="F155" s="685"/>
      <c r="G155" s="684" t="s">
        <v>146</v>
      </c>
      <c r="H155" s="684"/>
      <c r="I155" s="686"/>
      <c r="J155" s="684"/>
      <c r="K155" s="684" t="s">
        <v>10</v>
      </c>
      <c r="L155" s="687" t="s">
        <v>143</v>
      </c>
      <c r="M155" s="687"/>
      <c r="N155" s="687"/>
      <c r="O155" s="687"/>
      <c r="P155" s="687"/>
      <c r="Q155" s="688"/>
      <c r="R155" s="689">
        <f>SUM(R152:R154)</f>
        <v>137.24</v>
      </c>
      <c r="S155" s="684"/>
      <c r="T155" s="689">
        <f>SUM(T152:T154)</f>
        <v>0</v>
      </c>
      <c r="U155" s="611"/>
      <c r="V155" s="611"/>
      <c r="W155" s="611"/>
      <c r="X155" s="611"/>
      <c r="Y155" s="611"/>
      <c r="Z155" s="611"/>
      <c r="AA155" s="611"/>
      <c r="AB155" s="611"/>
      <c r="AC155" s="611"/>
      <c r="AD155" s="611"/>
      <c r="AE155" s="611"/>
      <c r="AF155" s="611"/>
      <c r="AG155" s="611"/>
      <c r="AH155" s="611"/>
      <c r="AI155" s="611"/>
      <c r="AJ155" s="611"/>
      <c r="AK155" s="611"/>
      <c r="AL155" s="611"/>
      <c r="AM155" s="611"/>
      <c r="AN155" s="611"/>
      <c r="AO155" s="611"/>
    </row>
    <row r="156" spans="1:41" s="602" customFormat="1" ht="12" thickTop="1">
      <c r="A156" s="63"/>
      <c r="B156" s="41"/>
      <c r="C156" s="63"/>
      <c r="E156" s="42" t="s">
        <v>138</v>
      </c>
      <c r="F156" s="42" t="s">
        <v>139</v>
      </c>
      <c r="G156" s="63"/>
      <c r="H156" s="63"/>
      <c r="I156" s="63"/>
      <c r="J156" s="63"/>
      <c r="K156" s="63" t="s">
        <v>140</v>
      </c>
      <c r="L156" s="63"/>
      <c r="M156" s="63"/>
      <c r="N156" s="63"/>
      <c r="O156" s="64"/>
      <c r="P156" s="63"/>
      <c r="Q156" s="63"/>
      <c r="R156" s="63"/>
      <c r="S156" s="63"/>
      <c r="T156" s="41"/>
      <c r="AG156" s="667" t="s">
        <v>278</v>
      </c>
      <c r="AH156" s="667" t="s">
        <v>279</v>
      </c>
      <c r="AI156" s="667" t="s">
        <v>280</v>
      </c>
      <c r="AJ156" s="667" t="s">
        <v>281</v>
      </c>
      <c r="AK156" s="667" t="s">
        <v>282</v>
      </c>
      <c r="AM156" s="668" t="s">
        <v>291</v>
      </c>
      <c r="AN156" s="669" t="s">
        <v>292</v>
      </c>
      <c r="AO156" s="603" t="s">
        <v>288</v>
      </c>
    </row>
    <row r="157" spans="1:41" s="602" customFormat="1" ht="12" customHeight="1">
      <c r="A157" s="670">
        <v>3</v>
      </c>
      <c r="B157" s="838" t="s">
        <v>320</v>
      </c>
      <c r="C157" s="672"/>
      <c r="D157" s="673" t="s">
        <v>453</v>
      </c>
      <c r="E157" s="1237">
        <f>IF(AND($A157=0,$A$1="DIF"),0, ROUND(ROUND(($R161*$S$5+($T161*$T$5))/$A157,2)*$C$5,2))</f>
        <v>34.31</v>
      </c>
      <c r="F157" s="1238">
        <f>ROUND($A157*$E157,2)</f>
        <v>102.93</v>
      </c>
      <c r="G157" s="676" t="s">
        <v>142</v>
      </c>
      <c r="H157" s="664"/>
      <c r="I157" s="677"/>
      <c r="J157" s="664"/>
      <c r="K157" s="664" t="s">
        <v>10</v>
      </c>
      <c r="L157" s="678" t="s">
        <v>143</v>
      </c>
      <c r="M157" s="678"/>
      <c r="N157" s="678"/>
      <c r="O157" s="678"/>
      <c r="P157" s="678"/>
      <c r="Q157" s="63"/>
      <c r="T157" s="1242" t="str">
        <f>IF(AND($R161=0,$T161=0),"0.00","mu: "&amp; ROUND(F157/$C$5/($R161+$T161*$D$9),2))</f>
        <v>mu: 1</v>
      </c>
      <c r="W157" s="604"/>
      <c r="AG157" s="1239">
        <f>IF($E157=0,0,ROUND($R161*$S$5*$C$5/$A157,2))</f>
        <v>34.31</v>
      </c>
      <c r="AH157" s="1239">
        <f>$AG157*$A157</f>
        <v>102.93</v>
      </c>
      <c r="AI157" s="1240">
        <f>$E157-$AG157</f>
        <v>0</v>
      </c>
      <c r="AJ157" s="1240">
        <f>$A157*$AI157</f>
        <v>0</v>
      </c>
      <c r="AK157" s="1241">
        <f>ROUND(($AG157+$AI157)*$A157,2)</f>
        <v>102.93</v>
      </c>
      <c r="AM157" s="607">
        <f>ROUND(R161,2)</f>
        <v>102.93</v>
      </c>
      <c r="AN157" s="608">
        <f>ROUND(T161,2)</f>
        <v>0</v>
      </c>
      <c r="AO157" s="609">
        <f>ROUND(AM157+AN157,2)*A157</f>
        <v>308.79000000000002</v>
      </c>
    </row>
    <row r="158" spans="1:41" s="602" customFormat="1" ht="13.2">
      <c r="A158" s="672"/>
      <c r="B158"/>
      <c r="C158" s="672"/>
      <c r="D158" s="673" t="s">
        <v>337</v>
      </c>
      <c r="F158" s="664"/>
      <c r="G158" s="3"/>
      <c r="H158" s="664"/>
      <c r="I158" s="677"/>
      <c r="J158" s="664"/>
      <c r="K158" s="664" t="s">
        <v>144</v>
      </c>
      <c r="L158" s="664"/>
      <c r="M158" s="664"/>
      <c r="N158" s="664"/>
      <c r="O158" s="664"/>
      <c r="P158" s="664"/>
      <c r="Q158" s="63"/>
      <c r="R158" s="610"/>
      <c r="S158" s="680"/>
      <c r="T158" s="664"/>
    </row>
    <row r="159" spans="1:41" s="730" customFormat="1" ht="13.2">
      <c r="A159" s="750">
        <f>A157</f>
        <v>3</v>
      </c>
      <c r="B159" s="740" t="s">
        <v>312</v>
      </c>
      <c r="C159" s="740"/>
      <c r="D159" s="740" t="s">
        <v>1175</v>
      </c>
      <c r="E159" s="740"/>
      <c r="F159" s="749" t="s">
        <v>1177</v>
      </c>
      <c r="G159" s="741" t="s">
        <v>1176</v>
      </c>
      <c r="H159" s="1002">
        <v>960</v>
      </c>
      <c r="I159" s="740" t="s">
        <v>686</v>
      </c>
      <c r="J159" s="740"/>
      <c r="K159" s="740"/>
      <c r="L159" s="740"/>
      <c r="M159" s="740"/>
      <c r="N159" s="740"/>
      <c r="O159" s="744">
        <v>4</v>
      </c>
      <c r="P159" s="745">
        <v>38594</v>
      </c>
      <c r="Q159" s="746">
        <v>34.31</v>
      </c>
      <c r="R159" s="747">
        <f>$A159*Q159</f>
        <v>102.93</v>
      </c>
      <c r="S159" s="746"/>
      <c r="T159" s="748">
        <f>$A159*S159*$T$1</f>
        <v>0</v>
      </c>
    </row>
    <row r="160" spans="1:41" s="602" customFormat="1" ht="12">
      <c r="A160" s="663"/>
      <c r="B160" s="663"/>
      <c r="C160" s="663"/>
      <c r="D160" s="663"/>
      <c r="E160" s="663"/>
      <c r="F160" s="664"/>
      <c r="G160" s="663"/>
      <c r="H160" s="663"/>
      <c r="I160" s="601"/>
      <c r="J160" s="663"/>
      <c r="K160" s="663"/>
      <c r="L160" s="663"/>
      <c r="M160" s="663"/>
      <c r="N160" s="663"/>
      <c r="O160" s="663"/>
      <c r="P160" s="663"/>
      <c r="Q160" s="601"/>
      <c r="R160" s="666">
        <f>$A160*Q160</f>
        <v>0</v>
      </c>
      <c r="S160" s="601"/>
      <c r="T160" s="681">
        <f>$A160*S160*$T$1</f>
        <v>0</v>
      </c>
    </row>
    <row r="161" spans="1:41" s="602" customFormat="1" ht="12.6" thickBot="1">
      <c r="A161" s="682" t="s">
        <v>145</v>
      </c>
      <c r="B161" s="683">
        <f>(R160+T160)</f>
        <v>0</v>
      </c>
      <c r="C161" s="684"/>
      <c r="D161" s="684"/>
      <c r="E161" s="684"/>
      <c r="F161" s="685"/>
      <c r="G161" s="684" t="s">
        <v>146</v>
      </c>
      <c r="H161" s="684"/>
      <c r="I161" s="686"/>
      <c r="J161" s="684"/>
      <c r="K161" s="684" t="s">
        <v>10</v>
      </c>
      <c r="L161" s="687" t="s">
        <v>143</v>
      </c>
      <c r="M161" s="687"/>
      <c r="N161" s="687"/>
      <c r="O161" s="687"/>
      <c r="P161" s="687"/>
      <c r="Q161" s="688"/>
      <c r="R161" s="689">
        <f>SUM(R158:R160)</f>
        <v>102.93</v>
      </c>
      <c r="S161" s="684"/>
      <c r="T161" s="689">
        <f>SUM(T158:T160)</f>
        <v>0</v>
      </c>
      <c r="U161" s="611"/>
      <c r="V161" s="611"/>
      <c r="W161" s="611"/>
      <c r="X161" s="611"/>
      <c r="Y161" s="611"/>
      <c r="Z161" s="611"/>
      <c r="AA161" s="611"/>
      <c r="AB161" s="611"/>
      <c r="AC161" s="611"/>
      <c r="AD161" s="611"/>
      <c r="AE161" s="611"/>
      <c r="AF161" s="611"/>
      <c r="AG161" s="611"/>
      <c r="AH161" s="611"/>
      <c r="AI161" s="611"/>
      <c r="AJ161" s="611"/>
      <c r="AK161" s="611"/>
      <c r="AL161" s="611"/>
      <c r="AM161" s="611"/>
      <c r="AN161" s="611"/>
      <c r="AO161" s="611"/>
    </row>
    <row r="162" spans="1:41" s="602" customFormat="1" ht="12" thickTop="1">
      <c r="A162" s="51" t="s">
        <v>154</v>
      </c>
      <c r="D162" s="13"/>
      <c r="E162" s="42"/>
      <c r="O162" s="698"/>
    </row>
    <row r="163" spans="1:41" s="602" customFormat="1" ht="13.2">
      <c r="B163" s="3"/>
      <c r="O163" s="698"/>
    </row>
    <row r="164" spans="1:41" s="602" customFormat="1" ht="12">
      <c r="B164" s="699">
        <f>$F164/$C$2-($R164*$S$2+$T164*$T$2)</f>
        <v>-39622.233974173752</v>
      </c>
      <c r="D164" s="700" t="s">
        <v>414</v>
      </c>
      <c r="E164" s="701"/>
      <c r="F164" s="702">
        <f>SUMIF($L84:$L162,"ITEM",F84:F162)</f>
        <v>122636.45999999999</v>
      </c>
      <c r="G164" s="663"/>
      <c r="H164" s="663"/>
      <c r="I164" s="601"/>
      <c r="J164" s="663"/>
      <c r="K164" s="663"/>
      <c r="L164" s="678" t="s">
        <v>166</v>
      </c>
      <c r="M164" s="678"/>
      <c r="N164" s="678"/>
      <c r="O164" s="678"/>
      <c r="P164" s="678"/>
      <c r="R164" s="702">
        <f>SUMIF($L84:$L162,"ITEM",R84:R162)</f>
        <v>122636.45999999999</v>
      </c>
      <c r="S164" s="71"/>
      <c r="T164" s="702">
        <f>SUMIF($L84:$L162,"ITEM",T84:T162)</f>
        <v>0</v>
      </c>
    </row>
    <row r="165" spans="1:41" s="602" customFormat="1" ht="13.2">
      <c r="A165" s="63"/>
      <c r="B165" s="55" t="s">
        <v>413</v>
      </c>
      <c r="C165" s="63"/>
      <c r="D165" s="3"/>
      <c r="F165" s="703" t="s">
        <v>168</v>
      </c>
      <c r="G165" s="663"/>
      <c r="H165" s="663"/>
      <c r="I165" s="601"/>
      <c r="J165" s="663"/>
      <c r="K165" s="663"/>
      <c r="L165" s="663"/>
      <c r="M165" s="663"/>
      <c r="N165" s="663"/>
      <c r="O165" s="663"/>
      <c r="P165" s="663"/>
      <c r="Q165" s="665"/>
      <c r="R165" s="703" t="s">
        <v>169</v>
      </c>
      <c r="S165" s="38"/>
      <c r="T165" s="703" t="s">
        <v>170</v>
      </c>
    </row>
    <row r="166" spans="1:41" s="602" customFormat="1" ht="13.2">
      <c r="A166" s="663"/>
      <c r="B166" s="3"/>
      <c r="C166" s="663"/>
      <c r="D166" s="3"/>
      <c r="E166" s="3"/>
      <c r="G166" s="3"/>
      <c r="H166" s="3"/>
      <c r="I166" s="3"/>
      <c r="J166" s="3"/>
      <c r="K166" s="3"/>
      <c r="L166" s="3"/>
      <c r="M166" s="3"/>
      <c r="N166" s="3"/>
      <c r="O166" s="158"/>
      <c r="P166" s="3"/>
      <c r="Q166" s="3"/>
      <c r="R166" s="3"/>
      <c r="S166" s="3"/>
      <c r="T166" s="3"/>
    </row>
    <row r="167" spans="1:41" s="602" customFormat="1" ht="12" thickBot="1">
      <c r="A167" s="611"/>
      <c r="B167" s="684"/>
      <c r="C167" s="684"/>
      <c r="D167" s="611"/>
      <c r="E167" s="39"/>
      <c r="F167" s="704"/>
      <c r="G167" s="684"/>
      <c r="H167" s="684"/>
      <c r="I167" s="686"/>
      <c r="J167" s="684"/>
      <c r="K167" s="684"/>
      <c r="L167" s="687"/>
      <c r="M167" s="687"/>
      <c r="N167" s="687"/>
      <c r="O167" s="687"/>
      <c r="P167" s="687"/>
      <c r="Q167" s="688"/>
      <c r="R167" s="704"/>
      <c r="S167" s="705"/>
      <c r="T167" s="704"/>
      <c r="U167" s="611"/>
      <c r="V167" s="611"/>
      <c r="W167" s="611"/>
      <c r="X167" s="611"/>
      <c r="Y167" s="611"/>
      <c r="Z167" s="611"/>
      <c r="AA167" s="611"/>
      <c r="AB167" s="611"/>
      <c r="AC167" s="611"/>
      <c r="AD167" s="611"/>
      <c r="AE167" s="611"/>
      <c r="AF167" s="611"/>
      <c r="AG167" s="611"/>
      <c r="AH167" s="611"/>
      <c r="AI167" s="611"/>
      <c r="AJ167" s="611"/>
      <c r="AK167" s="611"/>
    </row>
    <row r="168" spans="1:41" s="602" customFormat="1" thickTop="1">
      <c r="A168" s="63"/>
      <c r="B168" s="63"/>
      <c r="C168" s="3"/>
      <c r="D168" s="3"/>
      <c r="E168" s="63"/>
      <c r="F168" s="63"/>
      <c r="G168" s="63"/>
      <c r="H168" s="63"/>
      <c r="I168" s="63"/>
      <c r="J168" s="63"/>
      <c r="K168" s="63" t="s">
        <v>134</v>
      </c>
      <c r="L168" s="63"/>
      <c r="M168" s="63"/>
      <c r="N168" s="63"/>
      <c r="O168" s="64"/>
      <c r="P168" s="63"/>
      <c r="Q168" s="63"/>
      <c r="R168" s="63"/>
      <c r="S168" s="63"/>
      <c r="T168" s="63"/>
    </row>
    <row r="169" spans="1:41" s="602" customFormat="1" ht="12">
      <c r="A169" s="63"/>
      <c r="B169" s="63"/>
      <c r="C169" s="63" t="s">
        <v>135</v>
      </c>
      <c r="D169" s="37"/>
      <c r="E169" s="63"/>
      <c r="F169" s="63"/>
      <c r="G169" s="63"/>
      <c r="H169" s="63"/>
      <c r="I169" s="63"/>
      <c r="J169" s="63"/>
      <c r="K169" s="63"/>
      <c r="L169" s="63"/>
      <c r="M169" s="63"/>
      <c r="N169" s="63"/>
      <c r="O169" s="64"/>
      <c r="P169" s="63"/>
      <c r="Q169" s="63"/>
      <c r="R169" s="63"/>
      <c r="S169" s="63"/>
      <c r="T169" s="63"/>
    </row>
    <row r="170" spans="1:41" s="602" customFormat="1" ht="12">
      <c r="A170" s="63"/>
      <c r="B170" s="63"/>
      <c r="C170" s="63"/>
      <c r="D170" s="37" t="s">
        <v>339</v>
      </c>
      <c r="E170" s="63"/>
      <c r="F170" s="63"/>
      <c r="G170" s="63"/>
      <c r="H170" s="63"/>
      <c r="I170" s="63"/>
      <c r="J170" s="63"/>
      <c r="K170" s="63"/>
      <c r="L170" s="63"/>
      <c r="M170" s="63"/>
      <c r="N170" s="63"/>
      <c r="O170" s="64"/>
      <c r="P170" s="63"/>
      <c r="Q170" s="63"/>
      <c r="R170" s="63"/>
      <c r="S170" s="38"/>
      <c r="T170" s="38"/>
    </row>
    <row r="171" spans="1:41" s="3" customFormat="1" thickBot="1">
      <c r="A171" s="611"/>
      <c r="O171" s="158"/>
    </row>
    <row r="172" spans="1:41" s="602" customFormat="1" thickTop="1">
      <c r="A172" s="63"/>
      <c r="B172" s="63"/>
      <c r="C172" s="3"/>
      <c r="D172" s="3"/>
      <c r="E172" s="63"/>
      <c r="F172" s="63"/>
      <c r="G172" s="63"/>
      <c r="H172" s="63"/>
      <c r="I172" s="63"/>
      <c r="J172" s="63"/>
      <c r="K172" s="63" t="s">
        <v>134</v>
      </c>
      <c r="L172" s="63"/>
      <c r="M172" s="63"/>
      <c r="N172" s="63"/>
      <c r="O172" s="64"/>
      <c r="P172" s="63"/>
      <c r="Q172" s="63"/>
      <c r="R172" s="63"/>
      <c r="S172" s="63"/>
      <c r="T172" s="63"/>
    </row>
    <row r="173" spans="1:41" s="602" customFormat="1" ht="12">
      <c r="A173" s="63"/>
      <c r="B173" s="63"/>
      <c r="C173" s="63" t="s">
        <v>135</v>
      </c>
      <c r="D173" s="37" t="s">
        <v>410</v>
      </c>
      <c r="E173" s="63"/>
      <c r="F173" s="63"/>
      <c r="G173" s="63"/>
      <c r="H173" s="63"/>
      <c r="I173" s="63"/>
      <c r="J173" s="63"/>
      <c r="K173" s="63"/>
      <c r="L173" s="63"/>
      <c r="M173" s="63"/>
      <c r="N173" s="63"/>
      <c r="O173" s="64"/>
      <c r="P173" s="63"/>
      <c r="Q173" s="63"/>
      <c r="R173" s="63"/>
      <c r="S173" s="63"/>
      <c r="T173" s="63"/>
    </row>
    <row r="174" spans="1:41" s="602" customFormat="1" ht="12">
      <c r="A174" s="63"/>
      <c r="B174" s="63"/>
      <c r="C174" s="63"/>
      <c r="D174" s="37" t="s">
        <v>466</v>
      </c>
      <c r="E174" s="63"/>
      <c r="F174" s="63"/>
      <c r="G174" s="63"/>
      <c r="H174" s="63"/>
      <c r="I174" s="63"/>
      <c r="J174" s="63"/>
      <c r="K174" s="63"/>
      <c r="L174" s="63"/>
      <c r="M174" s="63"/>
      <c r="N174" s="63"/>
      <c r="O174" s="64"/>
      <c r="P174" s="63"/>
      <c r="Q174" s="63"/>
      <c r="R174" s="63"/>
      <c r="S174" s="38"/>
      <c r="T174" s="38"/>
    </row>
    <row r="175" spans="1:41" s="3" customFormat="1" thickBot="1">
      <c r="A175" s="611"/>
      <c r="O175" s="158"/>
    </row>
    <row r="176" spans="1:41" s="602" customFormat="1" ht="12" thickTop="1">
      <c r="A176" s="63"/>
      <c r="B176" s="41"/>
      <c r="C176" s="63"/>
      <c r="E176" s="42" t="s">
        <v>138</v>
      </c>
      <c r="F176" s="42" t="s">
        <v>139</v>
      </c>
      <c r="G176" s="63"/>
      <c r="H176" s="63"/>
      <c r="I176" s="63"/>
      <c r="J176" s="63"/>
      <c r="K176" s="63" t="s">
        <v>140</v>
      </c>
      <c r="L176" s="63"/>
      <c r="M176" s="63"/>
      <c r="N176" s="63"/>
      <c r="O176" s="64"/>
      <c r="P176" s="63"/>
      <c r="Q176" s="63"/>
      <c r="R176" s="63"/>
      <c r="S176" s="63"/>
      <c r="T176" s="41"/>
      <c r="AG176" s="667" t="s">
        <v>278</v>
      </c>
      <c r="AH176" s="667" t="s">
        <v>279</v>
      </c>
      <c r="AI176" s="667" t="s">
        <v>280</v>
      </c>
      <c r="AJ176" s="667" t="s">
        <v>281</v>
      </c>
      <c r="AK176" s="667" t="s">
        <v>282</v>
      </c>
      <c r="AM176" s="668" t="s">
        <v>291</v>
      </c>
      <c r="AN176" s="669" t="s">
        <v>292</v>
      </c>
      <c r="AO176" s="603" t="s">
        <v>288</v>
      </c>
    </row>
    <row r="177" spans="1:41" s="602" customFormat="1" ht="12" customHeight="1">
      <c r="A177" s="670">
        <v>3</v>
      </c>
      <c r="B177" s="838" t="s">
        <v>320</v>
      </c>
      <c r="C177" s="672"/>
      <c r="D177" s="673" t="s">
        <v>457</v>
      </c>
      <c r="E177" s="1237">
        <f>IF(AND($A177=0,$A$1="DIF"),0, ROUND(ROUND(($R181*$S$5+($T181*$T$5))/$A177,2)*$C$5,2))</f>
        <v>138.46</v>
      </c>
      <c r="F177" s="1238">
        <f>ROUND($A177*$E177,2)</f>
        <v>415.38</v>
      </c>
      <c r="G177" s="676" t="s">
        <v>142</v>
      </c>
      <c r="H177" s="664"/>
      <c r="I177" s="677"/>
      <c r="J177" s="664"/>
      <c r="K177" s="664" t="s">
        <v>10</v>
      </c>
      <c r="L177" s="678" t="s">
        <v>143</v>
      </c>
      <c r="M177" s="678"/>
      <c r="N177" s="678"/>
      <c r="O177" s="678"/>
      <c r="P177" s="678"/>
      <c r="Q177" s="63"/>
      <c r="T177" s="1242" t="str">
        <f>IF(AND($R181=0,$T181=0),"0.00","mu: "&amp; ROUND(F177/$C$5/($R181+$T181*$D$9),2))</f>
        <v>mu: 1</v>
      </c>
      <c r="W177" s="604"/>
      <c r="AG177" s="1239">
        <f>IF($E177=0,0,ROUND($R181*$S$5*$C$5/$A177,2))</f>
        <v>138.46</v>
      </c>
      <c r="AH177" s="1239">
        <f>$AG177*$A177</f>
        <v>415.38</v>
      </c>
      <c r="AI177" s="1240">
        <f>$E177-$AG177</f>
        <v>0</v>
      </c>
      <c r="AJ177" s="1240">
        <f>$A177*$AI177</f>
        <v>0</v>
      </c>
      <c r="AK177" s="1241">
        <f>ROUND(($AG177+$AI177)*$A177,2)</f>
        <v>415.38</v>
      </c>
      <c r="AM177" s="607">
        <f>ROUND(R181,2)</f>
        <v>415.38</v>
      </c>
      <c r="AN177" s="608">
        <f>ROUND(T181,2)</f>
        <v>0</v>
      </c>
      <c r="AO177" s="609">
        <f>ROUND(AM177+AN177,2)*A177</f>
        <v>1246.1399999999999</v>
      </c>
    </row>
    <row r="178" spans="1:41" s="602" customFormat="1" ht="13.2">
      <c r="A178" s="672"/>
      <c r="B178"/>
      <c r="C178" s="672"/>
      <c r="D178" s="673" t="s">
        <v>341</v>
      </c>
      <c r="F178" s="664"/>
      <c r="G178" s="3"/>
      <c r="H178" s="664"/>
      <c r="I178" s="677"/>
      <c r="J178" s="664"/>
      <c r="K178" s="664" t="s">
        <v>144</v>
      </c>
      <c r="L178" s="664"/>
      <c r="M178" s="664"/>
      <c r="N178" s="664"/>
      <c r="O178" s="664"/>
      <c r="P178" s="664"/>
      <c r="Q178" s="63"/>
      <c r="R178" s="610"/>
      <c r="S178" s="680"/>
      <c r="T178" s="664"/>
    </row>
    <row r="179" spans="1:41" s="730" customFormat="1" ht="13.2">
      <c r="A179" s="750">
        <f>A177</f>
        <v>3</v>
      </c>
      <c r="B179" s="740" t="s">
        <v>312</v>
      </c>
      <c r="C179" s="740"/>
      <c r="D179" s="740" t="s">
        <v>1175</v>
      </c>
      <c r="E179" s="740"/>
      <c r="F179" s="749" t="s">
        <v>1177</v>
      </c>
      <c r="G179" s="741" t="s">
        <v>1176</v>
      </c>
      <c r="H179" s="1002">
        <v>960</v>
      </c>
      <c r="I179" s="740" t="s">
        <v>686</v>
      </c>
      <c r="J179" s="740"/>
      <c r="K179" s="740"/>
      <c r="L179" s="740"/>
      <c r="M179" s="740"/>
      <c r="N179" s="740"/>
      <c r="O179" s="744">
        <v>4</v>
      </c>
      <c r="P179" s="745">
        <v>38594</v>
      </c>
      <c r="Q179" s="746">
        <v>138.46</v>
      </c>
      <c r="R179" s="747">
        <f>$A179*Q179</f>
        <v>415.38</v>
      </c>
      <c r="S179" s="746"/>
      <c r="T179" s="748">
        <f>$A179*S179*$T$1</f>
        <v>0</v>
      </c>
    </row>
    <row r="180" spans="1:41" s="602" customFormat="1" ht="12">
      <c r="A180" s="663"/>
      <c r="B180" s="663"/>
      <c r="C180" s="663"/>
      <c r="D180" s="663"/>
      <c r="E180" s="663"/>
      <c r="F180" s="664"/>
      <c r="G180" s="663"/>
      <c r="H180" s="663"/>
      <c r="I180" s="601"/>
      <c r="J180" s="663"/>
      <c r="K180" s="663"/>
      <c r="L180" s="663"/>
      <c r="M180" s="663"/>
      <c r="N180" s="663"/>
      <c r="O180" s="663"/>
      <c r="P180" s="663"/>
      <c r="Q180" s="601"/>
      <c r="R180" s="666">
        <f>$A180*Q180</f>
        <v>0</v>
      </c>
      <c r="S180" s="601"/>
      <c r="T180" s="681">
        <f>$A180*S180*$T$1</f>
        <v>0</v>
      </c>
    </row>
    <row r="181" spans="1:41" s="602" customFormat="1" ht="12.6" thickBot="1">
      <c r="A181" s="682" t="s">
        <v>145</v>
      </c>
      <c r="B181" s="683">
        <f>(R180+T180)</f>
        <v>0</v>
      </c>
      <c r="C181" s="684"/>
      <c r="D181" s="684"/>
      <c r="E181" s="684"/>
      <c r="F181" s="685"/>
      <c r="G181" s="684" t="s">
        <v>146</v>
      </c>
      <c r="H181" s="684"/>
      <c r="I181" s="686"/>
      <c r="J181" s="684"/>
      <c r="K181" s="684" t="s">
        <v>10</v>
      </c>
      <c r="L181" s="687" t="s">
        <v>143</v>
      </c>
      <c r="M181" s="687"/>
      <c r="N181" s="687"/>
      <c r="O181" s="687"/>
      <c r="P181" s="687"/>
      <c r="Q181" s="688"/>
      <c r="R181" s="689">
        <f>SUM(R178:R180)</f>
        <v>415.38</v>
      </c>
      <c r="S181" s="684"/>
      <c r="T181" s="689">
        <f>SUM(T178:T180)</f>
        <v>0</v>
      </c>
      <c r="U181" s="611"/>
      <c r="V181" s="611"/>
      <c r="W181" s="611"/>
      <c r="X181" s="611"/>
      <c r="Y181" s="611"/>
      <c r="Z181" s="611"/>
      <c r="AA181" s="611"/>
      <c r="AB181" s="611"/>
      <c r="AC181" s="611"/>
      <c r="AD181" s="611"/>
      <c r="AE181" s="611"/>
      <c r="AF181" s="611"/>
      <c r="AG181" s="611"/>
      <c r="AH181" s="611"/>
      <c r="AI181" s="611"/>
      <c r="AJ181" s="611"/>
      <c r="AK181" s="611"/>
      <c r="AL181" s="611"/>
      <c r="AM181" s="611"/>
      <c r="AN181" s="611"/>
      <c r="AO181" s="611"/>
    </row>
    <row r="182" spans="1:41" s="602" customFormat="1" ht="12" thickTop="1">
      <c r="A182" s="63"/>
      <c r="B182" s="41"/>
      <c r="C182" s="63"/>
      <c r="E182" s="42" t="s">
        <v>138</v>
      </c>
      <c r="F182" s="42" t="s">
        <v>139</v>
      </c>
      <c r="G182" s="63"/>
      <c r="H182" s="63"/>
      <c r="I182" s="63"/>
      <c r="J182" s="63"/>
      <c r="K182" s="63" t="s">
        <v>140</v>
      </c>
      <c r="L182" s="63"/>
      <c r="M182" s="63"/>
      <c r="N182" s="63"/>
      <c r="O182" s="64"/>
      <c r="P182" s="63"/>
      <c r="Q182" s="63"/>
      <c r="R182" s="63"/>
      <c r="S182" s="63"/>
      <c r="T182" s="41"/>
      <c r="AG182" s="667" t="s">
        <v>278</v>
      </c>
      <c r="AH182" s="667" t="s">
        <v>279</v>
      </c>
      <c r="AI182" s="667" t="s">
        <v>280</v>
      </c>
      <c r="AJ182" s="667" t="s">
        <v>281</v>
      </c>
      <c r="AK182" s="667" t="s">
        <v>282</v>
      </c>
      <c r="AM182" s="668" t="s">
        <v>291</v>
      </c>
      <c r="AN182" s="669" t="s">
        <v>292</v>
      </c>
      <c r="AO182" s="603" t="s">
        <v>288</v>
      </c>
    </row>
    <row r="183" spans="1:41" s="602" customFormat="1" ht="12" customHeight="1">
      <c r="A183" s="670">
        <v>1</v>
      </c>
      <c r="B183" s="838" t="s">
        <v>320</v>
      </c>
      <c r="C183" s="672"/>
      <c r="D183" s="673" t="s">
        <v>458</v>
      </c>
      <c r="E183" s="1237">
        <f>IF(AND($A183=0,$A$1="DIF"),0, ROUND(ROUND(($R187*$S$5+($T187*$T$5))/$A183,2)*$C$5,2))</f>
        <v>247.73</v>
      </c>
      <c r="F183" s="1238">
        <f>ROUND($A183*$E183,2)</f>
        <v>247.73</v>
      </c>
      <c r="G183" s="676" t="s">
        <v>142</v>
      </c>
      <c r="H183" s="664"/>
      <c r="I183" s="677"/>
      <c r="J183" s="664"/>
      <c r="K183" s="664" t="s">
        <v>10</v>
      </c>
      <c r="L183" s="678" t="s">
        <v>143</v>
      </c>
      <c r="M183" s="678"/>
      <c r="N183" s="678"/>
      <c r="O183" s="678"/>
      <c r="P183" s="678"/>
      <c r="Q183" s="63"/>
      <c r="T183" s="1242" t="str">
        <f>IF(AND($R187=0,$T187=0),"0.00","mu: "&amp; ROUND(F183/$C$5/($R187+$T187*$D$9),2))</f>
        <v>mu: 1</v>
      </c>
      <c r="W183" s="604"/>
      <c r="AG183" s="1239">
        <f>IF($E183=0,0,ROUND($R187*$S$5*$C$5/$A183,2))</f>
        <v>247.73</v>
      </c>
      <c r="AH183" s="1239">
        <f>$AG183*$A183</f>
        <v>247.73</v>
      </c>
      <c r="AI183" s="1240">
        <f>$E183-$AG183</f>
        <v>0</v>
      </c>
      <c r="AJ183" s="1240">
        <f>$A183*$AI183</f>
        <v>0</v>
      </c>
      <c r="AK183" s="1241">
        <f>ROUND(($AG183+$AI183)*$A183,2)</f>
        <v>247.73</v>
      </c>
      <c r="AM183" s="607">
        <f>ROUND(R187,2)</f>
        <v>247.73</v>
      </c>
      <c r="AN183" s="608">
        <f>ROUND(T187,2)</f>
        <v>0</v>
      </c>
      <c r="AO183" s="609">
        <f>ROUND(AM183+AN183,2)*A183</f>
        <v>247.73</v>
      </c>
    </row>
    <row r="184" spans="1:41" s="602" customFormat="1" ht="13.2">
      <c r="A184" s="672"/>
      <c r="B184"/>
      <c r="C184" s="672"/>
      <c r="D184" s="673" t="s">
        <v>342</v>
      </c>
      <c r="F184" s="664"/>
      <c r="G184" s="3"/>
      <c r="H184" s="664"/>
      <c r="I184" s="677"/>
      <c r="J184" s="664"/>
      <c r="K184" s="664" t="s">
        <v>144</v>
      </c>
      <c r="L184" s="664"/>
      <c r="M184" s="664"/>
      <c r="N184" s="664"/>
      <c r="O184" s="664"/>
      <c r="P184" s="664"/>
      <c r="Q184" s="63"/>
      <c r="R184" s="610"/>
      <c r="S184" s="680"/>
      <c r="T184" s="664"/>
    </row>
    <row r="185" spans="1:41" s="730" customFormat="1" ht="13.2">
      <c r="A185" s="750">
        <f>A183</f>
        <v>1</v>
      </c>
      <c r="B185" s="740" t="s">
        <v>312</v>
      </c>
      <c r="C185" s="740"/>
      <c r="D185" s="740" t="s">
        <v>1175</v>
      </c>
      <c r="E185" s="740"/>
      <c r="F185" s="749" t="s">
        <v>1177</v>
      </c>
      <c r="G185" s="741" t="s">
        <v>1176</v>
      </c>
      <c r="H185" s="1002">
        <v>960</v>
      </c>
      <c r="I185" s="740" t="s">
        <v>686</v>
      </c>
      <c r="J185" s="740"/>
      <c r="K185" s="740"/>
      <c r="L185" s="740"/>
      <c r="M185" s="740"/>
      <c r="N185" s="740"/>
      <c r="O185" s="744">
        <v>4</v>
      </c>
      <c r="P185" s="745">
        <v>38594</v>
      </c>
      <c r="Q185" s="746">
        <v>247.73</v>
      </c>
      <c r="R185" s="747">
        <f>$A185*Q185</f>
        <v>247.73</v>
      </c>
      <c r="S185" s="746"/>
      <c r="T185" s="748">
        <f>$A185*S185*$T$1</f>
        <v>0</v>
      </c>
    </row>
    <row r="186" spans="1:41" s="602" customFormat="1" ht="12">
      <c r="A186" s="663"/>
      <c r="B186" s="663"/>
      <c r="C186" s="663"/>
      <c r="D186" s="663"/>
      <c r="E186" s="663"/>
      <c r="F186" s="664"/>
      <c r="G186" s="663"/>
      <c r="H186" s="663"/>
      <c r="I186" s="601"/>
      <c r="J186" s="663"/>
      <c r="K186" s="663"/>
      <c r="L186" s="663"/>
      <c r="M186" s="663"/>
      <c r="N186" s="663"/>
      <c r="O186" s="663"/>
      <c r="P186" s="663"/>
      <c r="Q186" s="601"/>
      <c r="R186" s="666">
        <f>$A186*Q186</f>
        <v>0</v>
      </c>
      <c r="S186" s="601"/>
      <c r="T186" s="681">
        <f>$A186*S186*$T$1</f>
        <v>0</v>
      </c>
    </row>
    <row r="187" spans="1:41" s="602" customFormat="1" ht="12.6" thickBot="1">
      <c r="A187" s="682" t="s">
        <v>145</v>
      </c>
      <c r="B187" s="683">
        <f>(R186+T186)</f>
        <v>0</v>
      </c>
      <c r="C187" s="684"/>
      <c r="D187" s="684"/>
      <c r="E187" s="684"/>
      <c r="F187" s="685"/>
      <c r="G187" s="684" t="s">
        <v>146</v>
      </c>
      <c r="H187" s="684"/>
      <c r="I187" s="686"/>
      <c r="J187" s="684"/>
      <c r="K187" s="684" t="s">
        <v>10</v>
      </c>
      <c r="L187" s="687" t="s">
        <v>143</v>
      </c>
      <c r="M187" s="687"/>
      <c r="N187" s="687"/>
      <c r="O187" s="687"/>
      <c r="P187" s="687"/>
      <c r="Q187" s="688"/>
      <c r="R187" s="689">
        <f>SUM(R184:R186)</f>
        <v>247.73</v>
      </c>
      <c r="S187" s="684"/>
      <c r="T187" s="689">
        <f>SUM(T184:T186)</f>
        <v>0</v>
      </c>
      <c r="U187" s="611"/>
      <c r="V187" s="611"/>
      <c r="W187" s="611"/>
      <c r="X187" s="611"/>
      <c r="Y187" s="611"/>
      <c r="Z187" s="611"/>
      <c r="AA187" s="611"/>
      <c r="AB187" s="611"/>
      <c r="AC187" s="611"/>
      <c r="AD187" s="611"/>
      <c r="AE187" s="611"/>
      <c r="AF187" s="611"/>
      <c r="AG187" s="611"/>
      <c r="AH187" s="611"/>
      <c r="AI187" s="611"/>
      <c r="AJ187" s="611"/>
      <c r="AK187" s="611"/>
      <c r="AL187" s="611"/>
      <c r="AM187" s="611"/>
      <c r="AN187" s="611"/>
      <c r="AO187" s="611"/>
    </row>
    <row r="188" spans="1:41" s="602" customFormat="1" ht="12" thickTop="1">
      <c r="A188" s="63"/>
      <c r="B188" s="41"/>
      <c r="C188" s="63"/>
      <c r="E188" s="42" t="s">
        <v>138</v>
      </c>
      <c r="F188" s="42" t="s">
        <v>139</v>
      </c>
      <c r="G188" s="63"/>
      <c r="H188" s="63"/>
      <c r="I188" s="63"/>
      <c r="J188" s="63"/>
      <c r="K188" s="63" t="s">
        <v>140</v>
      </c>
      <c r="L188" s="63"/>
      <c r="M188" s="63"/>
      <c r="N188" s="63"/>
      <c r="O188" s="64"/>
      <c r="P188" s="63"/>
      <c r="Q188" s="63"/>
      <c r="R188" s="63"/>
      <c r="S188" s="63"/>
      <c r="T188" s="41"/>
      <c r="AG188" s="667" t="s">
        <v>278</v>
      </c>
      <c r="AH188" s="667" t="s">
        <v>279</v>
      </c>
      <c r="AI188" s="667" t="s">
        <v>280</v>
      </c>
      <c r="AJ188" s="667" t="s">
        <v>281</v>
      </c>
      <c r="AK188" s="667" t="s">
        <v>282</v>
      </c>
      <c r="AM188" s="668" t="s">
        <v>291</v>
      </c>
      <c r="AN188" s="669" t="s">
        <v>292</v>
      </c>
      <c r="AO188" s="603" t="s">
        <v>288</v>
      </c>
    </row>
    <row r="189" spans="1:41" s="602" customFormat="1" ht="12" customHeight="1">
      <c r="A189" s="670">
        <v>1</v>
      </c>
      <c r="B189" s="838" t="s">
        <v>320</v>
      </c>
      <c r="C189" s="672"/>
      <c r="D189" s="673" t="s">
        <v>1154</v>
      </c>
      <c r="E189" s="1237">
        <f>IF(AND($A189=0,$A$1="DIF"),0, ROUND(ROUND(($R193*$S$5+($T193*$T$5))/$A189,2)*$C$5,2))</f>
        <v>164.2</v>
      </c>
      <c r="F189" s="1238">
        <f>ROUND($A189*$E189,2)</f>
        <v>164.2</v>
      </c>
      <c r="G189" s="676" t="s">
        <v>142</v>
      </c>
      <c r="H189" s="664"/>
      <c r="I189" s="677"/>
      <c r="J189" s="664"/>
      <c r="K189" s="664" t="s">
        <v>10</v>
      </c>
      <c r="L189" s="678" t="s">
        <v>143</v>
      </c>
      <c r="M189" s="678"/>
      <c r="N189" s="678"/>
      <c r="O189" s="678"/>
      <c r="P189" s="678"/>
      <c r="Q189" s="63"/>
      <c r="T189" s="1242" t="str">
        <f>IF(AND($R193=0,$T193=0),"0.00","mu: "&amp; ROUND(F189/$C$5/($R193+$T193*$D$9),2))</f>
        <v>mu: 1</v>
      </c>
      <c r="W189" s="604"/>
      <c r="AG189" s="1239">
        <f>IF($E189=0,0,ROUND($R193*$S$5*$C$5/$A189,2))</f>
        <v>164.2</v>
      </c>
      <c r="AH189" s="1239">
        <f>$AG189*$A189</f>
        <v>164.2</v>
      </c>
      <c r="AI189" s="1240">
        <f>$E189-$AG189</f>
        <v>0</v>
      </c>
      <c r="AJ189" s="1240">
        <f>$A189*$AI189</f>
        <v>0</v>
      </c>
      <c r="AK189" s="1241">
        <f>ROUND(($AG189+$AI189)*$A189,2)</f>
        <v>164.2</v>
      </c>
      <c r="AM189" s="607">
        <f>ROUND(R193,2)</f>
        <v>164.2</v>
      </c>
      <c r="AN189" s="608">
        <f>ROUND(T193,2)</f>
        <v>0</v>
      </c>
      <c r="AO189" s="609">
        <f>ROUND(AM189+AN189,2)*A189</f>
        <v>164.2</v>
      </c>
    </row>
    <row r="190" spans="1:41" s="602" customFormat="1" ht="13.2">
      <c r="A190" s="672"/>
      <c r="B190"/>
      <c r="C190" s="672"/>
      <c r="D190" s="673" t="s">
        <v>1092</v>
      </c>
      <c r="F190" s="664"/>
      <c r="G190" s="3"/>
      <c r="H190" s="664"/>
      <c r="I190" s="677"/>
      <c r="J190" s="664"/>
      <c r="K190" s="664" t="s">
        <v>144</v>
      </c>
      <c r="L190" s="664"/>
      <c r="M190" s="664"/>
      <c r="N190" s="664"/>
      <c r="O190" s="664"/>
      <c r="P190" s="664"/>
      <c r="Q190" s="63"/>
      <c r="R190" s="610"/>
      <c r="S190" s="680"/>
      <c r="T190" s="664"/>
    </row>
    <row r="191" spans="1:41" s="730" customFormat="1" ht="13.2">
      <c r="A191" s="750">
        <f>A189</f>
        <v>1</v>
      </c>
      <c r="B191" s="740" t="s">
        <v>312</v>
      </c>
      <c r="C191" s="740"/>
      <c r="D191" s="740" t="s">
        <v>1175</v>
      </c>
      <c r="E191" s="740"/>
      <c r="F191" s="749" t="s">
        <v>1177</v>
      </c>
      <c r="G191" s="741" t="s">
        <v>1176</v>
      </c>
      <c r="H191" s="1002">
        <v>960</v>
      </c>
      <c r="I191" s="740" t="s">
        <v>686</v>
      </c>
      <c r="J191" s="740"/>
      <c r="K191" s="740"/>
      <c r="L191" s="740"/>
      <c r="M191" s="740"/>
      <c r="N191" s="740"/>
      <c r="O191" s="744">
        <v>4</v>
      </c>
      <c r="P191" s="745">
        <v>38594</v>
      </c>
      <c r="Q191" s="746">
        <v>164.2</v>
      </c>
      <c r="R191" s="747">
        <f>$A191*Q191</f>
        <v>164.2</v>
      </c>
      <c r="S191" s="746"/>
      <c r="T191" s="748">
        <f>$A191*S191*$T$1</f>
        <v>0</v>
      </c>
    </row>
    <row r="192" spans="1:41" s="602" customFormat="1" ht="12">
      <c r="A192" s="663"/>
      <c r="B192" s="663"/>
      <c r="C192" s="663"/>
      <c r="D192" s="663"/>
      <c r="E192" s="663"/>
      <c r="F192" s="664"/>
      <c r="G192" s="663"/>
      <c r="H192" s="663"/>
      <c r="I192" s="601"/>
      <c r="J192" s="663"/>
      <c r="K192" s="663"/>
      <c r="L192" s="663"/>
      <c r="M192" s="663"/>
      <c r="N192" s="663"/>
      <c r="O192" s="663"/>
      <c r="P192" s="663"/>
      <c r="Q192" s="601"/>
      <c r="R192" s="666">
        <f>$A192*Q192</f>
        <v>0</v>
      </c>
      <c r="S192" s="601"/>
      <c r="T192" s="681">
        <f>$A192*S192*$T$1</f>
        <v>0</v>
      </c>
    </row>
    <row r="193" spans="1:41" s="602" customFormat="1" ht="12.6" thickBot="1">
      <c r="A193" s="682" t="s">
        <v>145</v>
      </c>
      <c r="B193" s="683">
        <f>(R192+T192)</f>
        <v>0</v>
      </c>
      <c r="C193" s="684"/>
      <c r="D193" s="684"/>
      <c r="E193" s="684"/>
      <c r="F193" s="685"/>
      <c r="G193" s="684" t="s">
        <v>146</v>
      </c>
      <c r="H193" s="684"/>
      <c r="I193" s="686"/>
      <c r="J193" s="684"/>
      <c r="K193" s="684" t="s">
        <v>10</v>
      </c>
      <c r="L193" s="687" t="s">
        <v>143</v>
      </c>
      <c r="M193" s="687"/>
      <c r="N193" s="687"/>
      <c r="O193" s="687"/>
      <c r="P193" s="687"/>
      <c r="Q193" s="688"/>
      <c r="R193" s="689">
        <f>SUM(R190:R192)</f>
        <v>164.2</v>
      </c>
      <c r="S193" s="684"/>
      <c r="T193" s="689">
        <f>SUM(T190:T192)</f>
        <v>0</v>
      </c>
      <c r="U193" s="611"/>
      <c r="V193" s="611"/>
      <c r="W193" s="611"/>
      <c r="X193" s="611"/>
      <c r="Y193" s="611"/>
      <c r="Z193" s="611"/>
      <c r="AA193" s="611"/>
      <c r="AB193" s="611"/>
      <c r="AC193" s="611"/>
      <c r="AD193" s="611"/>
      <c r="AE193" s="611"/>
      <c r="AF193" s="611"/>
      <c r="AG193" s="611"/>
      <c r="AH193" s="611"/>
      <c r="AI193" s="611"/>
      <c r="AJ193" s="611"/>
      <c r="AK193" s="611"/>
      <c r="AL193" s="611"/>
      <c r="AM193" s="611"/>
      <c r="AN193" s="611"/>
      <c r="AO193" s="611"/>
    </row>
    <row r="194" spans="1:41" s="602" customFormat="1" thickTop="1">
      <c r="A194" s="63"/>
      <c r="B194" s="63"/>
      <c r="C194" s="3"/>
      <c r="D194" s="3"/>
      <c r="E194" s="63"/>
      <c r="F194" s="63"/>
      <c r="G194" s="63"/>
      <c r="H194" s="63"/>
      <c r="I194" s="63"/>
      <c r="J194" s="63"/>
      <c r="K194" s="63" t="s">
        <v>134</v>
      </c>
      <c r="L194" s="63"/>
      <c r="M194" s="63"/>
      <c r="N194" s="63"/>
      <c r="O194" s="64"/>
      <c r="P194" s="63"/>
      <c r="Q194" s="63"/>
      <c r="R194" s="63"/>
      <c r="S194" s="63"/>
      <c r="T194" s="63"/>
    </row>
    <row r="195" spans="1:41" s="602" customFormat="1" ht="12">
      <c r="A195" s="63"/>
      <c r="B195" s="63"/>
      <c r="C195" s="63" t="s">
        <v>135</v>
      </c>
      <c r="D195" s="37"/>
      <c r="E195" s="63"/>
      <c r="F195" s="63"/>
      <c r="G195" s="63"/>
      <c r="H195" s="63"/>
      <c r="I195" s="63"/>
      <c r="J195" s="63"/>
      <c r="K195" s="63"/>
      <c r="L195" s="63"/>
      <c r="M195" s="63"/>
      <c r="N195" s="63"/>
      <c r="O195" s="64"/>
      <c r="P195" s="63"/>
      <c r="Q195" s="63"/>
      <c r="R195" s="63"/>
      <c r="S195" s="63"/>
      <c r="T195" s="63"/>
    </row>
    <row r="196" spans="1:41" s="602" customFormat="1" ht="12">
      <c r="A196" s="63"/>
      <c r="B196" s="63"/>
      <c r="C196" s="63"/>
      <c r="D196" s="37" t="s">
        <v>324</v>
      </c>
      <c r="E196" s="63"/>
      <c r="F196" s="63"/>
      <c r="G196" s="63"/>
      <c r="H196" s="63"/>
      <c r="I196" s="63"/>
      <c r="J196" s="63"/>
      <c r="K196" s="63"/>
      <c r="L196" s="63"/>
      <c r="M196" s="63"/>
      <c r="N196" s="63"/>
      <c r="O196" s="64"/>
      <c r="P196" s="63"/>
      <c r="Q196" s="63"/>
      <c r="R196" s="63"/>
      <c r="S196" s="38"/>
      <c r="T196" s="38"/>
    </row>
    <row r="197" spans="1:41" s="3" customFormat="1" thickBot="1">
      <c r="A197" s="611"/>
      <c r="O197" s="158"/>
    </row>
    <row r="198" spans="1:41" s="602" customFormat="1" thickTop="1">
      <c r="A198" s="63"/>
      <c r="B198" s="63"/>
      <c r="C198" s="3"/>
      <c r="D198" s="3"/>
      <c r="E198" s="63"/>
      <c r="F198" s="63"/>
      <c r="G198" s="63"/>
      <c r="H198" s="63"/>
      <c r="I198" s="63"/>
      <c r="J198" s="63"/>
      <c r="K198" s="63" t="s">
        <v>134</v>
      </c>
      <c r="L198" s="63"/>
      <c r="M198" s="63"/>
      <c r="N198" s="63"/>
      <c r="O198" s="64"/>
      <c r="P198" s="63"/>
      <c r="Q198" s="63"/>
      <c r="R198" s="63"/>
      <c r="S198" s="63"/>
      <c r="T198" s="63"/>
    </row>
    <row r="199" spans="1:41" s="602" customFormat="1" ht="12">
      <c r="A199" s="63"/>
      <c r="B199" s="63"/>
      <c r="C199" s="63" t="s">
        <v>135</v>
      </c>
      <c r="D199" s="37" t="s">
        <v>411</v>
      </c>
      <c r="E199" s="63"/>
      <c r="F199" s="63"/>
      <c r="G199" s="63"/>
      <c r="H199" s="63"/>
      <c r="I199" s="63"/>
      <c r="J199" s="63"/>
      <c r="K199" s="63"/>
      <c r="L199" s="63"/>
      <c r="M199" s="63"/>
      <c r="N199" s="63"/>
      <c r="O199" s="64"/>
      <c r="P199" s="63"/>
      <c r="Q199" s="63"/>
      <c r="R199" s="63"/>
      <c r="S199" s="63"/>
      <c r="T199" s="63"/>
    </row>
    <row r="200" spans="1:41" s="602" customFormat="1" ht="39.9" customHeight="1">
      <c r="A200" s="63"/>
      <c r="B200" s="63"/>
      <c r="C200" s="63"/>
      <c r="D200" s="1371" t="s">
        <v>1093</v>
      </c>
      <c r="E200" s="1369"/>
      <c r="F200" s="1369"/>
      <c r="G200" s="1369"/>
      <c r="H200" s="1369"/>
      <c r="I200" s="1369"/>
      <c r="J200" s="1369"/>
      <c r="K200" s="1369"/>
      <c r="L200" s="1369"/>
      <c r="M200" s="1369"/>
      <c r="N200" s="1369"/>
      <c r="O200" s="1369"/>
      <c r="P200" s="1369"/>
      <c r="Q200" s="1369"/>
      <c r="R200" s="1369"/>
      <c r="S200" s="1369"/>
      <c r="T200" s="1369"/>
    </row>
    <row r="201" spans="1:41" s="3" customFormat="1" thickBot="1">
      <c r="A201" s="611"/>
      <c r="O201" s="158"/>
    </row>
    <row r="202" spans="1:41" s="602" customFormat="1" ht="12" thickTop="1">
      <c r="A202" s="63"/>
      <c r="B202" s="41"/>
      <c r="C202" s="63"/>
      <c r="E202" s="42" t="s">
        <v>138</v>
      </c>
      <c r="F202" s="42" t="s">
        <v>139</v>
      </c>
      <c r="G202" s="63"/>
      <c r="H202" s="63"/>
      <c r="I202" s="63"/>
      <c r="J202" s="63"/>
      <c r="K202" s="63" t="s">
        <v>140</v>
      </c>
      <c r="L202" s="63"/>
      <c r="M202" s="63"/>
      <c r="N202" s="63"/>
      <c r="O202" s="64"/>
      <c r="P202" s="63"/>
      <c r="Q202" s="63"/>
      <c r="R202" s="63"/>
      <c r="S202" s="63"/>
      <c r="T202" s="41"/>
      <c r="AG202" s="667" t="s">
        <v>278</v>
      </c>
      <c r="AH202" s="667" t="s">
        <v>279</v>
      </c>
      <c r="AI202" s="667" t="s">
        <v>280</v>
      </c>
      <c r="AJ202" s="667" t="s">
        <v>281</v>
      </c>
      <c r="AK202" s="667" t="s">
        <v>282</v>
      </c>
      <c r="AM202" s="668" t="s">
        <v>291</v>
      </c>
      <c r="AN202" s="669" t="s">
        <v>292</v>
      </c>
      <c r="AO202" s="603" t="s">
        <v>288</v>
      </c>
    </row>
    <row r="203" spans="1:41" s="602" customFormat="1" ht="12" customHeight="1">
      <c r="A203" s="670">
        <v>30</v>
      </c>
      <c r="B203" s="838" t="s">
        <v>326</v>
      </c>
      <c r="C203" s="672"/>
      <c r="D203" s="673" t="s">
        <v>460</v>
      </c>
      <c r="E203" s="1237">
        <f>IF(AND($A203=0,$A$1="DIF"),0, ROUND(ROUND(($R207*$S$5+($T207*$T$5))/$A203,2)*$C$5,2))</f>
        <v>18.559999999999999</v>
      </c>
      <c r="F203" s="1238">
        <f>ROUND($A203*$E203,2)</f>
        <v>556.79999999999995</v>
      </c>
      <c r="G203" s="676" t="s">
        <v>142</v>
      </c>
      <c r="H203" s="664"/>
      <c r="I203" s="677"/>
      <c r="J203" s="664"/>
      <c r="K203" s="664" t="s">
        <v>10</v>
      </c>
      <c r="L203" s="678" t="s">
        <v>143</v>
      </c>
      <c r="M203" s="678"/>
      <c r="N203" s="678"/>
      <c r="O203" s="678"/>
      <c r="P203" s="678"/>
      <c r="Q203" s="63"/>
      <c r="T203" s="1242" t="str">
        <f>IF(AND($R207=0,$T207=0),"0.00","mu: "&amp; ROUND(F203/$C$5/($R207+$T207*$D$9),2))</f>
        <v>mu: 1</v>
      </c>
      <c r="W203" s="604"/>
      <c r="AG203" s="1239">
        <f>IF($E203=0,0,ROUND($R207*$S$5*$C$5/$A203,2))</f>
        <v>18.559999999999999</v>
      </c>
      <c r="AH203" s="1239">
        <f>$AG203*$A203</f>
        <v>556.79999999999995</v>
      </c>
      <c r="AI203" s="1240">
        <f>$E203-$AG203</f>
        <v>0</v>
      </c>
      <c r="AJ203" s="1240">
        <f>$A203*$AI203</f>
        <v>0</v>
      </c>
      <c r="AK203" s="1241">
        <f>ROUND(($AG203+$AI203)*$A203,2)</f>
        <v>556.79999999999995</v>
      </c>
      <c r="AM203" s="607">
        <f>ROUND(R207,2)</f>
        <v>556.79999999999995</v>
      </c>
      <c r="AN203" s="608">
        <f>ROUND(T207,2)</f>
        <v>0</v>
      </c>
      <c r="AO203" s="609">
        <f>ROUND(AM203+AN203,2)*A203</f>
        <v>16704</v>
      </c>
    </row>
    <row r="204" spans="1:41" s="602" customFormat="1" ht="13.2">
      <c r="A204" s="672"/>
      <c r="B204"/>
      <c r="C204" s="672"/>
      <c r="D204" s="673" t="s">
        <v>1155</v>
      </c>
      <c r="F204" s="664"/>
      <c r="G204" s="3"/>
      <c r="H204" s="664"/>
      <c r="I204" s="677"/>
      <c r="J204" s="664"/>
      <c r="K204" s="664" t="s">
        <v>144</v>
      </c>
      <c r="L204" s="664"/>
      <c r="M204" s="664"/>
      <c r="N204" s="664"/>
      <c r="O204" s="664"/>
      <c r="P204" s="664"/>
      <c r="Q204" s="63"/>
      <c r="R204" s="610"/>
      <c r="S204" s="680"/>
      <c r="T204" s="664"/>
    </row>
    <row r="205" spans="1:41" s="730" customFormat="1" ht="13.2">
      <c r="A205" s="750">
        <f>A203</f>
        <v>30</v>
      </c>
      <c r="B205" s="740" t="s">
        <v>312</v>
      </c>
      <c r="C205" s="740"/>
      <c r="D205" s="740" t="s">
        <v>1175</v>
      </c>
      <c r="E205" s="740"/>
      <c r="F205" s="749" t="s">
        <v>1177</v>
      </c>
      <c r="G205" s="741" t="s">
        <v>1176</v>
      </c>
      <c r="H205" s="1002">
        <v>960</v>
      </c>
      <c r="I205" s="740" t="s">
        <v>686</v>
      </c>
      <c r="J205" s="740"/>
      <c r="K205" s="740"/>
      <c r="L205" s="740"/>
      <c r="M205" s="740"/>
      <c r="N205" s="740"/>
      <c r="O205" s="744">
        <v>4</v>
      </c>
      <c r="P205" s="745">
        <v>38594</v>
      </c>
      <c r="Q205" s="746">
        <v>18.559999999999999</v>
      </c>
      <c r="R205" s="747">
        <f>$A205*Q205</f>
        <v>556.79999999999995</v>
      </c>
      <c r="S205" s="746"/>
      <c r="T205" s="748">
        <f>$A205*S205*$T$1</f>
        <v>0</v>
      </c>
    </row>
    <row r="206" spans="1:41" s="602" customFormat="1" ht="12">
      <c r="A206" s="663"/>
      <c r="B206" s="663"/>
      <c r="C206" s="663"/>
      <c r="D206" s="663"/>
      <c r="E206" s="663"/>
      <c r="F206" s="664"/>
      <c r="G206" s="663"/>
      <c r="H206" s="663"/>
      <c r="I206" s="601"/>
      <c r="J206" s="663"/>
      <c r="K206" s="663"/>
      <c r="L206" s="663"/>
      <c r="M206" s="663"/>
      <c r="N206" s="663"/>
      <c r="O206" s="663"/>
      <c r="P206" s="663"/>
      <c r="Q206" s="601"/>
      <c r="R206" s="666">
        <f>$A206*Q206</f>
        <v>0</v>
      </c>
      <c r="S206" s="601"/>
      <c r="T206" s="681">
        <f>$A206*S206*$T$1</f>
        <v>0</v>
      </c>
    </row>
    <row r="207" spans="1:41" s="602" customFormat="1" ht="12.6" thickBot="1">
      <c r="A207" s="682" t="s">
        <v>145</v>
      </c>
      <c r="B207" s="683">
        <f>(R206+T206)</f>
        <v>0</v>
      </c>
      <c r="C207" s="684"/>
      <c r="D207" s="684"/>
      <c r="E207" s="684"/>
      <c r="F207" s="685"/>
      <c r="G207" s="684" t="s">
        <v>146</v>
      </c>
      <c r="H207" s="684"/>
      <c r="I207" s="686"/>
      <c r="J207" s="684"/>
      <c r="K207" s="684" t="s">
        <v>10</v>
      </c>
      <c r="L207" s="687" t="s">
        <v>143</v>
      </c>
      <c r="M207" s="687"/>
      <c r="N207" s="687"/>
      <c r="O207" s="687"/>
      <c r="P207" s="687"/>
      <c r="Q207" s="688"/>
      <c r="R207" s="689">
        <f>SUM(R204:R206)</f>
        <v>556.79999999999995</v>
      </c>
      <c r="S207" s="684"/>
      <c r="T207" s="689">
        <f>SUM(T204:T206)</f>
        <v>0</v>
      </c>
      <c r="U207" s="611"/>
      <c r="V207" s="611"/>
      <c r="W207" s="611"/>
      <c r="X207" s="611"/>
      <c r="Y207" s="611"/>
      <c r="Z207" s="611"/>
      <c r="AA207" s="611"/>
      <c r="AB207" s="611"/>
      <c r="AC207" s="611"/>
      <c r="AD207" s="611"/>
      <c r="AE207" s="611"/>
      <c r="AF207" s="611"/>
      <c r="AG207" s="611"/>
      <c r="AH207" s="611"/>
      <c r="AI207" s="611"/>
      <c r="AJ207" s="611"/>
      <c r="AK207" s="611"/>
      <c r="AL207" s="611"/>
      <c r="AM207" s="611"/>
      <c r="AN207" s="611"/>
      <c r="AO207" s="611"/>
    </row>
    <row r="208" spans="1:41" s="602" customFormat="1" ht="12" thickTop="1">
      <c r="A208" s="63"/>
      <c r="B208" s="41"/>
      <c r="C208" s="63"/>
      <c r="E208" s="42" t="s">
        <v>138</v>
      </c>
      <c r="F208" s="42" t="s">
        <v>139</v>
      </c>
      <c r="G208" s="63"/>
      <c r="H208" s="63"/>
      <c r="I208" s="63"/>
      <c r="J208" s="63"/>
      <c r="K208" s="63" t="s">
        <v>140</v>
      </c>
      <c r="L208" s="63"/>
      <c r="M208" s="63"/>
      <c r="N208" s="63"/>
      <c r="O208" s="64"/>
      <c r="P208" s="63"/>
      <c r="Q208" s="63"/>
      <c r="R208" s="63"/>
      <c r="S208" s="63"/>
      <c r="T208" s="41"/>
      <c r="AG208" s="667" t="s">
        <v>278</v>
      </c>
      <c r="AH208" s="667" t="s">
        <v>279</v>
      </c>
      <c r="AI208" s="667" t="s">
        <v>280</v>
      </c>
      <c r="AJ208" s="667" t="s">
        <v>281</v>
      </c>
      <c r="AK208" s="667" t="s">
        <v>282</v>
      </c>
      <c r="AM208" s="668" t="s">
        <v>291</v>
      </c>
      <c r="AN208" s="669" t="s">
        <v>292</v>
      </c>
      <c r="AO208" s="603" t="s">
        <v>288</v>
      </c>
    </row>
    <row r="209" spans="1:41" s="602" customFormat="1" ht="12" customHeight="1">
      <c r="A209" s="670">
        <v>20</v>
      </c>
      <c r="B209" s="838" t="s">
        <v>326</v>
      </c>
      <c r="C209" s="672"/>
      <c r="D209" s="673" t="s">
        <v>461</v>
      </c>
      <c r="E209" s="1237">
        <f>IF(AND($A209=0,$A$1="DIF"),0, ROUND(ROUND(($R213*$S$5+($T213*$T$5))/$A209,2)*$C$5,2))</f>
        <v>18.559999999999999</v>
      </c>
      <c r="F209" s="1238">
        <f>ROUND($A209*$E209,2)</f>
        <v>371.2</v>
      </c>
      <c r="G209" s="676" t="s">
        <v>142</v>
      </c>
      <c r="H209" s="664"/>
      <c r="I209" s="677"/>
      <c r="J209" s="664"/>
      <c r="K209" s="664" t="s">
        <v>10</v>
      </c>
      <c r="L209" s="678" t="s">
        <v>143</v>
      </c>
      <c r="M209" s="678"/>
      <c r="N209" s="678"/>
      <c r="O209" s="678"/>
      <c r="P209" s="678"/>
      <c r="Q209" s="63"/>
      <c r="T209" s="1242" t="str">
        <f>IF(AND($R213=0,$T213=0),"0.00","mu: "&amp; ROUND(F209/$C$5/($R213+$T213*$D$9),2))</f>
        <v>mu: 1</v>
      </c>
      <c r="W209" s="604"/>
      <c r="AG209" s="1239">
        <f>IF($E209=0,0,ROUND($R213*$S$5*$C$5/$A209,2))</f>
        <v>18.559999999999999</v>
      </c>
      <c r="AH209" s="1239">
        <f>$AG209*$A209</f>
        <v>371.2</v>
      </c>
      <c r="AI209" s="1240">
        <f>$E209-$AG209</f>
        <v>0</v>
      </c>
      <c r="AJ209" s="1240">
        <f>$A209*$AI209</f>
        <v>0</v>
      </c>
      <c r="AK209" s="1241">
        <f>ROUND(($AG209+$AI209)*$A209,2)</f>
        <v>371.2</v>
      </c>
      <c r="AM209" s="607">
        <f>ROUND(R213,2)</f>
        <v>371.2</v>
      </c>
      <c r="AN209" s="608">
        <f>ROUND(T213,2)</f>
        <v>0</v>
      </c>
      <c r="AO209" s="609">
        <f>ROUND(AM209+AN209,2)*A209</f>
        <v>7424</v>
      </c>
    </row>
    <row r="210" spans="1:41" s="602" customFormat="1" ht="13.2">
      <c r="A210" s="672"/>
      <c r="B210"/>
      <c r="C210" s="672"/>
      <c r="D210" s="673" t="s">
        <v>1096</v>
      </c>
      <c r="F210" s="664"/>
      <c r="G210" s="3"/>
      <c r="H210" s="664"/>
      <c r="I210" s="677"/>
      <c r="J210" s="664"/>
      <c r="K210" s="664" t="s">
        <v>144</v>
      </c>
      <c r="L210" s="664"/>
      <c r="M210" s="664"/>
      <c r="N210" s="664"/>
      <c r="O210" s="664"/>
      <c r="P210" s="664"/>
      <c r="Q210" s="63"/>
      <c r="R210" s="610"/>
      <c r="S210" s="680"/>
      <c r="T210" s="664"/>
    </row>
    <row r="211" spans="1:41" s="730" customFormat="1" ht="13.2">
      <c r="A211" s="750">
        <f>A209</f>
        <v>20</v>
      </c>
      <c r="B211" s="740" t="s">
        <v>312</v>
      </c>
      <c r="C211" s="740"/>
      <c r="D211" s="740" t="s">
        <v>1175</v>
      </c>
      <c r="E211" s="740"/>
      <c r="F211" s="749" t="s">
        <v>1177</v>
      </c>
      <c r="G211" s="741" t="s">
        <v>1176</v>
      </c>
      <c r="H211" s="1002">
        <v>960</v>
      </c>
      <c r="I211" s="740" t="s">
        <v>686</v>
      </c>
      <c r="J211" s="740"/>
      <c r="K211" s="740"/>
      <c r="L211" s="740"/>
      <c r="M211" s="740"/>
      <c r="N211" s="740"/>
      <c r="O211" s="744">
        <v>4</v>
      </c>
      <c r="P211" s="745">
        <v>38594</v>
      </c>
      <c r="Q211" s="746">
        <v>18.559999999999999</v>
      </c>
      <c r="R211" s="747">
        <f>$A211*Q211</f>
        <v>371.2</v>
      </c>
      <c r="S211" s="746"/>
      <c r="T211" s="748">
        <f>$A211*S211*$T$1</f>
        <v>0</v>
      </c>
    </row>
    <row r="212" spans="1:41" s="602" customFormat="1" ht="12">
      <c r="A212" s="663"/>
      <c r="B212" s="663"/>
      <c r="C212" s="663"/>
      <c r="D212" s="663"/>
      <c r="E212" s="663"/>
      <c r="F212" s="664"/>
      <c r="G212" s="663"/>
      <c r="H212" s="663"/>
      <c r="I212" s="601"/>
      <c r="J212" s="663"/>
      <c r="K212" s="663"/>
      <c r="L212" s="663"/>
      <c r="M212" s="663"/>
      <c r="N212" s="663"/>
      <c r="O212" s="663"/>
      <c r="P212" s="663"/>
      <c r="Q212" s="601"/>
      <c r="R212" s="666">
        <f>$A212*Q212</f>
        <v>0</v>
      </c>
      <c r="S212" s="601"/>
      <c r="T212" s="681">
        <f>$A212*S212*$T$1</f>
        <v>0</v>
      </c>
    </row>
    <row r="213" spans="1:41" s="602" customFormat="1" ht="12.6" thickBot="1">
      <c r="A213" s="682" t="s">
        <v>145</v>
      </c>
      <c r="B213" s="683">
        <f>(R212+T212)</f>
        <v>0</v>
      </c>
      <c r="C213" s="684"/>
      <c r="D213" s="684"/>
      <c r="E213" s="684"/>
      <c r="F213" s="685"/>
      <c r="G213" s="684" t="s">
        <v>146</v>
      </c>
      <c r="H213" s="684"/>
      <c r="I213" s="686"/>
      <c r="J213" s="684"/>
      <c r="K213" s="684" t="s">
        <v>10</v>
      </c>
      <c r="L213" s="687" t="s">
        <v>143</v>
      </c>
      <c r="M213" s="687"/>
      <c r="N213" s="687"/>
      <c r="O213" s="687"/>
      <c r="P213" s="687"/>
      <c r="Q213" s="688"/>
      <c r="R213" s="689">
        <f>SUM(R210:R212)</f>
        <v>371.2</v>
      </c>
      <c r="S213" s="684"/>
      <c r="T213" s="689">
        <f>SUM(T210:T212)</f>
        <v>0</v>
      </c>
      <c r="U213" s="611"/>
      <c r="V213" s="611"/>
      <c r="W213" s="611"/>
      <c r="X213" s="611"/>
      <c r="Y213" s="611"/>
      <c r="Z213" s="611"/>
      <c r="AA213" s="611"/>
      <c r="AB213" s="611"/>
      <c r="AC213" s="611"/>
      <c r="AD213" s="611"/>
      <c r="AE213" s="611"/>
      <c r="AF213" s="611"/>
      <c r="AG213" s="611"/>
      <c r="AH213" s="611"/>
      <c r="AI213" s="611"/>
      <c r="AJ213" s="611"/>
      <c r="AK213" s="611"/>
      <c r="AL213" s="611"/>
      <c r="AM213" s="611"/>
      <c r="AN213" s="611"/>
      <c r="AO213" s="611"/>
    </row>
    <row r="214" spans="1:41" s="602" customFormat="1" ht="12" thickTop="1">
      <c r="A214" s="63"/>
      <c r="B214" s="41"/>
      <c r="C214" s="63"/>
      <c r="E214" s="42" t="s">
        <v>138</v>
      </c>
      <c r="F214" s="42" t="s">
        <v>139</v>
      </c>
      <c r="G214" s="63"/>
      <c r="H214" s="63"/>
      <c r="I214" s="63"/>
      <c r="J214" s="63"/>
      <c r="K214" s="63" t="s">
        <v>140</v>
      </c>
      <c r="L214" s="63"/>
      <c r="M214" s="63"/>
      <c r="N214" s="63"/>
      <c r="O214" s="64"/>
      <c r="P214" s="63"/>
      <c r="Q214" s="63"/>
      <c r="R214" s="63"/>
      <c r="S214" s="63"/>
      <c r="T214" s="41"/>
      <c r="AG214" s="667" t="s">
        <v>278</v>
      </c>
      <c r="AH214" s="667" t="s">
        <v>279</v>
      </c>
      <c r="AI214" s="667" t="s">
        <v>280</v>
      </c>
      <c r="AJ214" s="667" t="s">
        <v>281</v>
      </c>
      <c r="AK214" s="667" t="s">
        <v>282</v>
      </c>
      <c r="AM214" s="668" t="s">
        <v>291</v>
      </c>
      <c r="AN214" s="669" t="s">
        <v>292</v>
      </c>
      <c r="AO214" s="603" t="s">
        <v>288</v>
      </c>
    </row>
    <row r="215" spans="1:41" s="602" customFormat="1" ht="12" customHeight="1">
      <c r="A215" s="670">
        <v>25</v>
      </c>
      <c r="B215" s="838" t="s">
        <v>326</v>
      </c>
      <c r="C215" s="672"/>
      <c r="D215" s="673" t="s">
        <v>1156</v>
      </c>
      <c r="E215" s="1237">
        <f>IF(AND($A215=0,$A$1="DIF"),0, ROUND(ROUND(($R219*$S$5+($T219*$T$5))/$A215,2)*$C$5,2))</f>
        <v>20.56</v>
      </c>
      <c r="F215" s="1238">
        <f>ROUND($A215*$E215,2)</f>
        <v>514</v>
      </c>
      <c r="G215" s="676" t="s">
        <v>142</v>
      </c>
      <c r="H215" s="664"/>
      <c r="I215" s="677"/>
      <c r="J215" s="664"/>
      <c r="K215" s="664" t="s">
        <v>10</v>
      </c>
      <c r="L215" s="678" t="s">
        <v>143</v>
      </c>
      <c r="M215" s="678"/>
      <c r="N215" s="678"/>
      <c r="O215" s="678"/>
      <c r="P215" s="678"/>
      <c r="Q215" s="63"/>
      <c r="T215" s="1242" t="str">
        <f>IF(AND($R219=0,$T219=0),"0.00","mu: "&amp; ROUND(F215/$C$5/($R219+$T219*$D$9),2))</f>
        <v>mu: 1</v>
      </c>
      <c r="W215" s="604"/>
      <c r="AG215" s="1239">
        <f>IF($E215=0,0,ROUND($R219*$S$5*$C$5/$A215,2))</f>
        <v>20.56</v>
      </c>
      <c r="AH215" s="1239">
        <f>$AG215*$A215</f>
        <v>514</v>
      </c>
      <c r="AI215" s="1240">
        <f>$E215-$AG215</f>
        <v>0</v>
      </c>
      <c r="AJ215" s="1240">
        <f>$A215*$AI215</f>
        <v>0</v>
      </c>
      <c r="AK215" s="1241">
        <f>ROUND(($AG215+$AI215)*$A215,2)</f>
        <v>514</v>
      </c>
      <c r="AM215" s="607">
        <f>ROUND(R219,2)</f>
        <v>514</v>
      </c>
      <c r="AN215" s="608">
        <f>ROUND(T219,2)</f>
        <v>0</v>
      </c>
      <c r="AO215" s="609">
        <f>ROUND(AM215+AN215,2)*A215</f>
        <v>12850</v>
      </c>
    </row>
    <row r="216" spans="1:41" s="602" customFormat="1" ht="13.2">
      <c r="A216" s="672"/>
      <c r="B216"/>
      <c r="C216" s="672"/>
      <c r="D216" s="673" t="s">
        <v>1157</v>
      </c>
      <c r="F216" s="664"/>
      <c r="G216" s="3"/>
      <c r="H216" s="664"/>
      <c r="I216" s="677"/>
      <c r="J216" s="664"/>
      <c r="K216" s="664" t="s">
        <v>144</v>
      </c>
      <c r="L216" s="664"/>
      <c r="M216" s="664"/>
      <c r="N216" s="664"/>
      <c r="O216" s="664"/>
      <c r="P216" s="664"/>
      <c r="Q216" s="63"/>
      <c r="R216" s="610"/>
      <c r="S216" s="680"/>
      <c r="T216" s="664"/>
    </row>
    <row r="217" spans="1:41" s="730" customFormat="1" ht="13.2">
      <c r="A217" s="750">
        <f>A215</f>
        <v>25</v>
      </c>
      <c r="B217" s="740" t="s">
        <v>312</v>
      </c>
      <c r="C217" s="740"/>
      <c r="D217" s="740" t="s">
        <v>1175</v>
      </c>
      <c r="E217" s="740"/>
      <c r="F217" s="749" t="s">
        <v>1177</v>
      </c>
      <c r="G217" s="741" t="s">
        <v>1176</v>
      </c>
      <c r="H217" s="1002">
        <v>960</v>
      </c>
      <c r="I217" s="740" t="s">
        <v>686</v>
      </c>
      <c r="J217" s="740"/>
      <c r="K217" s="740"/>
      <c r="L217" s="740"/>
      <c r="M217" s="740"/>
      <c r="N217" s="740"/>
      <c r="O217" s="744">
        <v>4</v>
      </c>
      <c r="P217" s="745">
        <v>38594</v>
      </c>
      <c r="Q217" s="746">
        <v>20.56</v>
      </c>
      <c r="R217" s="747">
        <f>$A217*Q217</f>
        <v>514</v>
      </c>
      <c r="S217" s="746"/>
      <c r="T217" s="748">
        <f>$A217*S217*$T$1</f>
        <v>0</v>
      </c>
    </row>
    <row r="218" spans="1:41" s="602" customFormat="1" ht="12">
      <c r="A218" s="663"/>
      <c r="B218" s="663"/>
      <c r="C218" s="663"/>
      <c r="D218" s="663"/>
      <c r="E218" s="663"/>
      <c r="F218" s="664"/>
      <c r="G218" s="663"/>
      <c r="H218" s="663"/>
      <c r="I218" s="601"/>
      <c r="J218" s="663"/>
      <c r="K218" s="663"/>
      <c r="L218" s="663"/>
      <c r="M218" s="663"/>
      <c r="N218" s="663"/>
      <c r="O218" s="663"/>
      <c r="P218" s="663"/>
      <c r="Q218" s="601"/>
      <c r="R218" s="666">
        <f>$A218*Q218</f>
        <v>0</v>
      </c>
      <c r="S218" s="601"/>
      <c r="T218" s="681">
        <f>$A218*S218*$T$1</f>
        <v>0</v>
      </c>
    </row>
    <row r="219" spans="1:41" s="602" customFormat="1" ht="12.6" thickBot="1">
      <c r="A219" s="682" t="s">
        <v>145</v>
      </c>
      <c r="B219" s="683">
        <f>(R218+T218)</f>
        <v>0</v>
      </c>
      <c r="C219" s="684"/>
      <c r="D219" s="684"/>
      <c r="E219" s="684"/>
      <c r="F219" s="685"/>
      <c r="G219" s="684" t="s">
        <v>146</v>
      </c>
      <c r="H219" s="684"/>
      <c r="I219" s="686"/>
      <c r="J219" s="684"/>
      <c r="K219" s="684" t="s">
        <v>10</v>
      </c>
      <c r="L219" s="687" t="s">
        <v>143</v>
      </c>
      <c r="M219" s="687"/>
      <c r="N219" s="687"/>
      <c r="O219" s="687"/>
      <c r="P219" s="687"/>
      <c r="Q219" s="688"/>
      <c r="R219" s="689">
        <f>SUM(R216:R218)</f>
        <v>514</v>
      </c>
      <c r="S219" s="684"/>
      <c r="T219" s="689">
        <f>SUM(T216:T218)</f>
        <v>0</v>
      </c>
      <c r="U219" s="611"/>
      <c r="V219" s="611"/>
      <c r="W219" s="611"/>
      <c r="X219" s="611"/>
      <c r="Y219" s="611"/>
      <c r="Z219" s="611"/>
      <c r="AA219" s="611"/>
      <c r="AB219" s="611"/>
      <c r="AC219" s="611"/>
      <c r="AD219" s="611"/>
      <c r="AE219" s="611"/>
      <c r="AF219" s="611"/>
      <c r="AG219" s="611"/>
      <c r="AH219" s="611"/>
      <c r="AI219" s="611"/>
      <c r="AJ219" s="611"/>
      <c r="AK219" s="611"/>
      <c r="AL219" s="611"/>
      <c r="AM219" s="611"/>
      <c r="AN219" s="611"/>
      <c r="AO219" s="611"/>
    </row>
    <row r="220" spans="1:41" s="602" customFormat="1" ht="12" thickTop="1">
      <c r="A220" s="63"/>
      <c r="B220" s="41"/>
      <c r="C220" s="63"/>
      <c r="E220" s="42" t="s">
        <v>138</v>
      </c>
      <c r="F220" s="42" t="s">
        <v>139</v>
      </c>
      <c r="G220" s="63"/>
      <c r="H220" s="63"/>
      <c r="I220" s="63"/>
      <c r="J220" s="63"/>
      <c r="K220" s="63" t="s">
        <v>140</v>
      </c>
      <c r="L220" s="63"/>
      <c r="M220" s="63"/>
      <c r="N220" s="63"/>
      <c r="O220" s="64"/>
      <c r="P220" s="63"/>
      <c r="Q220" s="63"/>
      <c r="R220" s="63"/>
      <c r="S220" s="63"/>
      <c r="T220" s="41"/>
      <c r="AG220" s="667" t="s">
        <v>278</v>
      </c>
      <c r="AH220" s="667" t="s">
        <v>279</v>
      </c>
      <c r="AI220" s="667" t="s">
        <v>280</v>
      </c>
      <c r="AJ220" s="667" t="s">
        <v>281</v>
      </c>
      <c r="AK220" s="667" t="s">
        <v>282</v>
      </c>
      <c r="AM220" s="668" t="s">
        <v>291</v>
      </c>
      <c r="AN220" s="669" t="s">
        <v>292</v>
      </c>
      <c r="AO220" s="603" t="s">
        <v>288</v>
      </c>
    </row>
    <row r="221" spans="1:41" s="602" customFormat="1" ht="12" customHeight="1">
      <c r="A221" s="670">
        <v>10</v>
      </c>
      <c r="B221" s="838" t="s">
        <v>326</v>
      </c>
      <c r="C221" s="672"/>
      <c r="D221" s="673" t="s">
        <v>1158</v>
      </c>
      <c r="E221" s="1237">
        <f>IF(AND($A221=0,$A$1="DIF"),0, ROUND(ROUND(($R225*$S$5+($T225*$T$5))/$A221,2)*$C$5,2))</f>
        <v>20.56</v>
      </c>
      <c r="F221" s="1238">
        <f>ROUND($A221*$E221,2)</f>
        <v>205.6</v>
      </c>
      <c r="G221" s="676" t="s">
        <v>142</v>
      </c>
      <c r="H221" s="664"/>
      <c r="I221" s="677"/>
      <c r="J221" s="664"/>
      <c r="K221" s="664" t="s">
        <v>10</v>
      </c>
      <c r="L221" s="678" t="s">
        <v>143</v>
      </c>
      <c r="M221" s="678"/>
      <c r="N221" s="678"/>
      <c r="O221" s="678"/>
      <c r="P221" s="678"/>
      <c r="Q221" s="63"/>
      <c r="T221" s="1242" t="str">
        <f>IF(AND($R225=0,$T225=0),"0.00","mu: "&amp; ROUND(F221/$C$5/($R225+$T225*$D$9),2))</f>
        <v>mu: 1</v>
      </c>
      <c r="W221" s="604"/>
      <c r="AG221" s="1239">
        <f>IF($E221=0,0,ROUND($R225*$S$5*$C$5/$A221,2))</f>
        <v>20.56</v>
      </c>
      <c r="AH221" s="1239">
        <f>$AG221*$A221</f>
        <v>205.6</v>
      </c>
      <c r="AI221" s="1240">
        <f>$E221-$AG221</f>
        <v>0</v>
      </c>
      <c r="AJ221" s="1240">
        <f>$A221*$AI221</f>
        <v>0</v>
      </c>
      <c r="AK221" s="1241">
        <f>ROUND(($AG221+$AI221)*$A221,2)</f>
        <v>205.6</v>
      </c>
      <c r="AM221" s="607">
        <f>ROUND(R225,2)</f>
        <v>205.6</v>
      </c>
      <c r="AN221" s="608">
        <f>ROUND(T225,2)</f>
        <v>0</v>
      </c>
      <c r="AO221" s="609">
        <f>ROUND(AM221+AN221,2)*A221</f>
        <v>2056</v>
      </c>
    </row>
    <row r="222" spans="1:41" s="602" customFormat="1" ht="13.2">
      <c r="A222" s="672"/>
      <c r="B222"/>
      <c r="C222" s="672"/>
      <c r="D222" s="673" t="s">
        <v>1098</v>
      </c>
      <c r="F222" s="664"/>
      <c r="G222" s="3"/>
      <c r="H222" s="664"/>
      <c r="I222" s="677"/>
      <c r="J222" s="664"/>
      <c r="K222" s="664" t="s">
        <v>144</v>
      </c>
      <c r="L222" s="664"/>
      <c r="M222" s="664"/>
      <c r="N222" s="664"/>
      <c r="O222" s="664"/>
      <c r="P222" s="664"/>
      <c r="Q222" s="63"/>
      <c r="R222" s="610"/>
      <c r="S222" s="680"/>
      <c r="T222" s="664"/>
    </row>
    <row r="223" spans="1:41" s="730" customFormat="1" ht="13.2">
      <c r="A223" s="750">
        <f>A221</f>
        <v>10</v>
      </c>
      <c r="B223" s="740" t="s">
        <v>312</v>
      </c>
      <c r="C223" s="740"/>
      <c r="D223" s="740" t="s">
        <v>1175</v>
      </c>
      <c r="E223" s="740"/>
      <c r="F223" s="749" t="s">
        <v>1177</v>
      </c>
      <c r="G223" s="741" t="s">
        <v>1176</v>
      </c>
      <c r="H223" s="1002">
        <v>960</v>
      </c>
      <c r="I223" s="740" t="s">
        <v>686</v>
      </c>
      <c r="J223" s="740"/>
      <c r="K223" s="740"/>
      <c r="L223" s="740"/>
      <c r="M223" s="740"/>
      <c r="N223" s="740"/>
      <c r="O223" s="744">
        <v>4</v>
      </c>
      <c r="P223" s="745">
        <v>38594</v>
      </c>
      <c r="Q223" s="746">
        <v>20.56</v>
      </c>
      <c r="R223" s="747">
        <f>$A223*Q223</f>
        <v>205.6</v>
      </c>
      <c r="S223" s="746"/>
      <c r="T223" s="748">
        <f>$A223*S223*$T$1</f>
        <v>0</v>
      </c>
    </row>
    <row r="224" spans="1:41" s="602" customFormat="1" ht="12">
      <c r="A224" s="663"/>
      <c r="B224" s="663"/>
      <c r="C224" s="663"/>
      <c r="D224" s="663"/>
      <c r="E224" s="663"/>
      <c r="F224" s="664"/>
      <c r="G224" s="663"/>
      <c r="H224" s="663"/>
      <c r="I224" s="601"/>
      <c r="J224" s="663"/>
      <c r="K224" s="663"/>
      <c r="L224" s="663"/>
      <c r="M224" s="663"/>
      <c r="N224" s="663"/>
      <c r="O224" s="663"/>
      <c r="P224" s="663"/>
      <c r="Q224" s="601"/>
      <c r="R224" s="666">
        <f>$A224*Q224</f>
        <v>0</v>
      </c>
      <c r="S224" s="601"/>
      <c r="T224" s="681">
        <f>$A224*S224*$T$1</f>
        <v>0</v>
      </c>
    </row>
    <row r="225" spans="1:41" s="602" customFormat="1" ht="12.6" thickBot="1">
      <c r="A225" s="682" t="s">
        <v>145</v>
      </c>
      <c r="B225" s="683">
        <f>(R224+T224)</f>
        <v>0</v>
      </c>
      <c r="C225" s="684"/>
      <c r="D225" s="684"/>
      <c r="E225" s="684"/>
      <c r="F225" s="685"/>
      <c r="G225" s="684" t="s">
        <v>146</v>
      </c>
      <c r="H225" s="684"/>
      <c r="I225" s="686"/>
      <c r="J225" s="684"/>
      <c r="K225" s="684" t="s">
        <v>10</v>
      </c>
      <c r="L225" s="687" t="s">
        <v>143</v>
      </c>
      <c r="M225" s="687"/>
      <c r="N225" s="687"/>
      <c r="O225" s="687"/>
      <c r="P225" s="687"/>
      <c r="Q225" s="688"/>
      <c r="R225" s="689">
        <f>SUM(R222:R224)</f>
        <v>205.6</v>
      </c>
      <c r="S225" s="684"/>
      <c r="T225" s="689">
        <f>SUM(T222:T224)</f>
        <v>0</v>
      </c>
      <c r="U225" s="611"/>
      <c r="V225" s="611"/>
      <c r="W225" s="611"/>
      <c r="X225" s="611"/>
      <c r="Y225" s="611"/>
      <c r="Z225" s="611"/>
      <c r="AA225" s="611"/>
      <c r="AB225" s="611"/>
      <c r="AC225" s="611"/>
      <c r="AD225" s="611"/>
      <c r="AE225" s="611"/>
      <c r="AF225" s="611"/>
      <c r="AG225" s="611"/>
      <c r="AH225" s="611"/>
      <c r="AI225" s="611"/>
      <c r="AJ225" s="611"/>
      <c r="AK225" s="611"/>
      <c r="AL225" s="611"/>
      <c r="AM225" s="611"/>
      <c r="AN225" s="611"/>
      <c r="AO225" s="611"/>
    </row>
    <row r="226" spans="1:41" s="602" customFormat="1" ht="12" thickTop="1">
      <c r="A226" s="63"/>
      <c r="B226" s="41"/>
      <c r="C226" s="63"/>
      <c r="E226" s="42" t="s">
        <v>138</v>
      </c>
      <c r="F226" s="42" t="s">
        <v>139</v>
      </c>
      <c r="G226" s="63"/>
      <c r="H226" s="63"/>
      <c r="I226" s="63"/>
      <c r="J226" s="63"/>
      <c r="K226" s="63" t="s">
        <v>140</v>
      </c>
      <c r="L226" s="63"/>
      <c r="M226" s="63"/>
      <c r="N226" s="63"/>
      <c r="O226" s="64"/>
      <c r="P226" s="63"/>
      <c r="Q226" s="63"/>
      <c r="R226" s="63"/>
      <c r="S226" s="63"/>
      <c r="T226" s="41"/>
      <c r="AG226" s="667" t="s">
        <v>278</v>
      </c>
      <c r="AH226" s="667" t="s">
        <v>279</v>
      </c>
      <c r="AI226" s="667" t="s">
        <v>280</v>
      </c>
      <c r="AJ226" s="667" t="s">
        <v>281</v>
      </c>
      <c r="AK226" s="667" t="s">
        <v>282</v>
      </c>
      <c r="AM226" s="668" t="s">
        <v>291</v>
      </c>
      <c r="AN226" s="669" t="s">
        <v>292</v>
      </c>
      <c r="AO226" s="603" t="s">
        <v>288</v>
      </c>
    </row>
    <row r="227" spans="1:41" s="602" customFormat="1" ht="12" customHeight="1">
      <c r="A227" s="670">
        <v>28</v>
      </c>
      <c r="B227" s="838" t="s">
        <v>326</v>
      </c>
      <c r="C227" s="672"/>
      <c r="D227" s="673" t="s">
        <v>1159</v>
      </c>
      <c r="E227" s="1237">
        <f>IF(AND($A227=0,$A$1="DIF"),0, ROUND(ROUND(($R231*$S$5+($T231*$T$5))/$A227,2)*$C$5,2))</f>
        <v>22.62</v>
      </c>
      <c r="F227" s="1238">
        <f>ROUND($A227*$E227,2)</f>
        <v>633.36</v>
      </c>
      <c r="G227" s="676" t="s">
        <v>142</v>
      </c>
      <c r="H227" s="664"/>
      <c r="I227" s="677"/>
      <c r="J227" s="664"/>
      <c r="K227" s="664" t="s">
        <v>10</v>
      </c>
      <c r="L227" s="678" t="s">
        <v>143</v>
      </c>
      <c r="M227" s="678"/>
      <c r="N227" s="678"/>
      <c r="O227" s="678"/>
      <c r="P227" s="678"/>
      <c r="Q227" s="63"/>
      <c r="T227" s="1242" t="str">
        <f>IF(AND($R231=0,$T231=0),"0.00","mu: "&amp; ROUND(F227/$C$5/($R231+$T231*$D$9),2))</f>
        <v>mu: 1</v>
      </c>
      <c r="W227" s="604"/>
      <c r="AG227" s="1239">
        <f>IF($E227=0,0,ROUND($R231*$S$5*$C$5/$A227,2))</f>
        <v>22.62</v>
      </c>
      <c r="AH227" s="1239">
        <f>$AG227*$A227</f>
        <v>633.36</v>
      </c>
      <c r="AI227" s="1240">
        <f>$E227-$AG227</f>
        <v>0</v>
      </c>
      <c r="AJ227" s="1240">
        <f>$A227*$AI227</f>
        <v>0</v>
      </c>
      <c r="AK227" s="1241">
        <f>ROUND(($AG227+$AI227)*$A227,2)</f>
        <v>633.36</v>
      </c>
      <c r="AM227" s="607">
        <f>ROUND(R231,2)</f>
        <v>633.36</v>
      </c>
      <c r="AN227" s="608">
        <f>ROUND(T231,2)</f>
        <v>0</v>
      </c>
      <c r="AO227" s="609">
        <f>ROUND(AM227+AN227,2)*A227</f>
        <v>17734.080000000002</v>
      </c>
    </row>
    <row r="228" spans="1:41" s="602" customFormat="1" ht="13.2">
      <c r="A228" s="672"/>
      <c r="B228"/>
      <c r="C228" s="672"/>
      <c r="D228" s="673" t="s">
        <v>479</v>
      </c>
      <c r="F228" s="664"/>
      <c r="G228" s="3"/>
      <c r="H228" s="664"/>
      <c r="I228" s="677"/>
      <c r="J228" s="664"/>
      <c r="K228" s="664" t="s">
        <v>144</v>
      </c>
      <c r="L228" s="664"/>
      <c r="M228" s="664"/>
      <c r="N228" s="664"/>
      <c r="O228" s="664"/>
      <c r="P228" s="664"/>
      <c r="Q228" s="63"/>
      <c r="R228" s="610"/>
      <c r="S228" s="680"/>
      <c r="T228" s="664"/>
    </row>
    <row r="229" spans="1:41" s="730" customFormat="1" ht="13.2">
      <c r="A229" s="750">
        <f>A227</f>
        <v>28</v>
      </c>
      <c r="B229" s="740" t="s">
        <v>312</v>
      </c>
      <c r="C229" s="740"/>
      <c r="D229" s="740" t="s">
        <v>1175</v>
      </c>
      <c r="E229" s="740"/>
      <c r="F229" s="749" t="s">
        <v>1177</v>
      </c>
      <c r="G229" s="741" t="s">
        <v>1176</v>
      </c>
      <c r="H229" s="1002">
        <v>960</v>
      </c>
      <c r="I229" s="740" t="s">
        <v>686</v>
      </c>
      <c r="J229" s="740"/>
      <c r="K229" s="740"/>
      <c r="L229" s="740"/>
      <c r="M229" s="740"/>
      <c r="N229" s="740"/>
      <c r="O229" s="744">
        <v>4</v>
      </c>
      <c r="P229" s="745">
        <v>38594</v>
      </c>
      <c r="Q229" s="746">
        <v>22.62</v>
      </c>
      <c r="R229" s="747">
        <f>$A229*Q229</f>
        <v>633.36</v>
      </c>
      <c r="S229" s="746"/>
      <c r="T229" s="748">
        <f>$A229*S229*$T$1</f>
        <v>0</v>
      </c>
    </row>
    <row r="230" spans="1:41" s="602" customFormat="1" ht="12">
      <c r="A230" s="663"/>
      <c r="B230" s="663"/>
      <c r="C230" s="663"/>
      <c r="D230" s="663"/>
      <c r="E230" s="663"/>
      <c r="F230" s="664"/>
      <c r="G230" s="663"/>
      <c r="H230" s="663"/>
      <c r="I230" s="601"/>
      <c r="J230" s="663"/>
      <c r="K230" s="663"/>
      <c r="L230" s="663"/>
      <c r="M230" s="663"/>
      <c r="N230" s="663"/>
      <c r="O230" s="663"/>
      <c r="P230" s="663"/>
      <c r="Q230" s="601"/>
      <c r="R230" s="666">
        <f>$A230*Q230</f>
        <v>0</v>
      </c>
      <c r="S230" s="601"/>
      <c r="T230" s="681">
        <f>$A230*S230*$T$1</f>
        <v>0</v>
      </c>
    </row>
    <row r="231" spans="1:41" s="602" customFormat="1" ht="12.6" thickBot="1">
      <c r="A231" s="682" t="s">
        <v>145</v>
      </c>
      <c r="B231" s="683">
        <f>(R230+T230)</f>
        <v>0</v>
      </c>
      <c r="C231" s="684"/>
      <c r="D231" s="684"/>
      <c r="E231" s="684"/>
      <c r="F231" s="685"/>
      <c r="G231" s="684" t="s">
        <v>146</v>
      </c>
      <c r="H231" s="684"/>
      <c r="I231" s="686"/>
      <c r="J231" s="684"/>
      <c r="K231" s="684" t="s">
        <v>10</v>
      </c>
      <c r="L231" s="687" t="s">
        <v>143</v>
      </c>
      <c r="M231" s="687"/>
      <c r="N231" s="687"/>
      <c r="O231" s="687"/>
      <c r="P231" s="687"/>
      <c r="Q231" s="688"/>
      <c r="R231" s="689">
        <f>SUM(R228:R230)</f>
        <v>633.36</v>
      </c>
      <c r="S231" s="684"/>
      <c r="T231" s="689">
        <f>SUM(T228:T230)</f>
        <v>0</v>
      </c>
      <c r="U231" s="611"/>
      <c r="V231" s="611"/>
      <c r="W231" s="611"/>
      <c r="X231" s="611"/>
      <c r="Y231" s="611"/>
      <c r="Z231" s="611"/>
      <c r="AA231" s="611"/>
      <c r="AB231" s="611"/>
      <c r="AC231" s="611"/>
      <c r="AD231" s="611"/>
      <c r="AE231" s="611"/>
      <c r="AF231" s="611"/>
      <c r="AG231" s="611"/>
      <c r="AH231" s="611"/>
      <c r="AI231" s="611"/>
      <c r="AJ231" s="611"/>
      <c r="AK231" s="611"/>
      <c r="AL231" s="611"/>
      <c r="AM231" s="611"/>
      <c r="AN231" s="611"/>
      <c r="AO231" s="611"/>
    </row>
    <row r="232" spans="1:41" s="602" customFormat="1" ht="12" thickTop="1">
      <c r="A232" s="63"/>
      <c r="B232" s="41"/>
      <c r="C232" s="63"/>
      <c r="E232" s="42" t="s">
        <v>138</v>
      </c>
      <c r="F232" s="42" t="s">
        <v>139</v>
      </c>
      <c r="G232" s="63"/>
      <c r="H232" s="63"/>
      <c r="I232" s="63"/>
      <c r="J232" s="63"/>
      <c r="K232" s="63" t="s">
        <v>140</v>
      </c>
      <c r="L232" s="63"/>
      <c r="M232" s="63"/>
      <c r="N232" s="63"/>
      <c r="O232" s="64"/>
      <c r="P232" s="63"/>
      <c r="Q232" s="63"/>
      <c r="R232" s="63"/>
      <c r="S232" s="63"/>
      <c r="T232" s="41"/>
      <c r="AG232" s="667" t="s">
        <v>278</v>
      </c>
      <c r="AH232" s="667" t="s">
        <v>279</v>
      </c>
      <c r="AI232" s="667" t="s">
        <v>280</v>
      </c>
      <c r="AJ232" s="667" t="s">
        <v>281</v>
      </c>
      <c r="AK232" s="667" t="s">
        <v>282</v>
      </c>
      <c r="AM232" s="668" t="s">
        <v>291</v>
      </c>
      <c r="AN232" s="669" t="s">
        <v>292</v>
      </c>
      <c r="AO232" s="603" t="s">
        <v>288</v>
      </c>
    </row>
    <row r="233" spans="1:41" s="602" customFormat="1" ht="12" customHeight="1">
      <c r="A233" s="670">
        <v>15</v>
      </c>
      <c r="B233" s="838" t="s">
        <v>326</v>
      </c>
      <c r="C233" s="672"/>
      <c r="D233" s="673" t="s">
        <v>1160</v>
      </c>
      <c r="E233" s="1237">
        <f>IF(AND($A233=0,$A$1="DIF"),0, ROUND(ROUND(($R237*$S$5+($T237*$T$5))/$A233,2)*$C$5,2))</f>
        <v>22.62</v>
      </c>
      <c r="F233" s="1238">
        <f>ROUND($A233*$E233,2)</f>
        <v>339.3</v>
      </c>
      <c r="G233" s="676" t="s">
        <v>142</v>
      </c>
      <c r="H233" s="664"/>
      <c r="I233" s="677"/>
      <c r="J233" s="664"/>
      <c r="K233" s="664" t="s">
        <v>10</v>
      </c>
      <c r="L233" s="678" t="s">
        <v>143</v>
      </c>
      <c r="M233" s="678"/>
      <c r="N233" s="678"/>
      <c r="O233" s="678"/>
      <c r="P233" s="678"/>
      <c r="Q233" s="63"/>
      <c r="T233" s="1242" t="str">
        <f>IF(AND($R237=0,$T237=0),"0.00","mu: "&amp; ROUND(F233/$C$5/($R237+$T237*$D$9),2))</f>
        <v>mu: 1</v>
      </c>
      <c r="W233" s="604"/>
      <c r="AG233" s="1239">
        <f>IF($E233=0,0,ROUND($R237*$S$5*$C$5/$A233,2))</f>
        <v>22.62</v>
      </c>
      <c r="AH233" s="1239">
        <f>$AG233*$A233</f>
        <v>339.3</v>
      </c>
      <c r="AI233" s="1240">
        <f>$E233-$AG233</f>
        <v>0</v>
      </c>
      <c r="AJ233" s="1240">
        <f>$A233*$AI233</f>
        <v>0</v>
      </c>
      <c r="AK233" s="1241">
        <f>ROUND(($AG233+$AI233)*$A233,2)</f>
        <v>339.3</v>
      </c>
      <c r="AM233" s="607">
        <f>ROUND(R237,2)</f>
        <v>339.3</v>
      </c>
      <c r="AN233" s="608">
        <f>ROUND(T237,2)</f>
        <v>0</v>
      </c>
      <c r="AO233" s="609">
        <f>ROUND(AM233+AN233,2)*A233</f>
        <v>5089.5</v>
      </c>
    </row>
    <row r="234" spans="1:41" s="602" customFormat="1" ht="13.2">
      <c r="A234" s="672"/>
      <c r="B234"/>
      <c r="C234" s="672"/>
      <c r="D234" s="673" t="s">
        <v>1099</v>
      </c>
      <c r="F234" s="664"/>
      <c r="G234" s="3"/>
      <c r="H234" s="664"/>
      <c r="I234" s="677"/>
      <c r="J234" s="664"/>
      <c r="K234" s="664" t="s">
        <v>144</v>
      </c>
      <c r="L234" s="664"/>
      <c r="M234" s="664"/>
      <c r="N234" s="664"/>
      <c r="O234" s="664"/>
      <c r="P234" s="664"/>
      <c r="Q234" s="63"/>
      <c r="R234" s="610"/>
      <c r="S234" s="680"/>
      <c r="T234" s="664"/>
    </row>
    <row r="235" spans="1:41" s="730" customFormat="1" ht="13.2">
      <c r="A235" s="750">
        <f>A233</f>
        <v>15</v>
      </c>
      <c r="B235" s="740" t="s">
        <v>312</v>
      </c>
      <c r="C235" s="740"/>
      <c r="D235" s="740" t="s">
        <v>1175</v>
      </c>
      <c r="E235" s="740"/>
      <c r="F235" s="749" t="s">
        <v>1177</v>
      </c>
      <c r="G235" s="741" t="s">
        <v>1176</v>
      </c>
      <c r="H235" s="1002">
        <v>960</v>
      </c>
      <c r="I235" s="740" t="s">
        <v>686</v>
      </c>
      <c r="J235" s="740"/>
      <c r="K235" s="740"/>
      <c r="L235" s="740"/>
      <c r="M235" s="740"/>
      <c r="N235" s="740"/>
      <c r="O235" s="744">
        <v>4</v>
      </c>
      <c r="P235" s="745">
        <v>38594</v>
      </c>
      <c r="Q235" s="746">
        <v>22.62</v>
      </c>
      <c r="R235" s="747">
        <f>$A235*Q235</f>
        <v>339.3</v>
      </c>
      <c r="S235" s="746"/>
      <c r="T235" s="748">
        <f>$A235*S235*$T$1</f>
        <v>0</v>
      </c>
    </row>
    <row r="236" spans="1:41" s="602" customFormat="1" ht="12">
      <c r="A236" s="663"/>
      <c r="B236" s="663"/>
      <c r="C236" s="663"/>
      <c r="D236" s="663"/>
      <c r="E236" s="663"/>
      <c r="F236" s="664"/>
      <c r="G236" s="663"/>
      <c r="H236" s="663"/>
      <c r="I236" s="601"/>
      <c r="J236" s="663"/>
      <c r="K236" s="663"/>
      <c r="L236" s="663"/>
      <c r="M236" s="663"/>
      <c r="N236" s="663"/>
      <c r="O236" s="663"/>
      <c r="P236" s="663"/>
      <c r="Q236" s="601"/>
      <c r="R236" s="666">
        <f>$A236*Q236</f>
        <v>0</v>
      </c>
      <c r="S236" s="601"/>
      <c r="T236" s="681">
        <f>$A236*S236*$T$1</f>
        <v>0</v>
      </c>
    </row>
    <row r="237" spans="1:41" s="602" customFormat="1" ht="12.6" thickBot="1">
      <c r="A237" s="682" t="s">
        <v>145</v>
      </c>
      <c r="B237" s="683">
        <f>(R236+T236)</f>
        <v>0</v>
      </c>
      <c r="C237" s="684"/>
      <c r="D237" s="684"/>
      <c r="E237" s="684"/>
      <c r="F237" s="685"/>
      <c r="G237" s="684" t="s">
        <v>146</v>
      </c>
      <c r="H237" s="684"/>
      <c r="I237" s="686"/>
      <c r="J237" s="684"/>
      <c r="K237" s="684" t="s">
        <v>10</v>
      </c>
      <c r="L237" s="687" t="s">
        <v>143</v>
      </c>
      <c r="M237" s="687"/>
      <c r="N237" s="687"/>
      <c r="O237" s="687"/>
      <c r="P237" s="687"/>
      <c r="Q237" s="688"/>
      <c r="R237" s="689">
        <f>SUM(R234:R236)</f>
        <v>339.3</v>
      </c>
      <c r="S237" s="684"/>
      <c r="T237" s="689">
        <f>SUM(T234:T236)</f>
        <v>0</v>
      </c>
      <c r="U237" s="611"/>
      <c r="V237" s="611"/>
      <c r="W237" s="611"/>
      <c r="X237" s="611"/>
      <c r="Y237" s="611"/>
      <c r="Z237" s="611"/>
      <c r="AA237" s="611"/>
      <c r="AB237" s="611"/>
      <c r="AC237" s="611"/>
      <c r="AD237" s="611"/>
      <c r="AE237" s="611"/>
      <c r="AF237" s="611"/>
      <c r="AG237" s="611"/>
      <c r="AH237" s="611"/>
      <c r="AI237" s="611"/>
      <c r="AJ237" s="611"/>
      <c r="AK237" s="611"/>
      <c r="AL237" s="611"/>
      <c r="AM237" s="611"/>
      <c r="AN237" s="611"/>
      <c r="AO237" s="611"/>
    </row>
    <row r="238" spans="1:41" s="602" customFormat="1" ht="12" thickTop="1">
      <c r="A238" s="63"/>
      <c r="B238" s="41"/>
      <c r="C238" s="63"/>
      <c r="E238" s="42" t="s">
        <v>138</v>
      </c>
      <c r="F238" s="42" t="s">
        <v>139</v>
      </c>
      <c r="G238" s="63"/>
      <c r="H238" s="63"/>
      <c r="I238" s="63"/>
      <c r="J238" s="63"/>
      <c r="K238" s="63" t="s">
        <v>140</v>
      </c>
      <c r="L238" s="63"/>
      <c r="M238" s="63"/>
      <c r="N238" s="63"/>
      <c r="O238" s="64"/>
      <c r="P238" s="63"/>
      <c r="Q238" s="63"/>
      <c r="R238" s="63"/>
      <c r="S238" s="63"/>
      <c r="T238" s="41"/>
      <c r="AG238" s="667" t="s">
        <v>278</v>
      </c>
      <c r="AH238" s="667" t="s">
        <v>279</v>
      </c>
      <c r="AI238" s="667" t="s">
        <v>280</v>
      </c>
      <c r="AJ238" s="667" t="s">
        <v>281</v>
      </c>
      <c r="AK238" s="667" t="s">
        <v>282</v>
      </c>
      <c r="AM238" s="668" t="s">
        <v>291</v>
      </c>
      <c r="AN238" s="669" t="s">
        <v>292</v>
      </c>
      <c r="AO238" s="603" t="s">
        <v>288</v>
      </c>
    </row>
    <row r="239" spans="1:41" s="602" customFormat="1" ht="12" customHeight="1">
      <c r="A239" s="670">
        <v>7</v>
      </c>
      <c r="B239" s="838" t="s">
        <v>326</v>
      </c>
      <c r="C239" s="672"/>
      <c r="D239" s="673" t="s">
        <v>1161</v>
      </c>
      <c r="E239" s="1237">
        <f>IF(AND($A239=0,$A$1="DIF"),0, ROUND(ROUND(($R243*$S$5+($T243*$T$5))/$A239,2)*$C$5,2))</f>
        <v>30.01</v>
      </c>
      <c r="F239" s="1238">
        <f>ROUND($A239*$E239,2)</f>
        <v>210.07</v>
      </c>
      <c r="G239" s="676" t="s">
        <v>142</v>
      </c>
      <c r="H239" s="664"/>
      <c r="I239" s="677"/>
      <c r="J239" s="664"/>
      <c r="K239" s="664" t="s">
        <v>10</v>
      </c>
      <c r="L239" s="678" t="s">
        <v>143</v>
      </c>
      <c r="M239" s="678"/>
      <c r="N239" s="678"/>
      <c r="O239" s="678"/>
      <c r="P239" s="678"/>
      <c r="Q239" s="63"/>
      <c r="T239" s="1242" t="str">
        <f>IF(AND($R243=0,$T243=0),"0.00","mu: "&amp; ROUND(F239/$C$5/($R243+$T243*$D$9),2))</f>
        <v>mu: 1</v>
      </c>
      <c r="W239" s="604"/>
      <c r="AG239" s="1239">
        <f>IF($E239=0,0,ROUND($R243*$S$5*$C$5/$A239,2))</f>
        <v>30.01</v>
      </c>
      <c r="AH239" s="1239">
        <f>$AG239*$A239</f>
        <v>210.07000000000002</v>
      </c>
      <c r="AI239" s="1240">
        <f>$E239-$AG239</f>
        <v>0</v>
      </c>
      <c r="AJ239" s="1240">
        <f>$A239*$AI239</f>
        <v>0</v>
      </c>
      <c r="AK239" s="1241">
        <f>ROUND(($AG239+$AI239)*$A239,2)</f>
        <v>210.07</v>
      </c>
      <c r="AM239" s="607">
        <f>ROUND(R243,2)</f>
        <v>210.07</v>
      </c>
      <c r="AN239" s="608">
        <f>ROUND(T243,2)</f>
        <v>0</v>
      </c>
      <c r="AO239" s="609">
        <f>ROUND(AM239+AN239,2)*A239</f>
        <v>1470.49</v>
      </c>
    </row>
    <row r="240" spans="1:41" s="602" customFormat="1" ht="13.2">
      <c r="A240" s="672"/>
      <c r="B240"/>
      <c r="C240" s="672"/>
      <c r="D240" s="673" t="s">
        <v>1100</v>
      </c>
      <c r="F240" s="664"/>
      <c r="G240" s="3"/>
      <c r="H240" s="664"/>
      <c r="I240" s="677"/>
      <c r="J240" s="664"/>
      <c r="K240" s="664" t="s">
        <v>144</v>
      </c>
      <c r="L240" s="664"/>
      <c r="M240" s="664"/>
      <c r="N240" s="664"/>
      <c r="O240" s="664"/>
      <c r="P240" s="664"/>
      <c r="Q240" s="63"/>
      <c r="R240" s="610"/>
      <c r="S240" s="680"/>
      <c r="T240" s="664"/>
    </row>
    <row r="241" spans="1:41" s="730" customFormat="1" ht="13.2">
      <c r="A241" s="750">
        <f>A239</f>
        <v>7</v>
      </c>
      <c r="B241" s="740" t="s">
        <v>312</v>
      </c>
      <c r="C241" s="740"/>
      <c r="D241" s="740" t="s">
        <v>1175</v>
      </c>
      <c r="E241" s="740"/>
      <c r="F241" s="749" t="s">
        <v>1177</v>
      </c>
      <c r="G241" s="741" t="s">
        <v>1176</v>
      </c>
      <c r="H241" s="1002">
        <v>960</v>
      </c>
      <c r="I241" s="740" t="s">
        <v>686</v>
      </c>
      <c r="J241" s="740"/>
      <c r="K241" s="740"/>
      <c r="L241" s="740"/>
      <c r="M241" s="740"/>
      <c r="N241" s="740"/>
      <c r="O241" s="744">
        <v>4</v>
      </c>
      <c r="P241" s="745">
        <v>38594</v>
      </c>
      <c r="Q241" s="746">
        <v>30.01</v>
      </c>
      <c r="R241" s="747">
        <f>$A241*Q241</f>
        <v>210.07000000000002</v>
      </c>
      <c r="S241" s="746"/>
      <c r="T241" s="748">
        <f>$A241*S241*$T$1</f>
        <v>0</v>
      </c>
    </row>
    <row r="242" spans="1:41" s="602" customFormat="1" ht="12">
      <c r="A242" s="663"/>
      <c r="B242" s="663"/>
      <c r="C242" s="663"/>
      <c r="D242" s="663"/>
      <c r="E242" s="663"/>
      <c r="F242" s="664"/>
      <c r="G242" s="663"/>
      <c r="H242" s="663"/>
      <c r="I242" s="601"/>
      <c r="J242" s="663"/>
      <c r="K242" s="663"/>
      <c r="L242" s="663"/>
      <c r="M242" s="663"/>
      <c r="N242" s="663"/>
      <c r="O242" s="663"/>
      <c r="P242" s="663"/>
      <c r="Q242" s="601"/>
      <c r="R242" s="666">
        <f>$A242*Q242</f>
        <v>0</v>
      </c>
      <c r="S242" s="601"/>
      <c r="T242" s="681">
        <f>$A242*S242*$T$1</f>
        <v>0</v>
      </c>
    </row>
    <row r="243" spans="1:41" s="602" customFormat="1" ht="12.6" thickBot="1">
      <c r="A243" s="682" t="s">
        <v>145</v>
      </c>
      <c r="B243" s="683">
        <f>(R242+T242)</f>
        <v>0</v>
      </c>
      <c r="C243" s="684"/>
      <c r="D243" s="684"/>
      <c r="E243" s="684"/>
      <c r="F243" s="685"/>
      <c r="G243" s="684" t="s">
        <v>146</v>
      </c>
      <c r="H243" s="684"/>
      <c r="I243" s="686"/>
      <c r="J243" s="684"/>
      <c r="K243" s="684" t="s">
        <v>10</v>
      </c>
      <c r="L243" s="687" t="s">
        <v>143</v>
      </c>
      <c r="M243" s="687"/>
      <c r="N243" s="687"/>
      <c r="O243" s="687"/>
      <c r="P243" s="687"/>
      <c r="Q243" s="688"/>
      <c r="R243" s="689">
        <f>SUM(R240:R242)</f>
        <v>210.07000000000002</v>
      </c>
      <c r="S243" s="684"/>
      <c r="T243" s="689">
        <f>SUM(T240:T242)</f>
        <v>0</v>
      </c>
      <c r="U243" s="611"/>
      <c r="V243" s="611"/>
      <c r="W243" s="611"/>
      <c r="X243" s="611"/>
      <c r="Y243" s="611"/>
      <c r="Z243" s="611"/>
      <c r="AA243" s="611"/>
      <c r="AB243" s="611"/>
      <c r="AC243" s="611"/>
      <c r="AD243" s="611"/>
      <c r="AE243" s="611"/>
      <c r="AF243" s="611"/>
      <c r="AG243" s="611"/>
      <c r="AH243" s="611"/>
      <c r="AI243" s="611"/>
      <c r="AJ243" s="611"/>
      <c r="AK243" s="611"/>
      <c r="AL243" s="611"/>
      <c r="AM243" s="611"/>
      <c r="AN243" s="611"/>
      <c r="AO243" s="611"/>
    </row>
    <row r="244" spans="1:41" s="602" customFormat="1" ht="12" thickTop="1">
      <c r="A244" s="63"/>
      <c r="B244" s="41"/>
      <c r="C244" s="63"/>
      <c r="E244" s="42" t="s">
        <v>138</v>
      </c>
      <c r="F244" s="42" t="s">
        <v>139</v>
      </c>
      <c r="G244" s="63"/>
      <c r="H244" s="63"/>
      <c r="I244" s="63"/>
      <c r="J244" s="63"/>
      <c r="K244" s="63" t="s">
        <v>140</v>
      </c>
      <c r="L244" s="63"/>
      <c r="M244" s="63"/>
      <c r="N244" s="63"/>
      <c r="O244" s="64"/>
      <c r="P244" s="63"/>
      <c r="Q244" s="63"/>
      <c r="R244" s="63"/>
      <c r="S244" s="63"/>
      <c r="T244" s="41"/>
      <c r="AG244" s="667" t="s">
        <v>278</v>
      </c>
      <c r="AH244" s="667" t="s">
        <v>279</v>
      </c>
      <c r="AI244" s="667" t="s">
        <v>280</v>
      </c>
      <c r="AJ244" s="667" t="s">
        <v>281</v>
      </c>
      <c r="AK244" s="667" t="s">
        <v>282</v>
      </c>
      <c r="AM244" s="668" t="s">
        <v>291</v>
      </c>
      <c r="AN244" s="669" t="s">
        <v>292</v>
      </c>
      <c r="AO244" s="603" t="s">
        <v>288</v>
      </c>
    </row>
    <row r="245" spans="1:41" s="602" customFormat="1" ht="12" customHeight="1">
      <c r="A245" s="670">
        <v>8</v>
      </c>
      <c r="B245" s="838" t="s">
        <v>326</v>
      </c>
      <c r="C245" s="672"/>
      <c r="D245" s="673" t="s">
        <v>1162</v>
      </c>
      <c r="E245" s="1237">
        <f>IF(AND($A245=0,$A$1="DIF"),0, ROUND(ROUND(($R249*$S$5+($T249*$T$5))/$A245,2)*$C$5,2))</f>
        <v>43.69</v>
      </c>
      <c r="F245" s="1238">
        <f>ROUND($A245*$E245,2)</f>
        <v>349.52</v>
      </c>
      <c r="G245" s="676" t="s">
        <v>142</v>
      </c>
      <c r="H245" s="664"/>
      <c r="I245" s="677"/>
      <c r="J245" s="664"/>
      <c r="K245" s="664" t="s">
        <v>10</v>
      </c>
      <c r="L245" s="678" t="s">
        <v>143</v>
      </c>
      <c r="M245" s="678"/>
      <c r="N245" s="678"/>
      <c r="O245" s="678"/>
      <c r="P245" s="678"/>
      <c r="Q245" s="63"/>
      <c r="T245" s="1242" t="str">
        <f>IF(AND($R249=0,$T249=0),"0.00","mu: "&amp; ROUND(F245/$C$5/($R249+$T249*$D$9),2))</f>
        <v>mu: 1</v>
      </c>
      <c r="W245" s="604"/>
      <c r="AG245" s="1239">
        <f>IF($E245=0,0,ROUND($R249*$S$5*$C$5/$A245,2))</f>
        <v>43.69</v>
      </c>
      <c r="AH245" s="1239">
        <f>$AG245*$A245</f>
        <v>349.52</v>
      </c>
      <c r="AI245" s="1240">
        <f>$E245-$AG245</f>
        <v>0</v>
      </c>
      <c r="AJ245" s="1240">
        <f>$A245*$AI245</f>
        <v>0</v>
      </c>
      <c r="AK245" s="1241">
        <f>ROUND(($AG245+$AI245)*$A245,2)</f>
        <v>349.52</v>
      </c>
      <c r="AM245" s="607">
        <f>ROUND(R249,2)</f>
        <v>349.52</v>
      </c>
      <c r="AN245" s="608">
        <f>ROUND(T249,2)</f>
        <v>0</v>
      </c>
      <c r="AO245" s="609">
        <f>ROUND(AM245+AN245,2)*A245</f>
        <v>2796.16</v>
      </c>
    </row>
    <row r="246" spans="1:41" s="602" customFormat="1" ht="13.2">
      <c r="A246" s="672"/>
      <c r="B246"/>
      <c r="C246" s="672"/>
      <c r="D246" s="673" t="s">
        <v>1101</v>
      </c>
      <c r="F246" s="664"/>
      <c r="G246" s="3"/>
      <c r="H246" s="664"/>
      <c r="I246" s="677"/>
      <c r="J246" s="664"/>
      <c r="K246" s="664" t="s">
        <v>144</v>
      </c>
      <c r="L246" s="664"/>
      <c r="M246" s="664"/>
      <c r="N246" s="664"/>
      <c r="O246" s="664"/>
      <c r="P246" s="664"/>
      <c r="Q246" s="63"/>
      <c r="R246" s="610"/>
      <c r="S246" s="680"/>
      <c r="T246" s="664"/>
    </row>
    <row r="247" spans="1:41" s="730" customFormat="1" ht="13.2">
      <c r="A247" s="750">
        <f>A245</f>
        <v>8</v>
      </c>
      <c r="B247" s="740" t="s">
        <v>312</v>
      </c>
      <c r="C247" s="740"/>
      <c r="D247" s="740" t="s">
        <v>1175</v>
      </c>
      <c r="E247" s="740"/>
      <c r="F247" s="749" t="s">
        <v>1177</v>
      </c>
      <c r="G247" s="741" t="s">
        <v>1176</v>
      </c>
      <c r="H247" s="1002">
        <v>960</v>
      </c>
      <c r="I247" s="740" t="s">
        <v>686</v>
      </c>
      <c r="J247" s="740"/>
      <c r="K247" s="740"/>
      <c r="L247" s="740"/>
      <c r="M247" s="740"/>
      <c r="N247" s="740"/>
      <c r="O247" s="744">
        <v>4</v>
      </c>
      <c r="P247" s="745">
        <v>38594</v>
      </c>
      <c r="Q247" s="746">
        <v>43.69</v>
      </c>
      <c r="R247" s="747">
        <f>$A247*Q247</f>
        <v>349.52</v>
      </c>
      <c r="S247" s="746"/>
      <c r="T247" s="748">
        <f>$A247*S247*$T$1</f>
        <v>0</v>
      </c>
    </row>
    <row r="248" spans="1:41" s="602" customFormat="1" ht="12">
      <c r="A248" s="663"/>
      <c r="B248" s="663"/>
      <c r="C248" s="663"/>
      <c r="D248" s="663"/>
      <c r="E248" s="663"/>
      <c r="F248" s="664"/>
      <c r="G248" s="663"/>
      <c r="H248" s="663"/>
      <c r="I248" s="601"/>
      <c r="J248" s="663"/>
      <c r="K248" s="663"/>
      <c r="L248" s="663"/>
      <c r="M248" s="663"/>
      <c r="N248" s="663"/>
      <c r="O248" s="663"/>
      <c r="P248" s="663"/>
      <c r="Q248" s="601"/>
      <c r="R248" s="666">
        <f>$A248*Q248</f>
        <v>0</v>
      </c>
      <c r="S248" s="601"/>
      <c r="T248" s="681">
        <f>$A248*S248*$T$1</f>
        <v>0</v>
      </c>
    </row>
    <row r="249" spans="1:41" s="602" customFormat="1" ht="12.6" thickBot="1">
      <c r="A249" s="682" t="s">
        <v>145</v>
      </c>
      <c r="B249" s="683">
        <f>(R248+T248)</f>
        <v>0</v>
      </c>
      <c r="C249" s="684"/>
      <c r="D249" s="684"/>
      <c r="E249" s="684"/>
      <c r="F249" s="685"/>
      <c r="G249" s="684" t="s">
        <v>146</v>
      </c>
      <c r="H249" s="684"/>
      <c r="I249" s="686"/>
      <c r="J249" s="684"/>
      <c r="K249" s="684" t="s">
        <v>10</v>
      </c>
      <c r="L249" s="687" t="s">
        <v>143</v>
      </c>
      <c r="M249" s="687"/>
      <c r="N249" s="687"/>
      <c r="O249" s="687"/>
      <c r="P249" s="687"/>
      <c r="Q249" s="688"/>
      <c r="R249" s="689">
        <f>SUM(R246:R248)</f>
        <v>349.52</v>
      </c>
      <c r="S249" s="684"/>
      <c r="T249" s="689">
        <f>SUM(T246:T248)</f>
        <v>0</v>
      </c>
      <c r="U249" s="611"/>
      <c r="V249" s="611"/>
      <c r="W249" s="611"/>
      <c r="X249" s="611"/>
      <c r="Y249" s="611"/>
      <c r="Z249" s="611"/>
      <c r="AA249" s="611"/>
      <c r="AB249" s="611"/>
      <c r="AC249" s="611"/>
      <c r="AD249" s="611"/>
      <c r="AE249" s="611"/>
      <c r="AF249" s="611"/>
      <c r="AG249" s="611"/>
      <c r="AH249" s="611"/>
      <c r="AI249" s="611"/>
      <c r="AJ249" s="611"/>
      <c r="AK249" s="611"/>
      <c r="AL249" s="611"/>
      <c r="AM249" s="611"/>
      <c r="AN249" s="611"/>
      <c r="AO249" s="611"/>
    </row>
    <row r="250" spans="1:41" s="602" customFormat="1" thickTop="1">
      <c r="A250" s="63"/>
      <c r="B250" s="63"/>
      <c r="C250" s="3"/>
      <c r="D250" s="3"/>
      <c r="E250" s="63"/>
      <c r="F250" s="63"/>
      <c r="G250" s="63"/>
      <c r="H250" s="63"/>
      <c r="I250" s="63"/>
      <c r="J250" s="63"/>
      <c r="K250" s="63" t="s">
        <v>134</v>
      </c>
      <c r="L250" s="63"/>
      <c r="M250" s="63"/>
      <c r="N250" s="63"/>
      <c r="O250" s="64"/>
      <c r="P250" s="63"/>
      <c r="Q250" s="63"/>
      <c r="R250" s="63"/>
      <c r="S250" s="63"/>
      <c r="T250" s="63"/>
    </row>
    <row r="251" spans="1:41" s="602" customFormat="1" ht="12">
      <c r="A251" s="63"/>
      <c r="B251" s="63"/>
      <c r="C251" s="63" t="s">
        <v>135</v>
      </c>
      <c r="D251" s="37"/>
      <c r="E251" s="63"/>
      <c r="F251" s="63"/>
      <c r="G251" s="63"/>
      <c r="H251" s="63"/>
      <c r="I251" s="63"/>
      <c r="J251" s="63"/>
      <c r="K251" s="63"/>
      <c r="L251" s="63"/>
      <c r="M251" s="63"/>
      <c r="N251" s="63"/>
      <c r="O251" s="64"/>
      <c r="P251" s="63"/>
      <c r="Q251" s="63"/>
      <c r="R251" s="63"/>
      <c r="S251" s="63"/>
      <c r="T251" s="63"/>
    </row>
    <row r="252" spans="1:41" s="602" customFormat="1" ht="12">
      <c r="A252" s="63"/>
      <c r="B252" s="63"/>
      <c r="C252" s="63"/>
      <c r="D252" s="37" t="s">
        <v>1102</v>
      </c>
      <c r="E252" s="63"/>
      <c r="F252" s="63"/>
      <c r="G252" s="63"/>
      <c r="H252" s="63"/>
      <c r="I252" s="63"/>
      <c r="J252" s="63"/>
      <c r="K252" s="63"/>
      <c r="L252" s="63"/>
      <c r="M252" s="63"/>
      <c r="N252" s="63"/>
      <c r="O252" s="64"/>
      <c r="P252" s="63"/>
      <c r="Q252" s="63"/>
      <c r="R252" s="63"/>
      <c r="S252" s="38"/>
      <c r="T252" s="38"/>
    </row>
    <row r="253" spans="1:41" s="3" customFormat="1" thickBot="1">
      <c r="A253" s="611"/>
      <c r="O253" s="158"/>
    </row>
    <row r="254" spans="1:41" s="602" customFormat="1" thickTop="1">
      <c r="A254" s="63"/>
      <c r="B254" s="63"/>
      <c r="C254" s="3"/>
      <c r="D254" s="3"/>
      <c r="E254" s="63"/>
      <c r="F254" s="63"/>
      <c r="G254" s="63"/>
      <c r="H254" s="63"/>
      <c r="I254" s="63"/>
      <c r="J254" s="63"/>
      <c r="K254" s="63" t="s">
        <v>134</v>
      </c>
      <c r="L254" s="63"/>
      <c r="M254" s="63"/>
      <c r="N254" s="63"/>
      <c r="O254" s="64"/>
      <c r="P254" s="63"/>
      <c r="Q254" s="63"/>
      <c r="R254" s="63"/>
      <c r="S254" s="63"/>
      <c r="T254" s="63"/>
    </row>
    <row r="255" spans="1:41" s="602" customFormat="1" ht="12">
      <c r="A255" s="63"/>
      <c r="B255" s="63"/>
      <c r="C255" s="63" t="s">
        <v>135</v>
      </c>
      <c r="D255" s="37" t="s">
        <v>415</v>
      </c>
      <c r="E255" s="63"/>
      <c r="F255" s="63"/>
      <c r="G255" s="63"/>
      <c r="H255" s="63"/>
      <c r="I255" s="63"/>
      <c r="J255" s="63"/>
      <c r="K255" s="63"/>
      <c r="L255" s="63"/>
      <c r="M255" s="63"/>
      <c r="N255" s="63"/>
      <c r="O255" s="64"/>
      <c r="P255" s="63"/>
      <c r="Q255" s="63"/>
      <c r="R255" s="63"/>
      <c r="S255" s="63"/>
      <c r="T255" s="63"/>
    </row>
    <row r="256" spans="1:41" s="602" customFormat="1" ht="39.9" customHeight="1">
      <c r="A256" s="63"/>
      <c r="B256" s="63"/>
      <c r="C256" s="63"/>
      <c r="D256" s="1371" t="s">
        <v>1103</v>
      </c>
      <c r="E256" s="1369"/>
      <c r="F256" s="1369"/>
      <c r="G256" s="1369"/>
      <c r="H256" s="1369"/>
      <c r="I256" s="1369"/>
      <c r="J256" s="1369"/>
      <c r="K256" s="1369"/>
      <c r="L256" s="1369"/>
      <c r="M256" s="1369"/>
      <c r="N256" s="1369"/>
      <c r="O256" s="1369"/>
      <c r="P256" s="1369"/>
      <c r="Q256" s="1369"/>
      <c r="R256" s="1369"/>
      <c r="S256" s="1369"/>
      <c r="T256" s="1369"/>
    </row>
    <row r="257" spans="1:41" s="3" customFormat="1" thickBot="1">
      <c r="A257" s="611"/>
      <c r="O257" s="158"/>
    </row>
    <row r="258" spans="1:41" s="602" customFormat="1" ht="12" thickTop="1">
      <c r="A258" s="63"/>
      <c r="B258" s="41"/>
      <c r="C258" s="63"/>
      <c r="E258" s="42" t="s">
        <v>138</v>
      </c>
      <c r="F258" s="42" t="s">
        <v>139</v>
      </c>
      <c r="G258" s="63"/>
      <c r="H258" s="63"/>
      <c r="I258" s="63"/>
      <c r="J258" s="63"/>
      <c r="K258" s="63" t="s">
        <v>140</v>
      </c>
      <c r="L258" s="63"/>
      <c r="M258" s="63"/>
      <c r="N258" s="63"/>
      <c r="O258" s="64"/>
      <c r="P258" s="63"/>
      <c r="Q258" s="63"/>
      <c r="R258" s="63"/>
      <c r="S258" s="63"/>
      <c r="T258" s="41"/>
      <c r="AG258" s="667" t="s">
        <v>278</v>
      </c>
      <c r="AH258" s="667" t="s">
        <v>279</v>
      </c>
      <c r="AI258" s="667" t="s">
        <v>280</v>
      </c>
      <c r="AJ258" s="667" t="s">
        <v>281</v>
      </c>
      <c r="AK258" s="667" t="s">
        <v>282</v>
      </c>
      <c r="AM258" s="668" t="s">
        <v>291</v>
      </c>
      <c r="AN258" s="669" t="s">
        <v>292</v>
      </c>
      <c r="AO258" s="603" t="s">
        <v>288</v>
      </c>
    </row>
    <row r="259" spans="1:41" s="602" customFormat="1" ht="12" customHeight="1">
      <c r="A259" s="670">
        <v>25</v>
      </c>
      <c r="B259" s="838" t="s">
        <v>330</v>
      </c>
      <c r="C259" s="672"/>
      <c r="D259" s="673" t="s">
        <v>463</v>
      </c>
      <c r="E259" s="1237">
        <f>IF(AND($A259=0,$A$1="DIF"),0, ROUND(ROUND(($R263*$S$5+($T263*$T$5))/$A259,2)*$C$5,2))</f>
        <v>252.83</v>
      </c>
      <c r="F259" s="1238">
        <f>ROUND($A259*$E259,2)</f>
        <v>6320.75</v>
      </c>
      <c r="G259" s="676" t="s">
        <v>142</v>
      </c>
      <c r="H259" s="664"/>
      <c r="I259" s="677"/>
      <c r="J259" s="664"/>
      <c r="K259" s="664" t="s">
        <v>10</v>
      </c>
      <c r="L259" s="678" t="s">
        <v>143</v>
      </c>
      <c r="M259" s="678"/>
      <c r="N259" s="678"/>
      <c r="O259" s="678"/>
      <c r="P259" s="678"/>
      <c r="Q259" s="63"/>
      <c r="T259" s="1242" t="str">
        <f>IF(AND($R263=0,$T263=0),"0.00","mu: "&amp; ROUND(F259/$C$5/($R263+$T263*$D$9),2))</f>
        <v>mu: 1</v>
      </c>
      <c r="W259" s="604"/>
      <c r="AG259" s="1239">
        <f>IF($E259=0,0,ROUND($R263*$S$5*$C$5/$A259,2))</f>
        <v>252.83</v>
      </c>
      <c r="AH259" s="1239">
        <f>$AG259*$A259</f>
        <v>6320.75</v>
      </c>
      <c r="AI259" s="1240">
        <f>$E259-$AG259</f>
        <v>0</v>
      </c>
      <c r="AJ259" s="1240">
        <f>$A259*$AI259</f>
        <v>0</v>
      </c>
      <c r="AK259" s="1241">
        <f>ROUND(($AG259+$AI259)*$A259,2)</f>
        <v>6320.75</v>
      </c>
      <c r="AM259" s="607">
        <f>ROUND(R263,2)</f>
        <v>6320.75</v>
      </c>
      <c r="AN259" s="608">
        <f>ROUND(T263,2)</f>
        <v>0</v>
      </c>
      <c r="AO259" s="609">
        <f>ROUND(AM259+AN259,2)*A259</f>
        <v>158018.75</v>
      </c>
    </row>
    <row r="260" spans="1:41" s="602" customFormat="1" ht="13.2">
      <c r="A260" s="672"/>
      <c r="B260"/>
      <c r="C260" s="672"/>
      <c r="D260" s="673" t="s">
        <v>1181</v>
      </c>
      <c r="F260" s="664"/>
      <c r="G260" s="3"/>
      <c r="H260" s="664"/>
      <c r="I260" s="677"/>
      <c r="J260" s="664"/>
      <c r="K260" s="664" t="s">
        <v>144</v>
      </c>
      <c r="L260" s="664"/>
      <c r="M260" s="664"/>
      <c r="N260" s="664"/>
      <c r="O260" s="664"/>
      <c r="P260" s="664"/>
      <c r="Q260" s="63"/>
      <c r="R260" s="610"/>
      <c r="S260" s="680"/>
      <c r="T260" s="664"/>
    </row>
    <row r="261" spans="1:41" s="730" customFormat="1" ht="13.2">
      <c r="A261" s="750">
        <f>A259</f>
        <v>25</v>
      </c>
      <c r="B261" s="740" t="s">
        <v>312</v>
      </c>
      <c r="C261" s="740"/>
      <c r="D261" s="740" t="s">
        <v>1175</v>
      </c>
      <c r="E261" s="740"/>
      <c r="F261" s="749" t="s">
        <v>1177</v>
      </c>
      <c r="G261" s="741" t="s">
        <v>1176</v>
      </c>
      <c r="H261" s="1002">
        <v>960</v>
      </c>
      <c r="I261" s="740" t="s">
        <v>686</v>
      </c>
      <c r="J261" s="740"/>
      <c r="K261" s="740"/>
      <c r="L261" s="740"/>
      <c r="M261" s="740"/>
      <c r="N261" s="740"/>
      <c r="O261" s="744">
        <v>4</v>
      </c>
      <c r="P261" s="745">
        <v>38594</v>
      </c>
      <c r="Q261" s="746">
        <v>252.83</v>
      </c>
      <c r="R261" s="747">
        <f>$A261*Q261</f>
        <v>6320.75</v>
      </c>
      <c r="S261" s="746"/>
      <c r="T261" s="748">
        <f>$A261*S261*$T$1</f>
        <v>0</v>
      </c>
    </row>
    <row r="262" spans="1:41" s="602" customFormat="1" ht="12">
      <c r="A262" s="663"/>
      <c r="B262" s="663"/>
      <c r="C262" s="663"/>
      <c r="D262" s="663"/>
      <c r="E262" s="663"/>
      <c r="F262" s="664"/>
      <c r="G262" s="663"/>
      <c r="H262" s="663"/>
      <c r="I262" s="601"/>
      <c r="J262" s="663"/>
      <c r="K262" s="663"/>
      <c r="L262" s="663"/>
      <c r="M262" s="663"/>
      <c r="N262" s="663"/>
      <c r="O262" s="663"/>
      <c r="P262" s="663"/>
      <c r="Q262" s="601"/>
      <c r="R262" s="666">
        <f>$A262*Q262</f>
        <v>0</v>
      </c>
      <c r="S262" s="601"/>
      <c r="T262" s="681">
        <f>$A262*S262*$T$1</f>
        <v>0</v>
      </c>
    </row>
    <row r="263" spans="1:41" s="602" customFormat="1" ht="12.6" thickBot="1">
      <c r="A263" s="682" t="s">
        <v>145</v>
      </c>
      <c r="B263" s="683">
        <f>(R262+T262)</f>
        <v>0</v>
      </c>
      <c r="C263" s="684"/>
      <c r="D263" s="684"/>
      <c r="E263" s="684"/>
      <c r="F263" s="685"/>
      <c r="G263" s="684" t="s">
        <v>146</v>
      </c>
      <c r="H263" s="684"/>
      <c r="I263" s="686"/>
      <c r="J263" s="684"/>
      <c r="K263" s="684" t="s">
        <v>10</v>
      </c>
      <c r="L263" s="687" t="s">
        <v>143</v>
      </c>
      <c r="M263" s="687"/>
      <c r="N263" s="687"/>
      <c r="O263" s="687"/>
      <c r="P263" s="687"/>
      <c r="Q263" s="688"/>
      <c r="R263" s="689">
        <f>SUM(R260:R262)</f>
        <v>6320.75</v>
      </c>
      <c r="S263" s="684"/>
      <c r="T263" s="689">
        <f>SUM(T260:T262)</f>
        <v>0</v>
      </c>
      <c r="U263" s="611"/>
      <c r="V263" s="611"/>
      <c r="W263" s="611"/>
      <c r="X263" s="611"/>
      <c r="Y263" s="611"/>
      <c r="Z263" s="611"/>
      <c r="AA263" s="611"/>
      <c r="AB263" s="611"/>
      <c r="AC263" s="611"/>
      <c r="AD263" s="611"/>
      <c r="AE263" s="611"/>
      <c r="AF263" s="611"/>
      <c r="AG263" s="611"/>
      <c r="AH263" s="611"/>
      <c r="AI263" s="611"/>
      <c r="AJ263" s="611"/>
      <c r="AK263" s="611"/>
      <c r="AL263" s="611"/>
      <c r="AM263" s="611"/>
      <c r="AN263" s="611"/>
      <c r="AO263" s="611"/>
    </row>
    <row r="264" spans="1:41" s="602" customFormat="1" ht="12" thickTop="1">
      <c r="A264" s="51" t="s">
        <v>154</v>
      </c>
      <c r="D264" s="13"/>
      <c r="E264" s="42"/>
      <c r="O264" s="698"/>
    </row>
    <row r="265" spans="1:41" s="602" customFormat="1" ht="13.2">
      <c r="B265" s="3"/>
      <c r="O265" s="698"/>
    </row>
    <row r="266" spans="1:41" s="602" customFormat="1" ht="12">
      <c r="B266" s="699">
        <f>$F266/$C$2-($R266*$S$2+$T266*$T$2)</f>
        <v>-3336.8124494478143</v>
      </c>
      <c r="D266" s="700" t="s">
        <v>414</v>
      </c>
      <c r="E266" s="701"/>
      <c r="F266" s="702">
        <f>SUMIF($L168:$L264,"ITEM",F168:F264)</f>
        <v>10327.91</v>
      </c>
      <c r="G266" s="663"/>
      <c r="H266" s="663"/>
      <c r="I266" s="601"/>
      <c r="J266" s="663"/>
      <c r="K266" s="663"/>
      <c r="L266" s="678" t="s">
        <v>166</v>
      </c>
      <c r="M266" s="678"/>
      <c r="N266" s="678"/>
      <c r="O266" s="678"/>
      <c r="P266" s="678"/>
      <c r="R266" s="702">
        <f>SUMIF($L168:$L264,"ITEM",R168:R264)</f>
        <v>10327.91</v>
      </c>
      <c r="S266" s="71"/>
      <c r="T266" s="702">
        <f>SUMIF($L168:$L264,"ITEM",T168:T264)</f>
        <v>0</v>
      </c>
    </row>
    <row r="267" spans="1:41" s="602" customFormat="1" ht="13.2">
      <c r="A267" s="63"/>
      <c r="B267" s="55" t="s">
        <v>413</v>
      </c>
      <c r="C267" s="63"/>
      <c r="D267" s="3"/>
      <c r="F267" s="703" t="s">
        <v>168</v>
      </c>
      <c r="G267" s="663"/>
      <c r="H267" s="663"/>
      <c r="I267" s="601"/>
      <c r="J267" s="663"/>
      <c r="K267" s="663"/>
      <c r="L267" s="663"/>
      <c r="M267" s="663"/>
      <c r="N267" s="663"/>
      <c r="O267" s="663"/>
      <c r="P267" s="663"/>
      <c r="Q267" s="665"/>
      <c r="R267" s="703" t="s">
        <v>169</v>
      </c>
      <c r="S267" s="38"/>
      <c r="T267" s="703" t="s">
        <v>170</v>
      </c>
    </row>
    <row r="268" spans="1:41" s="602" customFormat="1" ht="13.2">
      <c r="A268" s="663"/>
      <c r="B268" s="3"/>
      <c r="C268" s="663"/>
      <c r="D268" s="3"/>
      <c r="E268" s="3"/>
      <c r="G268" s="3"/>
      <c r="H268" s="3"/>
      <c r="I268" s="3"/>
      <c r="J268" s="3"/>
      <c r="K268" s="3"/>
      <c r="L268" s="3"/>
      <c r="M268" s="3"/>
      <c r="N268" s="3"/>
      <c r="O268" s="158"/>
      <c r="P268" s="3"/>
      <c r="Q268" s="3"/>
      <c r="R268" s="3"/>
      <c r="S268" s="3"/>
      <c r="T268" s="3"/>
    </row>
    <row r="269" spans="1:41" s="602" customFormat="1" ht="12" thickBot="1">
      <c r="A269" s="611"/>
      <c r="B269" s="684"/>
      <c r="C269" s="684"/>
      <c r="D269" s="611"/>
      <c r="E269" s="39"/>
      <c r="F269" s="704"/>
      <c r="G269" s="684"/>
      <c r="H269" s="684"/>
      <c r="I269" s="686"/>
      <c r="J269" s="684"/>
      <c r="K269" s="684"/>
      <c r="L269" s="687"/>
      <c r="M269" s="687"/>
      <c r="N269" s="687"/>
      <c r="O269" s="687"/>
      <c r="P269" s="687"/>
      <c r="Q269" s="688"/>
      <c r="R269" s="704"/>
      <c r="S269" s="705"/>
      <c r="T269" s="704"/>
      <c r="U269" s="611"/>
      <c r="V269" s="611"/>
      <c r="W269" s="611"/>
      <c r="X269" s="611"/>
      <c r="Y269" s="611"/>
      <c r="Z269" s="611"/>
      <c r="AA269" s="611"/>
      <c r="AB269" s="611"/>
      <c r="AC269" s="611"/>
      <c r="AD269" s="611"/>
      <c r="AE269" s="611"/>
      <c r="AF269" s="611"/>
      <c r="AG269" s="611"/>
      <c r="AH269" s="611"/>
      <c r="AI269" s="611"/>
      <c r="AJ269" s="611"/>
      <c r="AK269" s="611"/>
    </row>
    <row r="270" spans="1:41" s="602" customFormat="1" ht="12" thickTop="1">
      <c r="A270" s="63"/>
      <c r="B270" s="41"/>
      <c r="C270" s="63"/>
      <c r="E270" s="42" t="s">
        <v>138</v>
      </c>
      <c r="F270" s="42" t="s">
        <v>139</v>
      </c>
      <c r="G270" s="63"/>
      <c r="H270" s="63"/>
      <c r="I270" s="63"/>
      <c r="J270" s="63"/>
      <c r="K270" s="63" t="s">
        <v>140</v>
      </c>
      <c r="L270" s="63"/>
      <c r="M270" s="63"/>
      <c r="N270" s="63"/>
      <c r="O270" s="64"/>
      <c r="P270" s="63"/>
      <c r="Q270" s="63"/>
      <c r="R270" s="63"/>
      <c r="S270" s="63"/>
      <c r="T270" s="41"/>
      <c r="AG270" s="667" t="s">
        <v>278</v>
      </c>
      <c r="AH270" s="667" t="s">
        <v>279</v>
      </c>
      <c r="AI270" s="667" t="s">
        <v>280</v>
      </c>
      <c r="AJ270" s="667" t="s">
        <v>281</v>
      </c>
      <c r="AK270" s="667" t="s">
        <v>282</v>
      </c>
      <c r="AM270" s="668" t="s">
        <v>291</v>
      </c>
      <c r="AN270" s="669" t="s">
        <v>292</v>
      </c>
      <c r="AO270" s="603" t="s">
        <v>288</v>
      </c>
    </row>
    <row r="271" spans="1:41" s="602" customFormat="1" ht="12" customHeight="1">
      <c r="A271" s="670">
        <v>23</v>
      </c>
      <c r="B271" s="838" t="s">
        <v>330</v>
      </c>
      <c r="C271" s="672"/>
      <c r="D271" s="673" t="s">
        <v>464</v>
      </c>
      <c r="E271" s="1237">
        <f>IF(AND($A271=0,$A$1="DIF"),0, ROUND(ROUND(($R275*$S$5+($T275*$T$5))/$A271,2)*$C$5,2))</f>
        <v>255.16</v>
      </c>
      <c r="F271" s="1238">
        <f>ROUND($A271*$E271,2)</f>
        <v>5868.68</v>
      </c>
      <c r="G271" s="676" t="s">
        <v>142</v>
      </c>
      <c r="H271" s="664"/>
      <c r="I271" s="677"/>
      <c r="J271" s="664"/>
      <c r="K271" s="664" t="s">
        <v>10</v>
      </c>
      <c r="L271" s="678" t="s">
        <v>143</v>
      </c>
      <c r="M271" s="678"/>
      <c r="N271" s="678"/>
      <c r="O271" s="678"/>
      <c r="P271" s="678"/>
      <c r="Q271" s="63"/>
      <c r="T271" s="1242" t="str">
        <f>IF(AND($R275=0,$T275=0),"0.00","mu: "&amp; ROUND(F271/$C$5/($R275+$T275*$D$9),2))</f>
        <v>mu: 1</v>
      </c>
      <c r="W271" s="604"/>
      <c r="AG271" s="1239">
        <f>IF($E271=0,0,ROUND($R275*$S$5*$C$5/$A271,2))</f>
        <v>255.16</v>
      </c>
      <c r="AH271" s="1239">
        <f>$AG271*$A271</f>
        <v>5868.68</v>
      </c>
      <c r="AI271" s="1240">
        <f>$E271-$AG271</f>
        <v>0</v>
      </c>
      <c r="AJ271" s="1240">
        <f>$A271*$AI271</f>
        <v>0</v>
      </c>
      <c r="AK271" s="1241">
        <f>ROUND(($AG271+$AI271)*$A271,2)</f>
        <v>5868.68</v>
      </c>
      <c r="AM271" s="607">
        <f>ROUND(R275,2)</f>
        <v>5868.68</v>
      </c>
      <c r="AN271" s="608">
        <f>ROUND(T275,2)</f>
        <v>0</v>
      </c>
      <c r="AO271" s="609">
        <f>ROUND(AM271+AN271,2)*A271</f>
        <v>134979.64000000001</v>
      </c>
    </row>
    <row r="272" spans="1:41" s="602" customFormat="1" ht="13.2">
      <c r="A272" s="672"/>
      <c r="B272"/>
      <c r="C272" s="672"/>
      <c r="D272" s="673" t="s">
        <v>1182</v>
      </c>
      <c r="F272" s="664"/>
      <c r="G272" s="3"/>
      <c r="H272" s="664"/>
      <c r="I272" s="677"/>
      <c r="J272" s="664"/>
      <c r="K272" s="664" t="s">
        <v>144</v>
      </c>
      <c r="L272" s="664"/>
      <c r="M272" s="664"/>
      <c r="N272" s="664"/>
      <c r="O272" s="664"/>
      <c r="P272" s="664"/>
      <c r="Q272" s="63"/>
      <c r="R272" s="610"/>
      <c r="S272" s="680"/>
      <c r="T272" s="664"/>
    </row>
    <row r="273" spans="1:41" s="730" customFormat="1" ht="13.2">
      <c r="A273" s="750">
        <f>A271</f>
        <v>23</v>
      </c>
      <c r="B273" s="740" t="s">
        <v>312</v>
      </c>
      <c r="C273" s="740"/>
      <c r="D273" s="740" t="s">
        <v>1175</v>
      </c>
      <c r="E273" s="740"/>
      <c r="F273" s="749" t="s">
        <v>1177</v>
      </c>
      <c r="G273" s="741" t="s">
        <v>1176</v>
      </c>
      <c r="H273" s="1002">
        <v>960</v>
      </c>
      <c r="I273" s="740" t="s">
        <v>686</v>
      </c>
      <c r="J273" s="740"/>
      <c r="K273" s="740"/>
      <c r="L273" s="740"/>
      <c r="M273" s="740"/>
      <c r="N273" s="740"/>
      <c r="O273" s="744">
        <v>4</v>
      </c>
      <c r="P273" s="745">
        <v>38594</v>
      </c>
      <c r="Q273" s="746">
        <v>255.16</v>
      </c>
      <c r="R273" s="747">
        <f>$A273*Q273</f>
        <v>5868.68</v>
      </c>
      <c r="S273" s="746"/>
      <c r="T273" s="748">
        <f>$A273*S273*$T$1</f>
        <v>0</v>
      </c>
    </row>
    <row r="274" spans="1:41" s="602" customFormat="1" ht="12">
      <c r="A274" s="663"/>
      <c r="B274" s="663"/>
      <c r="C274" s="663"/>
      <c r="D274" s="663"/>
      <c r="E274" s="663"/>
      <c r="F274" s="664"/>
      <c r="G274" s="663"/>
      <c r="H274" s="663"/>
      <c r="I274" s="601"/>
      <c r="J274" s="663"/>
      <c r="K274" s="663"/>
      <c r="L274" s="663"/>
      <c r="M274" s="663"/>
      <c r="N274" s="663"/>
      <c r="O274" s="663"/>
      <c r="P274" s="663"/>
      <c r="Q274" s="601"/>
      <c r="R274" s="666">
        <f>$A274*Q274</f>
        <v>0</v>
      </c>
      <c r="S274" s="601"/>
      <c r="T274" s="681">
        <f>$A274*S274*$T$1</f>
        <v>0</v>
      </c>
    </row>
    <row r="275" spans="1:41" s="602" customFormat="1" ht="12.6" thickBot="1">
      <c r="A275" s="682" t="s">
        <v>145</v>
      </c>
      <c r="B275" s="683">
        <f>(R274+T274)</f>
        <v>0</v>
      </c>
      <c r="C275" s="684"/>
      <c r="D275" s="684"/>
      <c r="E275" s="684"/>
      <c r="F275" s="685"/>
      <c r="G275" s="684" t="s">
        <v>146</v>
      </c>
      <c r="H275" s="684"/>
      <c r="I275" s="686"/>
      <c r="J275" s="684"/>
      <c r="K275" s="684" t="s">
        <v>10</v>
      </c>
      <c r="L275" s="687" t="s">
        <v>143</v>
      </c>
      <c r="M275" s="687"/>
      <c r="N275" s="687"/>
      <c r="O275" s="687"/>
      <c r="P275" s="687"/>
      <c r="Q275" s="688"/>
      <c r="R275" s="689">
        <f>SUM(R272:R274)</f>
        <v>5868.68</v>
      </c>
      <c r="S275" s="684"/>
      <c r="T275" s="689">
        <f>SUM(T272:T274)</f>
        <v>0</v>
      </c>
      <c r="U275" s="611"/>
      <c r="V275" s="611"/>
      <c r="W275" s="611"/>
      <c r="X275" s="611"/>
      <c r="Y275" s="611"/>
      <c r="Z275" s="611"/>
      <c r="AA275" s="611"/>
      <c r="AB275" s="611"/>
      <c r="AC275" s="611"/>
      <c r="AD275" s="611"/>
      <c r="AE275" s="611"/>
      <c r="AF275" s="611"/>
      <c r="AG275" s="611"/>
      <c r="AH275" s="611"/>
      <c r="AI275" s="611"/>
      <c r="AJ275" s="611"/>
      <c r="AK275" s="611"/>
      <c r="AL275" s="611"/>
      <c r="AM275" s="611"/>
      <c r="AN275" s="611"/>
      <c r="AO275" s="611"/>
    </row>
    <row r="276" spans="1:41" s="602" customFormat="1" ht="12" thickTop="1">
      <c r="A276" s="63"/>
      <c r="B276" s="41"/>
      <c r="C276" s="63"/>
      <c r="E276" s="42" t="s">
        <v>138</v>
      </c>
      <c r="F276" s="42" t="s">
        <v>139</v>
      </c>
      <c r="G276" s="63"/>
      <c r="H276" s="63"/>
      <c r="I276" s="63"/>
      <c r="J276" s="63"/>
      <c r="K276" s="63" t="s">
        <v>140</v>
      </c>
      <c r="L276" s="63"/>
      <c r="M276" s="63"/>
      <c r="N276" s="63"/>
      <c r="O276" s="64"/>
      <c r="P276" s="63"/>
      <c r="Q276" s="63"/>
      <c r="R276" s="63"/>
      <c r="S276" s="63"/>
      <c r="T276" s="41"/>
      <c r="AG276" s="667" t="s">
        <v>278</v>
      </c>
      <c r="AH276" s="667" t="s">
        <v>279</v>
      </c>
      <c r="AI276" s="667" t="s">
        <v>280</v>
      </c>
      <c r="AJ276" s="667" t="s">
        <v>281</v>
      </c>
      <c r="AK276" s="667" t="s">
        <v>282</v>
      </c>
      <c r="AM276" s="668" t="s">
        <v>291</v>
      </c>
      <c r="AN276" s="669" t="s">
        <v>292</v>
      </c>
      <c r="AO276" s="603" t="s">
        <v>288</v>
      </c>
    </row>
    <row r="277" spans="1:41" s="602" customFormat="1" ht="12" customHeight="1">
      <c r="A277" s="670">
        <v>29</v>
      </c>
      <c r="B277" s="838" t="s">
        <v>330</v>
      </c>
      <c r="C277" s="672"/>
      <c r="D277" s="673" t="s">
        <v>1163</v>
      </c>
      <c r="E277" s="1237">
        <f>IF(AND($A277=0,$A$1="DIF"),0, ROUND(ROUND(($R281*$S$5+($T281*$T$5))/$A277,2)*$C$5,2))</f>
        <v>249.13</v>
      </c>
      <c r="F277" s="1238">
        <f>ROUND($A277*$E277,2)</f>
        <v>7224.77</v>
      </c>
      <c r="G277" s="676" t="s">
        <v>142</v>
      </c>
      <c r="H277" s="664"/>
      <c r="I277" s="677"/>
      <c r="J277" s="664"/>
      <c r="K277" s="664" t="s">
        <v>10</v>
      </c>
      <c r="L277" s="678" t="s">
        <v>143</v>
      </c>
      <c r="M277" s="678"/>
      <c r="N277" s="678"/>
      <c r="O277" s="678"/>
      <c r="P277" s="678"/>
      <c r="Q277" s="63"/>
      <c r="T277" s="1242" t="str">
        <f>IF(AND($R281=0,$T281=0),"0.00","mu: "&amp; ROUND(F277/$C$5/($R281+$T281*$D$9),2))</f>
        <v>mu: 1</v>
      </c>
      <c r="W277" s="604"/>
      <c r="AG277" s="1239">
        <f>IF($E277=0,0,ROUND($R281*$S$5*$C$5/$A277,2))</f>
        <v>249.13</v>
      </c>
      <c r="AH277" s="1239">
        <f>$AG277*$A277</f>
        <v>7224.7699999999995</v>
      </c>
      <c r="AI277" s="1240">
        <f>$E277-$AG277</f>
        <v>0</v>
      </c>
      <c r="AJ277" s="1240">
        <f>$A277*$AI277</f>
        <v>0</v>
      </c>
      <c r="AK277" s="1241">
        <f>ROUND(($AG277+$AI277)*$A277,2)</f>
        <v>7224.77</v>
      </c>
      <c r="AM277" s="607">
        <f>ROUND(R281,2)</f>
        <v>7224.77</v>
      </c>
      <c r="AN277" s="608">
        <f>ROUND(T281,2)</f>
        <v>0</v>
      </c>
      <c r="AO277" s="609">
        <f>ROUND(AM277+AN277,2)*A277</f>
        <v>209518.33000000002</v>
      </c>
    </row>
    <row r="278" spans="1:41" s="602" customFormat="1" ht="13.2">
      <c r="A278" s="672"/>
      <c r="B278"/>
      <c r="C278" s="672"/>
      <c r="D278" s="673" t="s">
        <v>1183</v>
      </c>
      <c r="F278" s="664"/>
      <c r="G278" s="3"/>
      <c r="H278" s="664"/>
      <c r="I278" s="677"/>
      <c r="J278" s="664"/>
      <c r="K278" s="664" t="s">
        <v>144</v>
      </c>
      <c r="L278" s="664"/>
      <c r="M278" s="664"/>
      <c r="N278" s="664"/>
      <c r="O278" s="664"/>
      <c r="P278" s="664"/>
      <c r="Q278" s="63"/>
      <c r="R278" s="610"/>
      <c r="S278" s="680"/>
      <c r="T278" s="664"/>
    </row>
    <row r="279" spans="1:41" s="730" customFormat="1" ht="13.2">
      <c r="A279" s="750">
        <f>A277</f>
        <v>29</v>
      </c>
      <c r="B279" s="740" t="s">
        <v>312</v>
      </c>
      <c r="C279" s="740"/>
      <c r="D279" s="740" t="s">
        <v>1175</v>
      </c>
      <c r="E279" s="740"/>
      <c r="F279" s="749" t="s">
        <v>1177</v>
      </c>
      <c r="G279" s="741" t="s">
        <v>1176</v>
      </c>
      <c r="H279" s="1002">
        <v>960</v>
      </c>
      <c r="I279" s="740" t="s">
        <v>686</v>
      </c>
      <c r="J279" s="740"/>
      <c r="K279" s="740"/>
      <c r="L279" s="740"/>
      <c r="M279" s="740"/>
      <c r="N279" s="740"/>
      <c r="O279" s="744">
        <v>4</v>
      </c>
      <c r="P279" s="745">
        <v>38594</v>
      </c>
      <c r="Q279" s="746">
        <v>249.13</v>
      </c>
      <c r="R279" s="747">
        <f>$A279*Q279</f>
        <v>7224.7699999999995</v>
      </c>
      <c r="S279" s="746"/>
      <c r="T279" s="748">
        <f>$A279*S279*$T$1</f>
        <v>0</v>
      </c>
    </row>
    <row r="280" spans="1:41" s="602" customFormat="1" ht="12">
      <c r="A280" s="663"/>
      <c r="B280" s="663"/>
      <c r="C280" s="663"/>
      <c r="D280" s="663"/>
      <c r="E280" s="663"/>
      <c r="F280" s="664"/>
      <c r="G280" s="663"/>
      <c r="H280" s="663"/>
      <c r="I280" s="601"/>
      <c r="J280" s="663"/>
      <c r="K280" s="663"/>
      <c r="L280" s="663"/>
      <c r="M280" s="663"/>
      <c r="N280" s="663"/>
      <c r="O280" s="663"/>
      <c r="P280" s="663"/>
      <c r="Q280" s="601"/>
      <c r="R280" s="666">
        <f>$A280*Q280</f>
        <v>0</v>
      </c>
      <c r="S280" s="601"/>
      <c r="T280" s="681">
        <f>$A280*S280*$T$1</f>
        <v>0</v>
      </c>
    </row>
    <row r="281" spans="1:41" s="602" customFormat="1" ht="12.6" thickBot="1">
      <c r="A281" s="682" t="s">
        <v>145</v>
      </c>
      <c r="B281" s="683">
        <f>(R280+T280)</f>
        <v>0</v>
      </c>
      <c r="C281" s="684"/>
      <c r="D281" s="684"/>
      <c r="E281" s="684"/>
      <c r="F281" s="685"/>
      <c r="G281" s="684" t="s">
        <v>146</v>
      </c>
      <c r="H281" s="684"/>
      <c r="I281" s="686"/>
      <c r="J281" s="684"/>
      <c r="K281" s="684" t="s">
        <v>10</v>
      </c>
      <c r="L281" s="687" t="s">
        <v>143</v>
      </c>
      <c r="M281" s="687"/>
      <c r="N281" s="687"/>
      <c r="O281" s="687"/>
      <c r="P281" s="687"/>
      <c r="Q281" s="688"/>
      <c r="R281" s="689">
        <f>SUM(R278:R280)</f>
        <v>7224.7699999999995</v>
      </c>
      <c r="S281" s="684"/>
      <c r="T281" s="689">
        <f>SUM(T278:T280)</f>
        <v>0</v>
      </c>
      <c r="U281" s="611"/>
      <c r="V281" s="611"/>
      <c r="W281" s="611"/>
      <c r="X281" s="611"/>
      <c r="Y281" s="611"/>
      <c r="Z281" s="611"/>
      <c r="AA281" s="611"/>
      <c r="AB281" s="611"/>
      <c r="AC281" s="611"/>
      <c r="AD281" s="611"/>
      <c r="AE281" s="611"/>
      <c r="AF281" s="611"/>
      <c r="AG281" s="611"/>
      <c r="AH281" s="611"/>
      <c r="AI281" s="611"/>
      <c r="AJ281" s="611"/>
      <c r="AK281" s="611"/>
      <c r="AL281" s="611"/>
      <c r="AM281" s="611"/>
      <c r="AN281" s="611"/>
      <c r="AO281" s="611"/>
    </row>
    <row r="282" spans="1:41" s="602" customFormat="1" thickTop="1">
      <c r="A282" s="63"/>
      <c r="B282" s="63"/>
      <c r="C282" s="3"/>
      <c r="D282" s="3"/>
      <c r="E282" s="63"/>
      <c r="F282" s="63"/>
      <c r="G282" s="63"/>
      <c r="H282" s="63"/>
      <c r="I282" s="63"/>
      <c r="J282" s="63"/>
      <c r="K282" s="63" t="s">
        <v>134</v>
      </c>
      <c r="L282" s="63"/>
      <c r="M282" s="63"/>
      <c r="N282" s="63"/>
      <c r="O282" s="64"/>
      <c r="P282" s="63"/>
      <c r="Q282" s="63"/>
      <c r="R282" s="63"/>
      <c r="S282" s="63"/>
      <c r="T282" s="63"/>
    </row>
    <row r="283" spans="1:41" s="602" customFormat="1" ht="12">
      <c r="A283" s="63"/>
      <c r="B283" s="63"/>
      <c r="C283" s="63" t="s">
        <v>135</v>
      </c>
      <c r="D283" s="37"/>
      <c r="E283" s="63"/>
      <c r="F283" s="63"/>
      <c r="G283" s="63"/>
      <c r="H283" s="63"/>
      <c r="I283" s="63"/>
      <c r="J283" s="63"/>
      <c r="K283" s="63"/>
      <c r="L283" s="63"/>
      <c r="M283" s="63"/>
      <c r="N283" s="63"/>
      <c r="O283" s="64"/>
      <c r="P283" s="63"/>
      <c r="Q283" s="63"/>
      <c r="R283" s="63"/>
      <c r="S283" s="63"/>
      <c r="T283" s="63"/>
    </row>
    <row r="284" spans="1:41" s="602" customFormat="1" ht="12">
      <c r="A284" s="63"/>
      <c r="B284" s="63"/>
      <c r="C284" s="63"/>
      <c r="D284" s="37" t="s">
        <v>351</v>
      </c>
      <c r="E284" s="63"/>
      <c r="F284" s="63"/>
      <c r="G284" s="63"/>
      <c r="H284" s="63"/>
      <c r="I284" s="63"/>
      <c r="J284" s="63"/>
      <c r="K284" s="63"/>
      <c r="L284" s="63"/>
      <c r="M284" s="63"/>
      <c r="N284" s="63"/>
      <c r="O284" s="64"/>
      <c r="P284" s="63"/>
      <c r="Q284" s="63"/>
      <c r="R284" s="63"/>
      <c r="S284" s="38"/>
      <c r="T284" s="38"/>
    </row>
    <row r="285" spans="1:41" s="3" customFormat="1" thickBot="1">
      <c r="A285" s="611"/>
      <c r="O285" s="158"/>
    </row>
    <row r="286" spans="1:41" s="602" customFormat="1" thickTop="1">
      <c r="A286" s="63"/>
      <c r="B286" s="63"/>
      <c r="C286" s="3"/>
      <c r="D286" s="3"/>
      <c r="E286" s="63"/>
      <c r="F286" s="63"/>
      <c r="G286" s="63"/>
      <c r="H286" s="63"/>
      <c r="I286" s="63"/>
      <c r="J286" s="63"/>
      <c r="K286" s="63" t="s">
        <v>134</v>
      </c>
      <c r="L286" s="63"/>
      <c r="M286" s="63"/>
      <c r="N286" s="63"/>
      <c r="O286" s="64"/>
      <c r="P286" s="63"/>
      <c r="Q286" s="63"/>
      <c r="R286" s="63"/>
      <c r="S286" s="63"/>
      <c r="T286" s="63"/>
    </row>
    <row r="287" spans="1:41" s="602" customFormat="1" ht="12">
      <c r="A287" s="63"/>
      <c r="B287" s="63"/>
      <c r="C287" s="63" t="s">
        <v>135</v>
      </c>
      <c r="D287" s="37" t="s">
        <v>416</v>
      </c>
      <c r="E287" s="63"/>
      <c r="F287" s="63"/>
      <c r="G287" s="63"/>
      <c r="H287" s="63"/>
      <c r="I287" s="63"/>
      <c r="J287" s="63"/>
      <c r="K287" s="63"/>
      <c r="L287" s="63"/>
      <c r="M287" s="63"/>
      <c r="N287" s="63"/>
      <c r="O287" s="64"/>
      <c r="P287" s="63"/>
      <c r="Q287" s="63"/>
      <c r="R287" s="63"/>
      <c r="S287" s="63"/>
      <c r="T287" s="63"/>
    </row>
    <row r="288" spans="1:41" s="602" customFormat="1" ht="39.9" customHeight="1">
      <c r="A288" s="63"/>
      <c r="B288" s="63"/>
      <c r="C288" s="63"/>
      <c r="D288" s="1371" t="s">
        <v>1108</v>
      </c>
      <c r="E288" s="1369"/>
      <c r="F288" s="1369"/>
      <c r="G288" s="1369"/>
      <c r="H288" s="1369"/>
      <c r="I288" s="1369"/>
      <c r="J288" s="1369"/>
      <c r="K288" s="1369"/>
      <c r="L288" s="1369"/>
      <c r="M288" s="1369"/>
      <c r="N288" s="1369"/>
      <c r="O288" s="1369"/>
      <c r="P288" s="1369"/>
      <c r="Q288" s="1369"/>
      <c r="R288" s="1369"/>
      <c r="S288" s="1369"/>
      <c r="T288" s="1369"/>
    </row>
    <row r="289" spans="1:41" s="3" customFormat="1" thickBot="1">
      <c r="A289" s="602"/>
      <c r="O289" s="158"/>
    </row>
    <row r="290" spans="1:41" s="602" customFormat="1" ht="11.4">
      <c r="A290" s="1294"/>
      <c r="B290" s="1295"/>
      <c r="C290" s="1296"/>
      <c r="D290" s="1297"/>
      <c r="E290" s="1298" t="s">
        <v>138</v>
      </c>
      <c r="F290" s="1298" t="s">
        <v>139</v>
      </c>
      <c r="G290" s="1296"/>
      <c r="H290" s="1296"/>
      <c r="I290" s="1296"/>
      <c r="J290" s="1296"/>
      <c r="K290" s="1296" t="s">
        <v>140</v>
      </c>
      <c r="L290" s="1296"/>
      <c r="M290" s="1296"/>
      <c r="N290" s="1296"/>
      <c r="O290" s="1299"/>
      <c r="P290" s="1296"/>
      <c r="Q290" s="1296"/>
      <c r="R290" s="1296"/>
      <c r="S290" s="1296"/>
      <c r="T290" s="1300"/>
      <c r="AG290" s="667" t="s">
        <v>278</v>
      </c>
      <c r="AH290" s="667" t="s">
        <v>279</v>
      </c>
      <c r="AI290" s="667" t="s">
        <v>280</v>
      </c>
      <c r="AJ290" s="667" t="s">
        <v>281</v>
      </c>
      <c r="AK290" s="667" t="s">
        <v>282</v>
      </c>
      <c r="AM290" s="668" t="s">
        <v>291</v>
      </c>
      <c r="AN290" s="669" t="s">
        <v>292</v>
      </c>
      <c r="AO290" s="603" t="s">
        <v>288</v>
      </c>
    </row>
    <row r="291" spans="1:41" s="602" customFormat="1" ht="12" customHeight="1">
      <c r="A291" s="1301">
        <v>1</v>
      </c>
      <c r="B291" s="838" t="s">
        <v>312</v>
      </c>
      <c r="C291" s="672"/>
      <c r="D291" s="673" t="s">
        <v>1412</v>
      </c>
      <c r="E291" s="674">
        <f>IF(AND($A291=0,$A$1="DIF"),0, ROUND(ROUND(($R295*$S$2+($T295*$T$2))/A291,2)*$C$2,2))</f>
        <v>360.99</v>
      </c>
      <c r="F291" s="675">
        <f>ROUND($A291*$E291,2)</f>
        <v>360.99</v>
      </c>
      <c r="G291" s="676" t="s">
        <v>142</v>
      </c>
      <c r="H291" s="664"/>
      <c r="I291" s="677"/>
      <c r="J291" s="664"/>
      <c r="K291" s="664" t="s">
        <v>3</v>
      </c>
      <c r="L291" s="678" t="s">
        <v>143</v>
      </c>
      <c r="M291" s="678"/>
      <c r="N291" s="678"/>
      <c r="O291" s="678"/>
      <c r="P291" s="678"/>
      <c r="Q291" s="63"/>
      <c r="T291" s="1302" t="str">
        <f>IF(AND($R295=0,$T295=0),"0.00","mu :" &amp; ROUND($F291/$C$2/($R295+$T295*$D$9),2))</f>
        <v>mu :1.35</v>
      </c>
      <c r="W291" s="604"/>
      <c r="AG291" s="549">
        <f>IF($E291=0,0,ROUND($R295*$S$2*$C$2/$A291,2))</f>
        <v>0</v>
      </c>
      <c r="AH291" s="549">
        <f>$AG291*$A291</f>
        <v>0</v>
      </c>
      <c r="AI291" s="605">
        <f>$E291-$AG291</f>
        <v>360.99</v>
      </c>
      <c r="AJ291" s="605">
        <f>$A291*$AI291</f>
        <v>360.99</v>
      </c>
      <c r="AK291" s="606">
        <f>ROUND(($AG291+$AI291)*$A291,2)</f>
        <v>360.99</v>
      </c>
      <c r="AM291" s="607">
        <f>ROUND(R295,2)</f>
        <v>0</v>
      </c>
      <c r="AN291" s="608">
        <f>ROUND(T295,2)</f>
        <v>10</v>
      </c>
      <c r="AO291" s="609">
        <f>ROUND(AM291+AN291,2)*A291</f>
        <v>10</v>
      </c>
    </row>
    <row r="292" spans="1:41" s="602" customFormat="1" ht="13.2">
      <c r="A292" s="1303"/>
      <c r="B292"/>
      <c r="C292" s="672"/>
      <c r="D292" s="1368" t="s">
        <v>1164</v>
      </c>
      <c r="E292" s="1369"/>
      <c r="F292" s="1369"/>
      <c r="G292" s="1369"/>
      <c r="H292" s="1369"/>
      <c r="I292" s="1369"/>
      <c r="J292" s="1369"/>
      <c r="K292" s="1369"/>
      <c r="L292" s="1369"/>
      <c r="M292" s="1369"/>
      <c r="N292" s="1369"/>
      <c r="O292" s="1369"/>
      <c r="P292" s="1369"/>
      <c r="Q292" s="1369"/>
      <c r="R292" s="1369"/>
      <c r="S292" s="1369"/>
      <c r="T292" s="1370"/>
    </row>
    <row r="293" spans="1:41" s="730" customFormat="1" ht="13.2">
      <c r="A293" s="1304">
        <v>1</v>
      </c>
      <c r="B293" s="730" t="s">
        <v>312</v>
      </c>
      <c r="D293" s="730" t="s">
        <v>735</v>
      </c>
      <c r="E293" s="730" t="s">
        <v>1390</v>
      </c>
      <c r="G293" s="731" t="s">
        <v>736</v>
      </c>
      <c r="H293" s="732">
        <v>901</v>
      </c>
      <c r="I293" s="730" t="s">
        <v>686</v>
      </c>
      <c r="O293" s="733">
        <v>1</v>
      </c>
      <c r="P293" s="734">
        <v>40613</v>
      </c>
      <c r="Q293" s="735"/>
      <c r="R293" s="736">
        <f>$A293*Q293</f>
        <v>0</v>
      </c>
      <c r="S293" s="735">
        <f>ROUND(80/9840*Q299,0)</f>
        <v>10</v>
      </c>
      <c r="T293" s="1305">
        <f>$A293*S293*$T$1</f>
        <v>10</v>
      </c>
    </row>
    <row r="294" spans="1:41" s="602" customFormat="1" ht="12">
      <c r="A294" s="1306"/>
      <c r="B294" s="663"/>
      <c r="C294" s="663"/>
      <c r="D294" s="663"/>
      <c r="E294" s="663"/>
      <c r="F294" s="664"/>
      <c r="G294" s="663"/>
      <c r="H294" s="663"/>
      <c r="I294" s="601"/>
      <c r="J294" s="663"/>
      <c r="K294" s="663"/>
      <c r="L294" s="663"/>
      <c r="M294" s="663"/>
      <c r="N294" s="663"/>
      <c r="O294" s="663"/>
      <c r="P294" s="663"/>
      <c r="Q294" s="601"/>
      <c r="R294" s="666">
        <f t="shared" ref="R294" si="2">$A294*Q294</f>
        <v>0</v>
      </c>
      <c r="S294" s="601"/>
      <c r="T294" s="1307">
        <f t="shared" ref="T294" si="3">$A294*S294*$T$1</f>
        <v>0</v>
      </c>
    </row>
    <row r="295" spans="1:41" s="602" customFormat="1" ht="12.6" thickBot="1">
      <c r="A295" s="1308" t="s">
        <v>145</v>
      </c>
      <c r="B295" s="683">
        <f>(R294+T294)</f>
        <v>0</v>
      </c>
      <c r="C295" s="684"/>
      <c r="D295" s="684"/>
      <c r="E295" s="684"/>
      <c r="F295" s="685"/>
      <c r="G295" s="684" t="s">
        <v>146</v>
      </c>
      <c r="H295" s="684"/>
      <c r="I295" s="686"/>
      <c r="J295" s="684"/>
      <c r="K295" s="684" t="s">
        <v>3</v>
      </c>
      <c r="L295" s="687" t="s">
        <v>143</v>
      </c>
      <c r="M295" s="687"/>
      <c r="N295" s="687"/>
      <c r="O295" s="687"/>
      <c r="P295" s="687"/>
      <c r="Q295" s="688"/>
      <c r="R295" s="689">
        <f>SUM(R292:R294)</f>
        <v>0</v>
      </c>
      <c r="S295" s="684"/>
      <c r="T295" s="1309">
        <f>SUM(T292:T294)</f>
        <v>10</v>
      </c>
      <c r="U295" s="611"/>
      <c r="V295" s="611"/>
      <c r="W295" s="611"/>
      <c r="X295" s="611"/>
      <c r="Y295" s="611"/>
      <c r="Z295" s="611"/>
      <c r="AA295" s="611"/>
      <c r="AB295" s="611"/>
      <c r="AC295" s="611"/>
      <c r="AD295" s="611"/>
      <c r="AE295" s="611"/>
      <c r="AF295" s="611"/>
      <c r="AG295" s="611"/>
      <c r="AH295" s="611"/>
      <c r="AI295" s="611"/>
      <c r="AJ295" s="611"/>
      <c r="AK295" s="611"/>
      <c r="AL295" s="611"/>
      <c r="AM295" s="611"/>
      <c r="AN295" s="611"/>
      <c r="AO295" s="611"/>
    </row>
    <row r="296" spans="1:41" s="602" customFormat="1" ht="12" thickTop="1">
      <c r="A296" s="1310"/>
      <c r="B296" s="41"/>
      <c r="C296" s="63"/>
      <c r="E296" s="42" t="s">
        <v>138</v>
      </c>
      <c r="F296" s="42" t="s">
        <v>139</v>
      </c>
      <c r="G296" s="63"/>
      <c r="H296" s="63"/>
      <c r="I296" s="63"/>
      <c r="J296" s="63"/>
      <c r="K296" s="63" t="s">
        <v>140</v>
      </c>
      <c r="L296" s="63"/>
      <c r="M296" s="63"/>
      <c r="N296" s="63"/>
      <c r="O296" s="64"/>
      <c r="P296" s="63"/>
      <c r="Q296" s="63"/>
      <c r="R296" s="63"/>
      <c r="S296" s="63"/>
      <c r="T296" s="1311"/>
      <c r="AG296" s="667" t="s">
        <v>278</v>
      </c>
      <c r="AH296" s="667" t="s">
        <v>279</v>
      </c>
      <c r="AI296" s="667" t="s">
        <v>280</v>
      </c>
      <c r="AJ296" s="667" t="s">
        <v>281</v>
      </c>
      <c r="AK296" s="667" t="s">
        <v>282</v>
      </c>
      <c r="AM296" s="668" t="s">
        <v>291</v>
      </c>
      <c r="AN296" s="669" t="s">
        <v>292</v>
      </c>
      <c r="AO296" s="603" t="s">
        <v>288</v>
      </c>
    </row>
    <row r="297" spans="1:41" s="602" customFormat="1" ht="12" customHeight="1">
      <c r="A297" s="1301">
        <v>1</v>
      </c>
      <c r="B297" s="838" t="s">
        <v>312</v>
      </c>
      <c r="C297" s="672"/>
      <c r="D297" s="673" t="s">
        <v>1413</v>
      </c>
      <c r="E297" s="1237">
        <f>IF(AND($A297=0,$A$1="DIF"),0, ROUND(ROUND(($R301*$S$5+($T301*$T$5))/$A297,2)*$C$5,2))</f>
        <v>1235.33</v>
      </c>
      <c r="F297" s="1238">
        <f>ROUND($A297*$E297,2)</f>
        <v>1235.33</v>
      </c>
      <c r="G297" s="676" t="s">
        <v>142</v>
      </c>
      <c r="H297" s="664"/>
      <c r="I297" s="677"/>
      <c r="J297" s="664"/>
      <c r="K297" s="664" t="s">
        <v>10</v>
      </c>
      <c r="L297" s="678" t="s">
        <v>143</v>
      </c>
      <c r="M297" s="678"/>
      <c r="N297" s="678"/>
      <c r="O297" s="678"/>
      <c r="P297" s="678"/>
      <c r="Q297" s="63"/>
      <c r="T297" s="1312" t="str">
        <f>IF(AND($R301=0,$T301=0),"0.00","mu: "&amp; ROUND(F297/$C$5/($R301+$T301*$D$9),2))</f>
        <v>mu: 1</v>
      </c>
      <c r="W297" s="604"/>
      <c r="AG297" s="1239">
        <f>IF($E297=0,0,ROUND($R301*$S$5*$C$5/$A297,2))</f>
        <v>1235.33</v>
      </c>
      <c r="AH297" s="1239">
        <f>$AG297*$A297</f>
        <v>1235.33</v>
      </c>
      <c r="AI297" s="1240">
        <f>$E297-$AG297</f>
        <v>0</v>
      </c>
      <c r="AJ297" s="1240">
        <f>$A297*$AI297</f>
        <v>0</v>
      </c>
      <c r="AK297" s="1241">
        <f>ROUND(($AG297+$AI297)*$A297,2)</f>
        <v>1235.33</v>
      </c>
      <c r="AM297" s="607">
        <f>ROUND(R301,2)</f>
        <v>1235.33</v>
      </c>
      <c r="AN297" s="608">
        <f>ROUND(T301,2)</f>
        <v>0</v>
      </c>
      <c r="AO297" s="609">
        <f>ROUND(AM297+AN297,2)*A297</f>
        <v>1235.33</v>
      </c>
    </row>
    <row r="298" spans="1:41" s="602" customFormat="1" ht="13.2">
      <c r="A298" s="1303"/>
      <c r="B298"/>
      <c r="C298" s="672"/>
      <c r="D298" s="1368" t="s">
        <v>1164</v>
      </c>
      <c r="E298" s="1369"/>
      <c r="F298" s="1369"/>
      <c r="G298" s="1369"/>
      <c r="H298" s="1369"/>
      <c r="I298" s="1369"/>
      <c r="J298" s="1369"/>
      <c r="K298" s="1369"/>
      <c r="L298" s="1369"/>
      <c r="M298" s="1369"/>
      <c r="N298" s="1369"/>
      <c r="O298" s="1369"/>
      <c r="P298" s="1369"/>
      <c r="Q298" s="1369"/>
      <c r="R298" s="1369"/>
      <c r="S298" s="1369"/>
      <c r="T298" s="1370"/>
    </row>
    <row r="299" spans="1:41" s="730" customFormat="1" ht="13.2">
      <c r="A299" s="1313">
        <v>1</v>
      </c>
      <c r="B299" s="740" t="s">
        <v>312</v>
      </c>
      <c r="C299" s="740"/>
      <c r="D299" s="740" t="s">
        <v>1175</v>
      </c>
      <c r="E299" s="740"/>
      <c r="F299" s="749" t="s">
        <v>1177</v>
      </c>
      <c r="G299" s="741" t="s">
        <v>1176</v>
      </c>
      <c r="H299" s="1002">
        <v>960</v>
      </c>
      <c r="I299" s="740" t="s">
        <v>686</v>
      </c>
      <c r="J299" s="740"/>
      <c r="K299" s="740"/>
      <c r="L299" s="740"/>
      <c r="M299" s="740"/>
      <c r="N299" s="740"/>
      <c r="O299" s="744">
        <v>4</v>
      </c>
      <c r="P299" s="745">
        <v>38594</v>
      </c>
      <c r="Q299" s="746">
        <v>1235.33</v>
      </c>
      <c r="R299" s="747">
        <f>$A299*Q299</f>
        <v>1235.33</v>
      </c>
      <c r="S299" s="746"/>
      <c r="T299" s="1314">
        <f>$A299*S299*$T$1</f>
        <v>0</v>
      </c>
    </row>
    <row r="300" spans="1:41" s="602" customFormat="1" ht="12">
      <c r="A300" s="1306"/>
      <c r="B300" s="663"/>
      <c r="C300" s="663"/>
      <c r="D300" s="663"/>
      <c r="E300" s="663"/>
      <c r="F300" s="664"/>
      <c r="G300" s="663"/>
      <c r="H300" s="663"/>
      <c r="I300" s="601"/>
      <c r="J300" s="663"/>
      <c r="K300" s="663"/>
      <c r="L300" s="663"/>
      <c r="M300" s="663"/>
      <c r="N300" s="663"/>
      <c r="O300" s="663"/>
      <c r="P300" s="663"/>
      <c r="Q300" s="601"/>
      <c r="R300" s="666">
        <f t="shared" ref="R300" si="4">$A300*Q300</f>
        <v>0</v>
      </c>
      <c r="S300" s="601"/>
      <c r="T300" s="1307">
        <f t="shared" ref="T300" si="5">$A300*S300*$T$1</f>
        <v>0</v>
      </c>
    </row>
    <row r="301" spans="1:41" s="602" customFormat="1" ht="12.6" thickBot="1">
      <c r="A301" s="1315" t="s">
        <v>145</v>
      </c>
      <c r="B301" s="1316">
        <f>(R300+T300)</f>
        <v>0</v>
      </c>
      <c r="C301" s="1317"/>
      <c r="D301" s="1317"/>
      <c r="E301" s="1317"/>
      <c r="F301" s="1318"/>
      <c r="G301" s="1317" t="s">
        <v>146</v>
      </c>
      <c r="H301" s="1317"/>
      <c r="I301" s="1319"/>
      <c r="J301" s="1317"/>
      <c r="K301" s="1317" t="s">
        <v>10</v>
      </c>
      <c r="L301" s="1320" t="s">
        <v>143</v>
      </c>
      <c r="M301" s="1320"/>
      <c r="N301" s="1320"/>
      <c r="O301" s="1320"/>
      <c r="P301" s="1320"/>
      <c r="Q301" s="1321"/>
      <c r="R301" s="1322">
        <f>SUM(R298:R300)</f>
        <v>1235.33</v>
      </c>
      <c r="S301" s="1317"/>
      <c r="T301" s="1323">
        <f>SUM(T298:T300)</f>
        <v>0</v>
      </c>
      <c r="U301" s="611"/>
      <c r="V301" s="611"/>
      <c r="W301" s="611"/>
      <c r="X301" s="611"/>
      <c r="Y301" s="611"/>
      <c r="Z301" s="611"/>
      <c r="AA301" s="611"/>
      <c r="AB301" s="611"/>
      <c r="AC301" s="611"/>
      <c r="AD301" s="611"/>
      <c r="AE301" s="611"/>
      <c r="AF301" s="611"/>
      <c r="AG301" s="611"/>
      <c r="AH301" s="611"/>
      <c r="AI301" s="611"/>
      <c r="AJ301" s="611"/>
      <c r="AK301" s="611"/>
      <c r="AL301" s="611"/>
      <c r="AM301" s="611"/>
      <c r="AN301" s="611"/>
      <c r="AO301" s="611"/>
    </row>
    <row r="302" spans="1:41" s="602" customFormat="1" ht="11.4">
      <c r="A302" s="1294"/>
      <c r="B302" s="1295"/>
      <c r="C302" s="1296"/>
      <c r="D302" s="1297"/>
      <c r="E302" s="1298" t="s">
        <v>138</v>
      </c>
      <c r="F302" s="1298" t="s">
        <v>139</v>
      </c>
      <c r="G302" s="1296"/>
      <c r="H302" s="1296"/>
      <c r="I302" s="1296"/>
      <c r="J302" s="1296"/>
      <c r="K302" s="1296" t="s">
        <v>140</v>
      </c>
      <c r="L302" s="1296"/>
      <c r="M302" s="1296"/>
      <c r="N302" s="1296"/>
      <c r="O302" s="1299"/>
      <c r="P302" s="1296"/>
      <c r="Q302" s="1296"/>
      <c r="R302" s="1296"/>
      <c r="S302" s="1296"/>
      <c r="T302" s="1300"/>
      <c r="AG302" s="667" t="s">
        <v>278</v>
      </c>
      <c r="AH302" s="667" t="s">
        <v>279</v>
      </c>
      <c r="AI302" s="667" t="s">
        <v>280</v>
      </c>
      <c r="AJ302" s="667" t="s">
        <v>281</v>
      </c>
      <c r="AK302" s="667" t="s">
        <v>282</v>
      </c>
      <c r="AM302" s="668" t="s">
        <v>291</v>
      </c>
      <c r="AN302" s="669" t="s">
        <v>292</v>
      </c>
      <c r="AO302" s="603" t="s">
        <v>288</v>
      </c>
    </row>
    <row r="303" spans="1:41" s="602" customFormat="1" ht="12" customHeight="1">
      <c r="A303" s="1301">
        <v>1</v>
      </c>
      <c r="B303" s="838" t="s">
        <v>312</v>
      </c>
      <c r="C303" s="672"/>
      <c r="D303" s="673" t="s">
        <v>1414</v>
      </c>
      <c r="E303" s="674">
        <f>IF(AND($A303=0,$A$1="DIF"),0, ROUND(ROUND(($R307*$S$2+($T307*$T$2))/A303,2)*$C$2,2))</f>
        <v>469.29</v>
      </c>
      <c r="F303" s="675">
        <f>ROUND($A303*$E303,2)</f>
        <v>469.29</v>
      </c>
      <c r="G303" s="676" t="s">
        <v>142</v>
      </c>
      <c r="H303" s="664"/>
      <c r="I303" s="677"/>
      <c r="J303" s="664"/>
      <c r="K303" s="664" t="s">
        <v>3</v>
      </c>
      <c r="L303" s="678" t="s">
        <v>143</v>
      </c>
      <c r="M303" s="678"/>
      <c r="N303" s="678"/>
      <c r="O303" s="678"/>
      <c r="P303" s="678"/>
      <c r="Q303" s="63"/>
      <c r="T303" s="1302" t="str">
        <f>IF(AND($R307=0,$T307=0),"0.00","mu :" &amp; ROUND($F303/$C$2/($R307+$T307*$D$9),2))</f>
        <v>mu :1.35</v>
      </c>
      <c r="W303" s="604"/>
      <c r="AG303" s="549">
        <f>IF($E303=0,0,ROUND($R307*$S$2*$C$2/$A303,2))</f>
        <v>0</v>
      </c>
      <c r="AH303" s="549">
        <f>$AG303*$A303</f>
        <v>0</v>
      </c>
      <c r="AI303" s="605">
        <f>$E303-$AG303</f>
        <v>469.29</v>
      </c>
      <c r="AJ303" s="605">
        <f>$A303*$AI303</f>
        <v>469.29</v>
      </c>
      <c r="AK303" s="606">
        <f>ROUND(($AG303+$AI303)*$A303,2)</f>
        <v>469.29</v>
      </c>
      <c r="AM303" s="607">
        <f>ROUND(R307,2)</f>
        <v>0</v>
      </c>
      <c r="AN303" s="608">
        <f>ROUND(T307,2)</f>
        <v>13</v>
      </c>
      <c r="AO303" s="609">
        <f>ROUND(AM303+AN303,2)*A303</f>
        <v>13</v>
      </c>
    </row>
    <row r="304" spans="1:41" s="602" customFormat="1" ht="13.2" customHeight="1">
      <c r="A304" s="1303"/>
      <c r="B304"/>
      <c r="C304" s="672"/>
      <c r="D304" s="1368" t="s">
        <v>1165</v>
      </c>
      <c r="E304" s="1369"/>
      <c r="F304" s="1369"/>
      <c r="G304" s="1369"/>
      <c r="H304" s="1369"/>
      <c r="I304" s="1369"/>
      <c r="J304" s="1369"/>
      <c r="K304" s="1369"/>
      <c r="L304" s="1369"/>
      <c r="M304" s="1369"/>
      <c r="N304" s="1369"/>
      <c r="O304" s="1369"/>
      <c r="P304" s="1369"/>
      <c r="Q304" s="1369"/>
      <c r="R304" s="1369"/>
      <c r="S304" s="1369"/>
      <c r="T304" s="1370"/>
    </row>
    <row r="305" spans="1:41" s="730" customFormat="1" ht="13.2">
      <c r="A305" s="1304">
        <v>1</v>
      </c>
      <c r="B305" s="730" t="s">
        <v>312</v>
      </c>
      <c r="D305" s="730" t="s">
        <v>735</v>
      </c>
      <c r="E305" s="730" t="s">
        <v>1390</v>
      </c>
      <c r="G305" s="731" t="s">
        <v>736</v>
      </c>
      <c r="H305" s="732">
        <v>901</v>
      </c>
      <c r="I305" s="730" t="s">
        <v>686</v>
      </c>
      <c r="O305" s="733">
        <v>1</v>
      </c>
      <c r="P305" s="734">
        <v>40613</v>
      </c>
      <c r="Q305" s="735"/>
      <c r="R305" s="736">
        <f>$A305*Q305</f>
        <v>0</v>
      </c>
      <c r="S305" s="735">
        <f>ROUND(80/9840*Q311,)</f>
        <v>13</v>
      </c>
      <c r="T305" s="1305">
        <f>$A305*S305*$T$1</f>
        <v>13</v>
      </c>
    </row>
    <row r="306" spans="1:41" s="602" customFormat="1" ht="12">
      <c r="A306" s="1306"/>
      <c r="B306" s="663"/>
      <c r="C306" s="663"/>
      <c r="D306" s="663"/>
      <c r="E306" s="663"/>
      <c r="F306" s="664"/>
      <c r="G306" s="663"/>
      <c r="H306" s="663"/>
      <c r="I306" s="601"/>
      <c r="J306" s="663"/>
      <c r="K306" s="663"/>
      <c r="L306" s="663"/>
      <c r="M306" s="663"/>
      <c r="N306" s="663"/>
      <c r="O306" s="663"/>
      <c r="P306" s="663"/>
      <c r="Q306" s="601"/>
      <c r="R306" s="666">
        <f t="shared" ref="R306" si="6">$A306*Q306</f>
        <v>0</v>
      </c>
      <c r="S306" s="601"/>
      <c r="T306" s="1307">
        <f t="shared" ref="T306" si="7">$A306*S306*$T$1</f>
        <v>0</v>
      </c>
    </row>
    <row r="307" spans="1:41" s="602" customFormat="1" ht="12.6" thickBot="1">
      <c r="A307" s="1308" t="s">
        <v>145</v>
      </c>
      <c r="B307" s="683">
        <f>(R306+T306)</f>
        <v>0</v>
      </c>
      <c r="C307" s="684"/>
      <c r="D307" s="684"/>
      <c r="E307" s="684"/>
      <c r="F307" s="685"/>
      <c r="G307" s="684" t="s">
        <v>146</v>
      </c>
      <c r="H307" s="684"/>
      <c r="I307" s="686"/>
      <c r="J307" s="684"/>
      <c r="K307" s="684" t="s">
        <v>3</v>
      </c>
      <c r="L307" s="687" t="s">
        <v>143</v>
      </c>
      <c r="M307" s="687"/>
      <c r="N307" s="687"/>
      <c r="O307" s="687"/>
      <c r="P307" s="687"/>
      <c r="Q307" s="688"/>
      <c r="R307" s="689">
        <f>SUM(R304:R306)</f>
        <v>0</v>
      </c>
      <c r="S307" s="684"/>
      <c r="T307" s="1309">
        <f>SUM(T304:T306)</f>
        <v>13</v>
      </c>
      <c r="U307" s="611"/>
      <c r="V307" s="611"/>
      <c r="W307" s="611"/>
      <c r="X307" s="611"/>
      <c r="Y307" s="611"/>
      <c r="Z307" s="611"/>
      <c r="AA307" s="611"/>
      <c r="AB307" s="611"/>
      <c r="AC307" s="611"/>
      <c r="AD307" s="611"/>
      <c r="AE307" s="611"/>
      <c r="AF307" s="611"/>
      <c r="AG307" s="611"/>
      <c r="AH307" s="611"/>
      <c r="AI307" s="611"/>
      <c r="AJ307" s="611"/>
      <c r="AK307" s="611"/>
      <c r="AL307" s="611"/>
      <c r="AM307" s="611"/>
      <c r="AN307" s="611"/>
      <c r="AO307" s="611"/>
    </row>
    <row r="308" spans="1:41" s="602" customFormat="1" ht="12" thickTop="1">
      <c r="A308" s="1310"/>
      <c r="B308" s="41"/>
      <c r="C308" s="63"/>
      <c r="E308" s="42" t="s">
        <v>138</v>
      </c>
      <c r="F308" s="42" t="s">
        <v>139</v>
      </c>
      <c r="G308" s="63"/>
      <c r="H308" s="63"/>
      <c r="I308" s="63"/>
      <c r="J308" s="63"/>
      <c r="K308" s="63" t="s">
        <v>140</v>
      </c>
      <c r="L308" s="63"/>
      <c r="M308" s="63"/>
      <c r="N308" s="63"/>
      <c r="O308" s="64"/>
      <c r="P308" s="63"/>
      <c r="Q308" s="63"/>
      <c r="R308" s="63"/>
      <c r="S308" s="63"/>
      <c r="T308" s="1311"/>
      <c r="AG308" s="667" t="s">
        <v>278</v>
      </c>
      <c r="AH308" s="667" t="s">
        <v>279</v>
      </c>
      <c r="AI308" s="667" t="s">
        <v>280</v>
      </c>
      <c r="AJ308" s="667" t="s">
        <v>281</v>
      </c>
      <c r="AK308" s="667" t="s">
        <v>282</v>
      </c>
      <c r="AM308" s="668" t="s">
        <v>291</v>
      </c>
      <c r="AN308" s="669" t="s">
        <v>292</v>
      </c>
      <c r="AO308" s="603" t="s">
        <v>288</v>
      </c>
    </row>
    <row r="309" spans="1:41" s="602" customFormat="1" ht="12" customHeight="1">
      <c r="A309" s="1301">
        <v>1</v>
      </c>
      <c r="B309" s="838" t="s">
        <v>312</v>
      </c>
      <c r="C309" s="672"/>
      <c r="D309" s="673" t="s">
        <v>1415</v>
      </c>
      <c r="E309" s="1237">
        <f>IF(AND($A309=0,$A$1="DIF"),0, ROUND(ROUND(($R313*$S$5+($T313*$T$5))/$A309,2)*$C$5,2))</f>
        <v>1647.11</v>
      </c>
      <c r="F309" s="1238">
        <f>ROUND($A309*$E309,2)</f>
        <v>1647.11</v>
      </c>
      <c r="G309" s="676" t="s">
        <v>142</v>
      </c>
      <c r="H309" s="664"/>
      <c r="I309" s="677"/>
      <c r="J309" s="664"/>
      <c r="K309" s="664" t="s">
        <v>10</v>
      </c>
      <c r="L309" s="678" t="s">
        <v>143</v>
      </c>
      <c r="M309" s="678"/>
      <c r="N309" s="678"/>
      <c r="O309" s="678"/>
      <c r="P309" s="678"/>
      <c r="Q309" s="63"/>
      <c r="T309" s="1312" t="str">
        <f>IF(AND($R313=0,$T313=0),"0.00","mu: "&amp; ROUND(F309/$C$5/($R313+$T313*$D$9),2))</f>
        <v>mu: 1</v>
      </c>
      <c r="W309" s="604"/>
      <c r="AG309" s="1239">
        <f>IF($E309=0,0,ROUND($R313*$S$5*$C$5/$A309,2))</f>
        <v>1647.11</v>
      </c>
      <c r="AH309" s="1239">
        <f>$AG309*$A309</f>
        <v>1647.11</v>
      </c>
      <c r="AI309" s="1240">
        <f>$E309-$AG309</f>
        <v>0</v>
      </c>
      <c r="AJ309" s="1240">
        <f>$A309*$AI309</f>
        <v>0</v>
      </c>
      <c r="AK309" s="1241">
        <f>ROUND(($AG309+$AI309)*$A309,2)</f>
        <v>1647.11</v>
      </c>
      <c r="AM309" s="607">
        <f>ROUND(R313,2)</f>
        <v>1647.11</v>
      </c>
      <c r="AN309" s="608">
        <f>ROUND(T313,2)</f>
        <v>0</v>
      </c>
      <c r="AO309" s="609">
        <f>ROUND(AM309+AN309,2)*A309</f>
        <v>1647.11</v>
      </c>
    </row>
    <row r="310" spans="1:41" s="602" customFormat="1" ht="13.2" customHeight="1">
      <c r="A310" s="1303"/>
      <c r="B310"/>
      <c r="C310" s="672"/>
      <c r="D310" s="1368" t="s">
        <v>1165</v>
      </c>
      <c r="E310" s="1369"/>
      <c r="F310" s="1369"/>
      <c r="G310" s="1369"/>
      <c r="H310" s="1369"/>
      <c r="I310" s="1369"/>
      <c r="J310" s="1369"/>
      <c r="K310" s="1369"/>
      <c r="L310" s="1369"/>
      <c r="M310" s="1369"/>
      <c r="N310" s="1369"/>
      <c r="O310" s="1369"/>
      <c r="P310" s="1369"/>
      <c r="Q310" s="1369"/>
      <c r="R310" s="1369"/>
      <c r="S310" s="1369"/>
      <c r="T310" s="1370"/>
    </row>
    <row r="311" spans="1:41" s="730" customFormat="1" ht="13.2">
      <c r="A311" s="1313">
        <v>1</v>
      </c>
      <c r="B311" s="740" t="s">
        <v>312</v>
      </c>
      <c r="C311" s="740"/>
      <c r="D311" s="740" t="s">
        <v>1175</v>
      </c>
      <c r="E311" s="740"/>
      <c r="F311" s="749" t="s">
        <v>1177</v>
      </c>
      <c r="G311" s="741" t="s">
        <v>1176</v>
      </c>
      <c r="H311" s="1002">
        <v>960</v>
      </c>
      <c r="I311" s="740" t="s">
        <v>686</v>
      </c>
      <c r="J311" s="740"/>
      <c r="K311" s="740"/>
      <c r="L311" s="740"/>
      <c r="M311" s="740"/>
      <c r="N311" s="740"/>
      <c r="O311" s="744">
        <v>4</v>
      </c>
      <c r="P311" s="745">
        <v>38594</v>
      </c>
      <c r="Q311" s="746">
        <v>1647.11</v>
      </c>
      <c r="R311" s="747">
        <f>$A311*Q311</f>
        <v>1647.11</v>
      </c>
      <c r="S311" s="746"/>
      <c r="T311" s="1314">
        <f>$A311*S311*$T$1</f>
        <v>0</v>
      </c>
    </row>
    <row r="312" spans="1:41" s="602" customFormat="1" ht="12">
      <c r="A312" s="1306"/>
      <c r="B312" s="663"/>
      <c r="C312" s="663"/>
      <c r="D312" s="663"/>
      <c r="E312" s="663"/>
      <c r="F312" s="664"/>
      <c r="G312" s="663"/>
      <c r="H312" s="663"/>
      <c r="I312" s="601"/>
      <c r="J312" s="663"/>
      <c r="K312" s="663"/>
      <c r="L312" s="663"/>
      <c r="M312" s="663"/>
      <c r="N312" s="663"/>
      <c r="O312" s="663"/>
      <c r="P312" s="663"/>
      <c r="Q312" s="601"/>
      <c r="R312" s="666">
        <f t="shared" ref="R312" si="8">$A312*Q312</f>
        <v>0</v>
      </c>
      <c r="S312" s="601"/>
      <c r="T312" s="1307">
        <f t="shared" ref="T312" si="9">$A312*S312*$T$1</f>
        <v>0</v>
      </c>
    </row>
    <row r="313" spans="1:41" s="602" customFormat="1" ht="12.6" thickBot="1">
      <c r="A313" s="1315" t="s">
        <v>145</v>
      </c>
      <c r="B313" s="1316">
        <f>(R312+T312)</f>
        <v>0</v>
      </c>
      <c r="C313" s="1317"/>
      <c r="D313" s="1317"/>
      <c r="E313" s="1317"/>
      <c r="F313" s="1318"/>
      <c r="G313" s="1317" t="s">
        <v>146</v>
      </c>
      <c r="H313" s="1317"/>
      <c r="I313" s="1319"/>
      <c r="J313" s="1317"/>
      <c r="K313" s="1317" t="s">
        <v>10</v>
      </c>
      <c r="L313" s="1320" t="s">
        <v>143</v>
      </c>
      <c r="M313" s="1320"/>
      <c r="N313" s="1320"/>
      <c r="O313" s="1320"/>
      <c r="P313" s="1320"/>
      <c r="Q313" s="1321"/>
      <c r="R313" s="1322">
        <f>SUM(R310:R312)</f>
        <v>1647.11</v>
      </c>
      <c r="S313" s="1317"/>
      <c r="T313" s="1323">
        <f>SUM(T310:T312)</f>
        <v>0</v>
      </c>
      <c r="U313" s="611"/>
      <c r="V313" s="611"/>
      <c r="W313" s="611"/>
      <c r="X313" s="611"/>
      <c r="Y313" s="611"/>
      <c r="Z313" s="611"/>
      <c r="AA313" s="611"/>
      <c r="AB313" s="611"/>
      <c r="AC313" s="611"/>
      <c r="AD313" s="611"/>
      <c r="AE313" s="611"/>
      <c r="AF313" s="611"/>
      <c r="AG313" s="611"/>
      <c r="AH313" s="611"/>
      <c r="AI313" s="611"/>
      <c r="AJ313" s="611"/>
      <c r="AK313" s="611"/>
      <c r="AL313" s="611"/>
      <c r="AM313" s="611"/>
      <c r="AN313" s="611"/>
      <c r="AO313" s="611"/>
    </row>
    <row r="314" spans="1:41" s="602" customFormat="1" ht="11.4">
      <c r="A314" s="1294"/>
      <c r="B314" s="1295"/>
      <c r="C314" s="1296"/>
      <c r="D314" s="1297"/>
      <c r="E314" s="1298" t="s">
        <v>138</v>
      </c>
      <c r="F314" s="1298" t="s">
        <v>139</v>
      </c>
      <c r="G314" s="1296"/>
      <c r="H314" s="1296"/>
      <c r="I314" s="1296"/>
      <c r="J314" s="1296"/>
      <c r="K314" s="1296" t="s">
        <v>140</v>
      </c>
      <c r="L314" s="1296"/>
      <c r="M314" s="1296"/>
      <c r="N314" s="1296"/>
      <c r="O314" s="1299"/>
      <c r="P314" s="1296"/>
      <c r="Q314" s="1296"/>
      <c r="R314" s="1296"/>
      <c r="S314" s="1296"/>
      <c r="T314" s="1300"/>
      <c r="AG314" s="667" t="s">
        <v>278</v>
      </c>
      <c r="AH314" s="667" t="s">
        <v>279</v>
      </c>
      <c r="AI314" s="667" t="s">
        <v>280</v>
      </c>
      <c r="AJ314" s="667" t="s">
        <v>281</v>
      </c>
      <c r="AK314" s="667" t="s">
        <v>282</v>
      </c>
      <c r="AM314" s="668" t="s">
        <v>291</v>
      </c>
      <c r="AN314" s="669" t="s">
        <v>292</v>
      </c>
      <c r="AO314" s="603" t="s">
        <v>288</v>
      </c>
    </row>
    <row r="315" spans="1:41" s="602" customFormat="1" ht="12" customHeight="1">
      <c r="A315" s="1301">
        <v>1</v>
      </c>
      <c r="B315" s="838" t="s">
        <v>312</v>
      </c>
      <c r="C315" s="672"/>
      <c r="D315" s="673" t="s">
        <v>1416</v>
      </c>
      <c r="E315" s="674">
        <f>IF(AND($A315=0,$A$1="DIF"),0, ROUND(ROUND(($R319*$S$2+($T319*$T$2))/A315,2)*$C$2,2))</f>
        <v>180.5</v>
      </c>
      <c r="F315" s="675">
        <f>ROUND($A315*$E315,2)</f>
        <v>180.5</v>
      </c>
      <c r="G315" s="676" t="s">
        <v>142</v>
      </c>
      <c r="H315" s="664"/>
      <c r="I315" s="677"/>
      <c r="J315" s="664"/>
      <c r="K315" s="664" t="s">
        <v>3</v>
      </c>
      <c r="L315" s="678" t="s">
        <v>143</v>
      </c>
      <c r="M315" s="678"/>
      <c r="N315" s="678"/>
      <c r="O315" s="678"/>
      <c r="P315" s="678"/>
      <c r="Q315" s="63"/>
      <c r="T315" s="1302" t="str">
        <f>IF(AND($R319=0,$T319=0),"0.00","mu :" &amp; ROUND($F315/$C$2/($R319+$T319*$D$9),2))</f>
        <v>mu :1.35</v>
      </c>
      <c r="W315" s="604"/>
      <c r="AG315" s="549">
        <f>IF($E315=0,0,ROUND($R319*$S$2*$C$2/$A315,2))</f>
        <v>0</v>
      </c>
      <c r="AH315" s="549">
        <f>$AG315*$A315</f>
        <v>0</v>
      </c>
      <c r="AI315" s="605">
        <f>$E315-$AG315</f>
        <v>180.5</v>
      </c>
      <c r="AJ315" s="605">
        <f>$A315*$AI315</f>
        <v>180.5</v>
      </c>
      <c r="AK315" s="606">
        <f>ROUND(($AG315+$AI315)*$A315,2)</f>
        <v>180.5</v>
      </c>
      <c r="AM315" s="607">
        <f>ROUND(R319,2)</f>
        <v>0</v>
      </c>
      <c r="AN315" s="608">
        <f>ROUND(T319,2)</f>
        <v>5</v>
      </c>
      <c r="AO315" s="609">
        <f>ROUND(AM315+AN315,2)*A315</f>
        <v>5</v>
      </c>
    </row>
    <row r="316" spans="1:41" s="602" customFormat="1" ht="13.2" customHeight="1">
      <c r="A316" s="1303"/>
      <c r="B316"/>
      <c r="C316" s="672"/>
      <c r="D316" s="1368" t="s">
        <v>1166</v>
      </c>
      <c r="E316" s="1369"/>
      <c r="F316" s="1369"/>
      <c r="G316" s="1369"/>
      <c r="H316" s="1369"/>
      <c r="I316" s="1369"/>
      <c r="J316" s="1369"/>
      <c r="K316" s="1369"/>
      <c r="L316" s="1369"/>
      <c r="M316" s="1369"/>
      <c r="N316" s="1369"/>
      <c r="O316" s="1369"/>
      <c r="P316" s="1369"/>
      <c r="Q316" s="1369"/>
      <c r="R316" s="1369"/>
      <c r="S316" s="1369"/>
      <c r="T316" s="1370"/>
    </row>
    <row r="317" spans="1:41" s="730" customFormat="1" ht="13.2">
      <c r="A317" s="1304">
        <v>1</v>
      </c>
      <c r="B317" s="730" t="s">
        <v>312</v>
      </c>
      <c r="D317" s="730" t="s">
        <v>735</v>
      </c>
      <c r="E317" s="730" t="s">
        <v>1390</v>
      </c>
      <c r="G317" s="731" t="s">
        <v>736</v>
      </c>
      <c r="H317" s="732">
        <v>901</v>
      </c>
      <c r="I317" s="730" t="s">
        <v>686</v>
      </c>
      <c r="O317" s="733">
        <v>1</v>
      </c>
      <c r="P317" s="734">
        <v>40613</v>
      </c>
      <c r="Q317" s="735"/>
      <c r="R317" s="736">
        <f>$A317*Q317</f>
        <v>0</v>
      </c>
      <c r="S317" s="735">
        <f>ROUND(80/9840*Q323,)</f>
        <v>5</v>
      </c>
      <c r="T317" s="1305">
        <f>$A317*S317*$T$1</f>
        <v>5</v>
      </c>
    </row>
    <row r="318" spans="1:41" s="602" customFormat="1" ht="12">
      <c r="A318" s="1306"/>
      <c r="B318" s="663"/>
      <c r="C318" s="663"/>
      <c r="D318" s="663"/>
      <c r="E318" s="663"/>
      <c r="F318" s="664"/>
      <c r="G318" s="663"/>
      <c r="H318" s="663"/>
      <c r="I318" s="601"/>
      <c r="J318" s="663"/>
      <c r="K318" s="663"/>
      <c r="L318" s="663"/>
      <c r="M318" s="663"/>
      <c r="N318" s="663"/>
      <c r="O318" s="663"/>
      <c r="P318" s="663"/>
      <c r="Q318" s="601"/>
      <c r="R318" s="666">
        <f t="shared" ref="R318" si="10">$A318*Q318</f>
        <v>0</v>
      </c>
      <c r="S318" s="601"/>
      <c r="T318" s="1307">
        <f t="shared" ref="T318" si="11">$A318*S318*$T$1</f>
        <v>0</v>
      </c>
    </row>
    <row r="319" spans="1:41" s="602" customFormat="1" ht="12.6" thickBot="1">
      <c r="A319" s="1308" t="s">
        <v>145</v>
      </c>
      <c r="B319" s="683">
        <f>(R318+T318)</f>
        <v>0</v>
      </c>
      <c r="C319" s="684"/>
      <c r="D319" s="684"/>
      <c r="E319" s="684"/>
      <c r="F319" s="685"/>
      <c r="G319" s="684" t="s">
        <v>146</v>
      </c>
      <c r="H319" s="684"/>
      <c r="I319" s="686"/>
      <c r="J319" s="684"/>
      <c r="K319" s="684" t="s">
        <v>3</v>
      </c>
      <c r="L319" s="687" t="s">
        <v>143</v>
      </c>
      <c r="M319" s="687"/>
      <c r="N319" s="687"/>
      <c r="O319" s="687"/>
      <c r="P319" s="687"/>
      <c r="Q319" s="688"/>
      <c r="R319" s="689">
        <f>SUM(R316:R318)</f>
        <v>0</v>
      </c>
      <c r="S319" s="684"/>
      <c r="T319" s="1309">
        <f>SUM(T316:T318)</f>
        <v>5</v>
      </c>
      <c r="U319" s="611"/>
      <c r="V319" s="611"/>
      <c r="W319" s="611"/>
      <c r="X319" s="611"/>
      <c r="Y319" s="611"/>
      <c r="Z319" s="611"/>
      <c r="AA319" s="611"/>
      <c r="AB319" s="611"/>
      <c r="AC319" s="611"/>
      <c r="AD319" s="611"/>
      <c r="AE319" s="611"/>
      <c r="AF319" s="611"/>
      <c r="AG319" s="611"/>
      <c r="AH319" s="611"/>
      <c r="AI319" s="611"/>
      <c r="AJ319" s="611"/>
      <c r="AK319" s="611"/>
      <c r="AL319" s="611"/>
      <c r="AM319" s="611"/>
      <c r="AN319" s="611"/>
      <c r="AO319" s="611"/>
    </row>
    <row r="320" spans="1:41" s="602" customFormat="1" ht="12" thickTop="1">
      <c r="A320" s="1310"/>
      <c r="B320" s="41"/>
      <c r="C320" s="63"/>
      <c r="E320" s="42" t="s">
        <v>138</v>
      </c>
      <c r="F320" s="42" t="s">
        <v>139</v>
      </c>
      <c r="G320" s="63"/>
      <c r="H320" s="63"/>
      <c r="I320" s="63"/>
      <c r="J320" s="63"/>
      <c r="K320" s="63" t="s">
        <v>140</v>
      </c>
      <c r="L320" s="63"/>
      <c r="M320" s="63"/>
      <c r="N320" s="63"/>
      <c r="O320" s="64"/>
      <c r="P320" s="63"/>
      <c r="Q320" s="63"/>
      <c r="R320" s="63"/>
      <c r="S320" s="63"/>
      <c r="T320" s="1311"/>
      <c r="AG320" s="667" t="s">
        <v>278</v>
      </c>
      <c r="AH320" s="667" t="s">
        <v>279</v>
      </c>
      <c r="AI320" s="667" t="s">
        <v>280</v>
      </c>
      <c r="AJ320" s="667" t="s">
        <v>281</v>
      </c>
      <c r="AK320" s="667" t="s">
        <v>282</v>
      </c>
      <c r="AM320" s="668" t="s">
        <v>291</v>
      </c>
      <c r="AN320" s="669" t="s">
        <v>292</v>
      </c>
      <c r="AO320" s="603" t="s">
        <v>288</v>
      </c>
    </row>
    <row r="321" spans="1:41" s="602" customFormat="1" ht="12" customHeight="1">
      <c r="A321" s="1301">
        <v>1</v>
      </c>
      <c r="B321" s="838" t="s">
        <v>312</v>
      </c>
      <c r="C321" s="672"/>
      <c r="D321" s="673" t="s">
        <v>1417</v>
      </c>
      <c r="E321" s="1237">
        <f>IF(AND($A321=0,$A$1="DIF"),0, ROUND(ROUND(($R325*$S$5+($T325*$T$5))/$A321,2)*$C$5,2))</f>
        <v>617.66</v>
      </c>
      <c r="F321" s="1238">
        <f>ROUND($A321*$E321,2)</f>
        <v>617.66</v>
      </c>
      <c r="G321" s="676" t="s">
        <v>142</v>
      </c>
      <c r="H321" s="664"/>
      <c r="I321" s="677"/>
      <c r="J321" s="664"/>
      <c r="K321" s="664" t="s">
        <v>10</v>
      </c>
      <c r="L321" s="678" t="s">
        <v>143</v>
      </c>
      <c r="M321" s="678"/>
      <c r="N321" s="678"/>
      <c r="O321" s="678"/>
      <c r="P321" s="678"/>
      <c r="Q321" s="63"/>
      <c r="T321" s="1312" t="str">
        <f>IF(AND($R325=0,$T325=0),"0.00","mu: "&amp; ROUND(F321/$C$5/($R325+$T325*$D$9),2))</f>
        <v>mu: 1</v>
      </c>
      <c r="W321" s="604"/>
      <c r="AG321" s="1239">
        <f>IF($E321=0,0,ROUND($R325*$S$5*$C$5/$A321,2))</f>
        <v>617.66</v>
      </c>
      <c r="AH321" s="1239">
        <f>$AG321*$A321</f>
        <v>617.66</v>
      </c>
      <c r="AI321" s="1240">
        <f>$E321-$AG321</f>
        <v>0</v>
      </c>
      <c r="AJ321" s="1240">
        <f>$A321*$AI321</f>
        <v>0</v>
      </c>
      <c r="AK321" s="1241">
        <f>ROUND(($AG321+$AI321)*$A321,2)</f>
        <v>617.66</v>
      </c>
      <c r="AM321" s="607">
        <f>ROUND(R325,2)</f>
        <v>617.66</v>
      </c>
      <c r="AN321" s="608">
        <f>ROUND(T325,2)</f>
        <v>0</v>
      </c>
      <c r="AO321" s="609">
        <f>ROUND(AM321+AN321,2)*A321</f>
        <v>617.66</v>
      </c>
    </row>
    <row r="322" spans="1:41" s="602" customFormat="1" ht="13.2" customHeight="1">
      <c r="A322" s="1303"/>
      <c r="B322"/>
      <c r="C322" s="672"/>
      <c r="D322" s="1368" t="s">
        <v>1166</v>
      </c>
      <c r="E322" s="1369"/>
      <c r="F322" s="1369"/>
      <c r="G322" s="1369"/>
      <c r="H322" s="1369"/>
      <c r="I322" s="1369"/>
      <c r="J322" s="1369"/>
      <c r="K322" s="1369"/>
      <c r="L322" s="1369"/>
      <c r="M322" s="1369"/>
      <c r="N322" s="1369"/>
      <c r="O322" s="1369"/>
      <c r="P322" s="1369"/>
      <c r="Q322" s="1369"/>
      <c r="R322" s="1369"/>
      <c r="S322" s="1369"/>
      <c r="T322" s="1370"/>
    </row>
    <row r="323" spans="1:41" s="730" customFormat="1" ht="13.2">
      <c r="A323" s="1313">
        <v>1</v>
      </c>
      <c r="B323" s="740" t="s">
        <v>312</v>
      </c>
      <c r="C323" s="740"/>
      <c r="D323" s="740" t="s">
        <v>1175</v>
      </c>
      <c r="E323" s="740"/>
      <c r="F323" s="749" t="s">
        <v>1177</v>
      </c>
      <c r="G323" s="741" t="s">
        <v>1176</v>
      </c>
      <c r="H323" s="1002">
        <v>960</v>
      </c>
      <c r="I323" s="740" t="s">
        <v>686</v>
      </c>
      <c r="J323" s="740"/>
      <c r="K323" s="740"/>
      <c r="L323" s="740"/>
      <c r="M323" s="740"/>
      <c r="N323" s="740"/>
      <c r="O323" s="744">
        <v>4</v>
      </c>
      <c r="P323" s="745">
        <v>38594</v>
      </c>
      <c r="Q323" s="746">
        <v>617.66</v>
      </c>
      <c r="R323" s="747">
        <f>$A323*Q323</f>
        <v>617.66</v>
      </c>
      <c r="S323" s="746"/>
      <c r="T323" s="1314">
        <f>$A323*S323*$T$1</f>
        <v>0</v>
      </c>
    </row>
    <row r="324" spans="1:41" s="602" customFormat="1" ht="12">
      <c r="A324" s="1306"/>
      <c r="B324" s="663"/>
      <c r="C324" s="663"/>
      <c r="D324" s="663"/>
      <c r="E324" s="663"/>
      <c r="F324" s="664"/>
      <c r="G324" s="663"/>
      <c r="H324" s="663"/>
      <c r="I324" s="601"/>
      <c r="J324" s="663"/>
      <c r="K324" s="663"/>
      <c r="L324" s="663"/>
      <c r="M324" s="663"/>
      <c r="N324" s="663"/>
      <c r="O324" s="663"/>
      <c r="P324" s="663"/>
      <c r="Q324" s="601"/>
      <c r="R324" s="666">
        <f t="shared" ref="R324" si="12">$A324*Q324</f>
        <v>0</v>
      </c>
      <c r="S324" s="601"/>
      <c r="T324" s="1307">
        <f t="shared" ref="T324" si="13">$A324*S324*$T$1</f>
        <v>0</v>
      </c>
    </row>
    <row r="325" spans="1:41" s="602" customFormat="1" ht="12.6" thickBot="1">
      <c r="A325" s="1315" t="s">
        <v>145</v>
      </c>
      <c r="B325" s="1316">
        <f>(R324+T324)</f>
        <v>0</v>
      </c>
      <c r="C325" s="1317"/>
      <c r="D325" s="1317"/>
      <c r="E325" s="1317"/>
      <c r="F325" s="1318"/>
      <c r="G325" s="1317" t="s">
        <v>146</v>
      </c>
      <c r="H325" s="1317"/>
      <c r="I325" s="1319"/>
      <c r="J325" s="1317"/>
      <c r="K325" s="1317" t="s">
        <v>10</v>
      </c>
      <c r="L325" s="1320" t="s">
        <v>143</v>
      </c>
      <c r="M325" s="1320"/>
      <c r="N325" s="1320"/>
      <c r="O325" s="1320"/>
      <c r="P325" s="1320"/>
      <c r="Q325" s="1321"/>
      <c r="R325" s="1322">
        <f>SUM(R322:R324)</f>
        <v>617.66</v>
      </c>
      <c r="S325" s="1317"/>
      <c r="T325" s="1323">
        <f>SUM(T322:T324)</f>
        <v>0</v>
      </c>
      <c r="U325" s="611"/>
      <c r="V325" s="611"/>
      <c r="W325" s="611"/>
      <c r="X325" s="611"/>
      <c r="Y325" s="611"/>
      <c r="Z325" s="611"/>
      <c r="AA325" s="611"/>
      <c r="AB325" s="611"/>
      <c r="AC325" s="611"/>
      <c r="AD325" s="611"/>
      <c r="AE325" s="611"/>
      <c r="AF325" s="611"/>
      <c r="AG325" s="611"/>
      <c r="AH325" s="611"/>
      <c r="AI325" s="611"/>
      <c r="AJ325" s="611"/>
      <c r="AK325" s="611"/>
      <c r="AL325" s="611"/>
      <c r="AM325" s="611"/>
      <c r="AN325" s="611"/>
      <c r="AO325" s="611"/>
    </row>
    <row r="326" spans="1:41" s="602" customFormat="1" ht="11.4">
      <c r="A326" s="1294"/>
      <c r="B326" s="1295"/>
      <c r="C326" s="1296"/>
      <c r="D326" s="1297"/>
      <c r="E326" s="1298" t="s">
        <v>138</v>
      </c>
      <c r="F326" s="1298" t="s">
        <v>139</v>
      </c>
      <c r="G326" s="1296"/>
      <c r="H326" s="1296"/>
      <c r="I326" s="1296"/>
      <c r="J326" s="1296"/>
      <c r="K326" s="1296" t="s">
        <v>140</v>
      </c>
      <c r="L326" s="1296"/>
      <c r="M326" s="1296"/>
      <c r="N326" s="1296"/>
      <c r="O326" s="1299"/>
      <c r="P326" s="1296"/>
      <c r="Q326" s="1296"/>
      <c r="R326" s="1296"/>
      <c r="S326" s="1296"/>
      <c r="T326" s="1300"/>
      <c r="AG326" s="667" t="s">
        <v>278</v>
      </c>
      <c r="AH326" s="667" t="s">
        <v>279</v>
      </c>
      <c r="AI326" s="667" t="s">
        <v>280</v>
      </c>
      <c r="AJ326" s="667" t="s">
        <v>281</v>
      </c>
      <c r="AK326" s="667" t="s">
        <v>282</v>
      </c>
      <c r="AM326" s="668" t="s">
        <v>291</v>
      </c>
      <c r="AN326" s="669" t="s">
        <v>292</v>
      </c>
      <c r="AO326" s="603" t="s">
        <v>288</v>
      </c>
    </row>
    <row r="327" spans="1:41" s="602" customFormat="1" ht="12" customHeight="1">
      <c r="A327" s="1301">
        <v>1</v>
      </c>
      <c r="B327" s="838" t="s">
        <v>312</v>
      </c>
      <c r="C327" s="672"/>
      <c r="D327" s="673" t="s">
        <v>1418</v>
      </c>
      <c r="E327" s="674">
        <f>IF(AND($A327=0,$A$1="DIF"),0, ROUND(ROUND(($R331*$S$2+($T331*$T$2))/A327,2)*$C$2,2))</f>
        <v>324.89999999999998</v>
      </c>
      <c r="F327" s="675">
        <f>ROUND($A327*$E327,2)</f>
        <v>324.89999999999998</v>
      </c>
      <c r="G327" s="676" t="s">
        <v>142</v>
      </c>
      <c r="H327" s="664"/>
      <c r="I327" s="677"/>
      <c r="J327" s="664"/>
      <c r="K327" s="664" t="s">
        <v>3</v>
      </c>
      <c r="L327" s="678" t="s">
        <v>143</v>
      </c>
      <c r="M327" s="678"/>
      <c r="N327" s="678"/>
      <c r="O327" s="678"/>
      <c r="P327" s="678"/>
      <c r="Q327" s="63"/>
      <c r="T327" s="1302" t="str">
        <f>IF(AND($R331=0,$T331=0),"0.00","mu :" &amp; ROUND($F327/$C$2/($R331+$T331*$D$9),2))</f>
        <v>mu :1.35</v>
      </c>
      <c r="W327" s="604"/>
      <c r="AG327" s="549">
        <f>IF($E327=0,0,ROUND($R331*$S$2*$C$2/$A327,2))</f>
        <v>0</v>
      </c>
      <c r="AH327" s="549">
        <f>$AG327*$A327</f>
        <v>0</v>
      </c>
      <c r="AI327" s="605">
        <f>$E327-$AG327</f>
        <v>324.89999999999998</v>
      </c>
      <c r="AJ327" s="605">
        <f>$A327*$AI327</f>
        <v>324.89999999999998</v>
      </c>
      <c r="AK327" s="606">
        <f>ROUND(($AG327+$AI327)*$A327,2)</f>
        <v>324.89999999999998</v>
      </c>
      <c r="AM327" s="607">
        <f>ROUND(R331,2)</f>
        <v>0</v>
      </c>
      <c r="AN327" s="608">
        <f>ROUND(T331,2)</f>
        <v>9</v>
      </c>
      <c r="AO327" s="609">
        <f>ROUND(AM327+AN327,2)*A327</f>
        <v>9</v>
      </c>
    </row>
    <row r="328" spans="1:41" s="602" customFormat="1" ht="13.2" customHeight="1">
      <c r="A328" s="1303"/>
      <c r="B328"/>
      <c r="C328" s="672"/>
      <c r="D328" s="1368" t="s">
        <v>1167</v>
      </c>
      <c r="E328" s="1369"/>
      <c r="F328" s="1369"/>
      <c r="G328" s="1369"/>
      <c r="H328" s="1369"/>
      <c r="I328" s="1369"/>
      <c r="J328" s="1369"/>
      <c r="K328" s="1369"/>
      <c r="L328" s="1369"/>
      <c r="M328" s="1369"/>
      <c r="N328" s="1369"/>
      <c r="O328" s="1369"/>
      <c r="P328" s="1369"/>
      <c r="Q328" s="1369"/>
      <c r="R328" s="1369"/>
      <c r="S328" s="1369"/>
      <c r="T328" s="1370"/>
    </row>
    <row r="329" spans="1:41" s="730" customFormat="1" ht="13.2">
      <c r="A329" s="1304">
        <v>1</v>
      </c>
      <c r="B329" s="730" t="s">
        <v>312</v>
      </c>
      <c r="D329" s="730" t="s">
        <v>735</v>
      </c>
      <c r="E329" s="730" t="s">
        <v>1390</v>
      </c>
      <c r="G329" s="731" t="s">
        <v>736</v>
      </c>
      <c r="H329" s="732">
        <v>901</v>
      </c>
      <c r="I329" s="730" t="s">
        <v>686</v>
      </c>
      <c r="O329" s="733">
        <v>1</v>
      </c>
      <c r="P329" s="734">
        <v>40613</v>
      </c>
      <c r="Q329" s="735"/>
      <c r="R329" s="736">
        <f>$A329*Q329</f>
        <v>0</v>
      </c>
      <c r="S329" s="735">
        <f>ROUND(80/9840*Q335,)</f>
        <v>9</v>
      </c>
      <c r="T329" s="1305">
        <f>$A329*S329*$T$1</f>
        <v>9</v>
      </c>
    </row>
    <row r="330" spans="1:41" s="602" customFormat="1" ht="12">
      <c r="A330" s="1306"/>
      <c r="B330" s="663"/>
      <c r="C330" s="663"/>
      <c r="D330" s="663"/>
      <c r="E330" s="663"/>
      <c r="F330" s="664"/>
      <c r="G330" s="663"/>
      <c r="H330" s="663"/>
      <c r="I330" s="601"/>
      <c r="J330" s="663"/>
      <c r="K330" s="663"/>
      <c r="L330" s="663"/>
      <c r="M330" s="663"/>
      <c r="N330" s="663"/>
      <c r="O330" s="663"/>
      <c r="P330" s="663"/>
      <c r="Q330" s="601"/>
      <c r="R330" s="666">
        <f t="shared" ref="R330" si="14">$A330*Q330</f>
        <v>0</v>
      </c>
      <c r="S330" s="601"/>
      <c r="T330" s="1307">
        <f t="shared" ref="T330" si="15">$A330*S330*$T$1</f>
        <v>0</v>
      </c>
    </row>
    <row r="331" spans="1:41" s="602" customFormat="1" ht="12.6" thickBot="1">
      <c r="A331" s="1308" t="s">
        <v>145</v>
      </c>
      <c r="B331" s="683">
        <f>(R330+T330)</f>
        <v>0</v>
      </c>
      <c r="C331" s="684"/>
      <c r="D331" s="684"/>
      <c r="E331" s="684"/>
      <c r="F331" s="685"/>
      <c r="G331" s="684" t="s">
        <v>146</v>
      </c>
      <c r="H331" s="684"/>
      <c r="I331" s="686"/>
      <c r="J331" s="684"/>
      <c r="K331" s="684" t="s">
        <v>3</v>
      </c>
      <c r="L331" s="687" t="s">
        <v>143</v>
      </c>
      <c r="M331" s="687"/>
      <c r="N331" s="687"/>
      <c r="O331" s="687"/>
      <c r="P331" s="687"/>
      <c r="Q331" s="688"/>
      <c r="R331" s="689">
        <f>SUM(R328:R330)</f>
        <v>0</v>
      </c>
      <c r="S331" s="684"/>
      <c r="T331" s="1309">
        <f>SUM(T328:T330)</f>
        <v>9</v>
      </c>
      <c r="U331" s="611"/>
      <c r="V331" s="611"/>
      <c r="W331" s="611"/>
      <c r="X331" s="611"/>
      <c r="Y331" s="611"/>
      <c r="Z331" s="611"/>
      <c r="AA331" s="611"/>
      <c r="AB331" s="611"/>
      <c r="AC331" s="611"/>
      <c r="AD331" s="611"/>
      <c r="AE331" s="611"/>
      <c r="AF331" s="611"/>
      <c r="AG331" s="611"/>
      <c r="AH331" s="611"/>
      <c r="AI331" s="611"/>
      <c r="AJ331" s="611"/>
      <c r="AK331" s="611"/>
      <c r="AL331" s="611"/>
      <c r="AM331" s="611"/>
      <c r="AN331" s="611"/>
      <c r="AO331" s="611"/>
    </row>
    <row r="332" spans="1:41" s="602" customFormat="1" ht="12" thickTop="1">
      <c r="A332" s="1310"/>
      <c r="B332" s="41"/>
      <c r="C332" s="63"/>
      <c r="E332" s="42" t="s">
        <v>138</v>
      </c>
      <c r="F332" s="42" t="s">
        <v>139</v>
      </c>
      <c r="G332" s="63"/>
      <c r="H332" s="63"/>
      <c r="I332" s="63"/>
      <c r="J332" s="63"/>
      <c r="K332" s="63" t="s">
        <v>140</v>
      </c>
      <c r="L332" s="63"/>
      <c r="M332" s="63"/>
      <c r="N332" s="63"/>
      <c r="O332" s="64"/>
      <c r="P332" s="63"/>
      <c r="Q332" s="63"/>
      <c r="R332" s="63"/>
      <c r="S332" s="63"/>
      <c r="T332" s="1311"/>
      <c r="AG332" s="667" t="s">
        <v>278</v>
      </c>
      <c r="AH332" s="667" t="s">
        <v>279</v>
      </c>
      <c r="AI332" s="667" t="s">
        <v>280</v>
      </c>
      <c r="AJ332" s="667" t="s">
        <v>281</v>
      </c>
      <c r="AK332" s="667" t="s">
        <v>282</v>
      </c>
      <c r="AM332" s="668" t="s">
        <v>291</v>
      </c>
      <c r="AN332" s="669" t="s">
        <v>292</v>
      </c>
      <c r="AO332" s="603" t="s">
        <v>288</v>
      </c>
    </row>
    <row r="333" spans="1:41" s="602" customFormat="1" ht="12" customHeight="1">
      <c r="A333" s="1301">
        <v>1</v>
      </c>
      <c r="B333" s="838" t="s">
        <v>312</v>
      </c>
      <c r="C333" s="672"/>
      <c r="D333" s="673" t="s">
        <v>1419</v>
      </c>
      <c r="E333" s="1237">
        <f>IF(AND($A333=0,$A$1="DIF"),0, ROUND(ROUND(($R337*$S$5+($T337*$T$5))/$A333,2)*$C$5,2))</f>
        <v>1074.31</v>
      </c>
      <c r="F333" s="1238">
        <f>ROUND($A333*$E333,2)</f>
        <v>1074.31</v>
      </c>
      <c r="G333" s="676" t="s">
        <v>142</v>
      </c>
      <c r="H333" s="664"/>
      <c r="I333" s="677"/>
      <c r="J333" s="664"/>
      <c r="K333" s="664" t="s">
        <v>10</v>
      </c>
      <c r="L333" s="678" t="s">
        <v>143</v>
      </c>
      <c r="M333" s="678"/>
      <c r="N333" s="678"/>
      <c r="O333" s="678"/>
      <c r="P333" s="678"/>
      <c r="Q333" s="63"/>
      <c r="T333" s="1312" t="str">
        <f>IF(AND($R337=0,$T337=0),"0.00","mu: "&amp; ROUND(F333/$C$5/($R337+$T337*$D$9),2))</f>
        <v>mu: 1</v>
      </c>
      <c r="W333" s="604"/>
      <c r="AG333" s="1239">
        <f>IF($E333=0,0,ROUND($R337*$S$5*$C$5/$A333,2))</f>
        <v>1074.31</v>
      </c>
      <c r="AH333" s="1239">
        <f>$AG333*$A333</f>
        <v>1074.31</v>
      </c>
      <c r="AI333" s="1240">
        <f>$E333-$AG333</f>
        <v>0</v>
      </c>
      <c r="AJ333" s="1240">
        <f>$A333*$AI333</f>
        <v>0</v>
      </c>
      <c r="AK333" s="1241">
        <f>ROUND(($AG333+$AI333)*$A333,2)</f>
        <v>1074.31</v>
      </c>
      <c r="AM333" s="607">
        <f>ROUND(R337,2)</f>
        <v>1074.31</v>
      </c>
      <c r="AN333" s="608">
        <f>ROUND(T337,2)</f>
        <v>0</v>
      </c>
      <c r="AO333" s="609">
        <f>ROUND(AM333+AN333,2)*A333</f>
        <v>1074.31</v>
      </c>
    </row>
    <row r="334" spans="1:41" s="602" customFormat="1" ht="13.2" customHeight="1">
      <c r="A334" s="1303"/>
      <c r="B334"/>
      <c r="C334" s="672"/>
      <c r="D334" s="1368" t="s">
        <v>1167</v>
      </c>
      <c r="E334" s="1369"/>
      <c r="F334" s="1369"/>
      <c r="G334" s="1369"/>
      <c r="H334" s="1369"/>
      <c r="I334" s="1369"/>
      <c r="J334" s="1369"/>
      <c r="K334" s="1369"/>
      <c r="L334" s="1369"/>
      <c r="M334" s="1369"/>
      <c r="N334" s="1369"/>
      <c r="O334" s="1369"/>
      <c r="P334" s="1369"/>
      <c r="Q334" s="1369"/>
      <c r="R334" s="1369"/>
      <c r="S334" s="1369"/>
      <c r="T334" s="1370"/>
    </row>
    <row r="335" spans="1:41" s="730" customFormat="1" ht="13.2">
      <c r="A335" s="1313">
        <v>1</v>
      </c>
      <c r="B335" s="740" t="s">
        <v>312</v>
      </c>
      <c r="C335" s="740"/>
      <c r="D335" s="740" t="s">
        <v>1175</v>
      </c>
      <c r="E335" s="740"/>
      <c r="F335" s="749" t="s">
        <v>1177</v>
      </c>
      <c r="G335" s="741" t="s">
        <v>1176</v>
      </c>
      <c r="H335" s="1002">
        <v>960</v>
      </c>
      <c r="I335" s="740" t="s">
        <v>686</v>
      </c>
      <c r="J335" s="740"/>
      <c r="K335" s="740"/>
      <c r="L335" s="740"/>
      <c r="M335" s="740"/>
      <c r="N335" s="740"/>
      <c r="O335" s="744">
        <v>4</v>
      </c>
      <c r="P335" s="745">
        <v>38594</v>
      </c>
      <c r="Q335" s="746">
        <v>1074.31</v>
      </c>
      <c r="R335" s="747">
        <f>$A335*Q335</f>
        <v>1074.31</v>
      </c>
      <c r="S335" s="746"/>
      <c r="T335" s="1314">
        <f>$A335*S335*$T$1</f>
        <v>0</v>
      </c>
    </row>
    <row r="336" spans="1:41" s="602" customFormat="1" ht="12">
      <c r="A336" s="1306"/>
      <c r="B336" s="663"/>
      <c r="C336" s="663"/>
      <c r="D336" s="663"/>
      <c r="E336" s="663"/>
      <c r="F336" s="664"/>
      <c r="G336" s="663"/>
      <c r="H336" s="663"/>
      <c r="I336" s="601"/>
      <c r="J336" s="663"/>
      <c r="K336" s="663"/>
      <c r="L336" s="663"/>
      <c r="M336" s="663"/>
      <c r="N336" s="663"/>
      <c r="O336" s="663"/>
      <c r="P336" s="663"/>
      <c r="Q336" s="601"/>
      <c r="R336" s="666">
        <f t="shared" ref="R336" si="16">$A336*Q336</f>
        <v>0</v>
      </c>
      <c r="S336" s="601"/>
      <c r="T336" s="1307">
        <f t="shared" ref="T336" si="17">$A336*S336*$T$1</f>
        <v>0</v>
      </c>
    </row>
    <row r="337" spans="1:41" s="602" customFormat="1" ht="12.6" thickBot="1">
      <c r="A337" s="1315" t="s">
        <v>145</v>
      </c>
      <c r="B337" s="1316">
        <f>(R336+T336)</f>
        <v>0</v>
      </c>
      <c r="C337" s="1317"/>
      <c r="D337" s="1317"/>
      <c r="E337" s="1317"/>
      <c r="F337" s="1318"/>
      <c r="G337" s="1317" t="s">
        <v>146</v>
      </c>
      <c r="H337" s="1317"/>
      <c r="I337" s="1319"/>
      <c r="J337" s="1317"/>
      <c r="K337" s="1317" t="s">
        <v>10</v>
      </c>
      <c r="L337" s="1320" t="s">
        <v>143</v>
      </c>
      <c r="M337" s="1320"/>
      <c r="N337" s="1320"/>
      <c r="O337" s="1320"/>
      <c r="P337" s="1320"/>
      <c r="Q337" s="1321"/>
      <c r="R337" s="1322">
        <f>SUM(R334:R336)</f>
        <v>1074.31</v>
      </c>
      <c r="S337" s="1317"/>
      <c r="T337" s="1323">
        <f>SUM(T334:T336)</f>
        <v>0</v>
      </c>
      <c r="U337" s="611"/>
      <c r="V337" s="611"/>
      <c r="W337" s="611"/>
      <c r="X337" s="611"/>
      <c r="Y337" s="611"/>
      <c r="Z337" s="611"/>
      <c r="AA337" s="611"/>
      <c r="AB337" s="611"/>
      <c r="AC337" s="611"/>
      <c r="AD337" s="611"/>
      <c r="AE337" s="611"/>
      <c r="AF337" s="611"/>
      <c r="AG337" s="611"/>
      <c r="AH337" s="611"/>
      <c r="AI337" s="611"/>
      <c r="AJ337" s="611"/>
      <c r="AK337" s="611"/>
      <c r="AL337" s="611"/>
      <c r="AM337" s="611"/>
      <c r="AN337" s="611"/>
      <c r="AO337" s="611"/>
    </row>
    <row r="338" spans="1:41" s="602" customFormat="1" ht="11.4">
      <c r="A338" s="51" t="s">
        <v>154</v>
      </c>
      <c r="D338" s="13"/>
      <c r="E338" s="42"/>
      <c r="O338" s="698"/>
    </row>
    <row r="339" spans="1:41" s="602" customFormat="1" ht="13.2">
      <c r="B339" s="3"/>
      <c r="O339" s="698"/>
    </row>
    <row r="340" spans="1:41" s="602" customFormat="1" ht="12">
      <c r="B340" s="699">
        <f>$F340/$C$2-($R340*$S$2+$T340*$T$2)</f>
        <v>-5708.2538719130534</v>
      </c>
      <c r="D340" s="700" t="s">
        <v>412</v>
      </c>
      <c r="E340" s="701"/>
      <c r="F340" s="702">
        <f>SUMIF($L270:$L338,"ITEM",F270:F338)</f>
        <v>19003.540000000005</v>
      </c>
      <c r="G340" s="663"/>
      <c r="H340" s="663"/>
      <c r="I340" s="601"/>
      <c r="J340" s="663"/>
      <c r="K340" s="663"/>
      <c r="L340" s="678" t="s">
        <v>166</v>
      </c>
      <c r="M340" s="678"/>
      <c r="N340" s="678"/>
      <c r="O340" s="678"/>
      <c r="P340" s="678"/>
      <c r="R340" s="702">
        <f>SUMIF($L270:$L338,"ITEM",R270:R338)</f>
        <v>17667.860000000004</v>
      </c>
      <c r="S340" s="71"/>
      <c r="T340" s="702">
        <f>SUMIF($L270:$L338,"ITEM",T270:T338)</f>
        <v>37</v>
      </c>
    </row>
    <row r="341" spans="1:41" s="602" customFormat="1" ht="13.2">
      <c r="A341" s="63"/>
      <c r="B341" s="55" t="s">
        <v>413</v>
      </c>
      <c r="C341" s="63"/>
      <c r="D341" s="3"/>
      <c r="F341" s="703" t="s">
        <v>168</v>
      </c>
      <c r="G341" s="663"/>
      <c r="H341" s="663"/>
      <c r="I341" s="601"/>
      <c r="J341" s="663"/>
      <c r="K341" s="663"/>
      <c r="L341" s="663"/>
      <c r="M341" s="663"/>
      <c r="N341" s="663"/>
      <c r="O341" s="663"/>
      <c r="P341" s="663"/>
      <c r="Q341" s="665"/>
      <c r="R341" s="703" t="s">
        <v>169</v>
      </c>
      <c r="S341" s="38"/>
      <c r="T341" s="703" t="s">
        <v>170</v>
      </c>
    </row>
    <row r="342" spans="1:41" s="602" customFormat="1" ht="13.2">
      <c r="A342" s="663"/>
      <c r="B342" s="3"/>
      <c r="C342" s="663"/>
      <c r="D342" s="3"/>
      <c r="E342" s="3"/>
      <c r="G342" s="3"/>
      <c r="H342" s="3"/>
      <c r="I342" s="3"/>
      <c r="J342" s="3"/>
      <c r="K342" s="3"/>
      <c r="L342" s="3"/>
      <c r="M342" s="3"/>
      <c r="N342" s="3"/>
      <c r="O342" s="158"/>
      <c r="P342" s="3"/>
      <c r="Q342" s="3"/>
      <c r="R342" s="3"/>
      <c r="S342" s="3"/>
      <c r="T342" s="3"/>
    </row>
    <row r="343" spans="1:41" s="602" customFormat="1" ht="12" thickBot="1">
      <c r="B343" s="663"/>
      <c r="C343" s="663"/>
      <c r="E343" s="63"/>
      <c r="F343" s="1324"/>
      <c r="G343" s="663"/>
      <c r="H343" s="663"/>
      <c r="I343" s="601"/>
      <c r="J343" s="663"/>
      <c r="K343" s="663"/>
      <c r="L343" s="802"/>
      <c r="M343" s="802"/>
      <c r="N343" s="802"/>
      <c r="O343" s="802"/>
      <c r="P343" s="802"/>
      <c r="Q343" s="665"/>
      <c r="R343" s="1324"/>
      <c r="S343" s="71"/>
      <c r="T343" s="1324"/>
      <c r="U343" s="611"/>
      <c r="V343" s="611"/>
      <c r="W343" s="611"/>
      <c r="X343" s="611"/>
      <c r="Y343" s="611"/>
      <c r="Z343" s="611"/>
      <c r="AA343" s="611"/>
      <c r="AB343" s="611"/>
      <c r="AC343" s="611"/>
      <c r="AD343" s="611"/>
      <c r="AE343" s="611"/>
      <c r="AF343" s="611"/>
      <c r="AG343" s="611"/>
      <c r="AH343" s="611"/>
      <c r="AI343" s="611"/>
      <c r="AJ343" s="611"/>
      <c r="AK343" s="611"/>
    </row>
    <row r="344" spans="1:41" s="602" customFormat="1" ht="12" thickTop="1">
      <c r="A344" s="1294"/>
      <c r="B344" s="1295"/>
      <c r="C344" s="1296"/>
      <c r="D344" s="1297"/>
      <c r="E344" s="1298" t="s">
        <v>138</v>
      </c>
      <c r="F344" s="1298" t="s">
        <v>139</v>
      </c>
      <c r="G344" s="1296"/>
      <c r="H344" s="1296"/>
      <c r="I344" s="1296"/>
      <c r="J344" s="1296"/>
      <c r="K344" s="1296" t="s">
        <v>140</v>
      </c>
      <c r="L344" s="1296"/>
      <c r="M344" s="1296"/>
      <c r="N344" s="1296"/>
      <c r="O344" s="1299"/>
      <c r="P344" s="1296"/>
      <c r="Q344" s="1296"/>
      <c r="R344" s="1296"/>
      <c r="S344" s="1296"/>
      <c r="T344" s="1300"/>
      <c r="AG344" s="667" t="s">
        <v>278</v>
      </c>
      <c r="AH344" s="667" t="s">
        <v>279</v>
      </c>
      <c r="AI344" s="667" t="s">
        <v>280</v>
      </c>
      <c r="AJ344" s="667" t="s">
        <v>281</v>
      </c>
      <c r="AK344" s="667" t="s">
        <v>282</v>
      </c>
      <c r="AM344" s="668" t="s">
        <v>291</v>
      </c>
      <c r="AN344" s="669" t="s">
        <v>292</v>
      </c>
      <c r="AO344" s="603" t="s">
        <v>288</v>
      </c>
    </row>
    <row r="345" spans="1:41" s="602" customFormat="1" ht="12" customHeight="1">
      <c r="A345" s="1301">
        <v>1</v>
      </c>
      <c r="B345" s="838" t="s">
        <v>312</v>
      </c>
      <c r="C345" s="672"/>
      <c r="D345" s="673" t="s">
        <v>1420</v>
      </c>
      <c r="E345" s="674">
        <f>IF(AND($A345=0,$A$1="DIF"),0, ROUND(ROUND(($R349*$S$2+($T349*$T$2))/A345,2)*$C$2,2))</f>
        <v>360.99</v>
      </c>
      <c r="F345" s="675">
        <f>ROUND($A345*$E345,2)</f>
        <v>360.99</v>
      </c>
      <c r="G345" s="676" t="s">
        <v>142</v>
      </c>
      <c r="H345" s="664"/>
      <c r="I345" s="677"/>
      <c r="J345" s="664"/>
      <c r="K345" s="664" t="s">
        <v>3</v>
      </c>
      <c r="L345" s="678" t="s">
        <v>143</v>
      </c>
      <c r="M345" s="678"/>
      <c r="N345" s="678"/>
      <c r="O345" s="678"/>
      <c r="P345" s="678"/>
      <c r="Q345" s="63"/>
      <c r="T345" s="1302" t="str">
        <f>IF(AND($R349=0,$T349=0),"0.00","mu :" &amp; ROUND($F345/$C$2/($R349+$T349*$D$9),2))</f>
        <v>mu :1.35</v>
      </c>
      <c r="W345" s="604"/>
      <c r="AG345" s="549">
        <f>IF($E345=0,0,ROUND($R349*$S$2*$C$2/$A345,2))</f>
        <v>0</v>
      </c>
      <c r="AH345" s="549">
        <f>$AG345*$A345</f>
        <v>0</v>
      </c>
      <c r="AI345" s="605">
        <f>$E345-$AG345</f>
        <v>360.99</v>
      </c>
      <c r="AJ345" s="605">
        <f>$A345*$AI345</f>
        <v>360.99</v>
      </c>
      <c r="AK345" s="606">
        <f>ROUND(($AG345+$AI345)*$A345,2)</f>
        <v>360.99</v>
      </c>
      <c r="AM345" s="607">
        <f>ROUND(R349,2)</f>
        <v>0</v>
      </c>
      <c r="AN345" s="608">
        <f>ROUND(T349,2)</f>
        <v>10</v>
      </c>
      <c r="AO345" s="609">
        <f>ROUND(AM345+AN345,2)*A345</f>
        <v>10</v>
      </c>
    </row>
    <row r="346" spans="1:41" s="602" customFormat="1" ht="13.2" customHeight="1">
      <c r="A346" s="1303"/>
      <c r="B346"/>
      <c r="C346" s="672"/>
      <c r="D346" s="1368" t="s">
        <v>1168</v>
      </c>
      <c r="E346" s="1369"/>
      <c r="F346" s="1369"/>
      <c r="G346" s="1369"/>
      <c r="H346" s="1369"/>
      <c r="I346" s="1369"/>
      <c r="J346" s="1369"/>
      <c r="K346" s="1369"/>
      <c r="L346" s="1369"/>
      <c r="M346" s="1369"/>
      <c r="N346" s="1369"/>
      <c r="O346" s="1369"/>
      <c r="P346" s="1369"/>
      <c r="Q346" s="1369"/>
      <c r="R346" s="1369"/>
      <c r="S346" s="1369"/>
      <c r="T346" s="1370"/>
    </row>
    <row r="347" spans="1:41" s="730" customFormat="1" ht="13.2">
      <c r="A347" s="1304">
        <v>1</v>
      </c>
      <c r="B347" s="730" t="s">
        <v>312</v>
      </c>
      <c r="D347" s="730" t="s">
        <v>735</v>
      </c>
      <c r="E347" s="730" t="s">
        <v>1390</v>
      </c>
      <c r="G347" s="731" t="s">
        <v>736</v>
      </c>
      <c r="H347" s="732">
        <v>901</v>
      </c>
      <c r="I347" s="730" t="s">
        <v>686</v>
      </c>
      <c r="O347" s="733">
        <v>1</v>
      </c>
      <c r="P347" s="734">
        <v>40613</v>
      </c>
      <c r="Q347" s="735"/>
      <c r="R347" s="736">
        <f>$A347*Q347</f>
        <v>0</v>
      </c>
      <c r="S347" s="735">
        <f>ROUND(80/9840*Q353,)</f>
        <v>10</v>
      </c>
      <c r="T347" s="1305">
        <f>$A347*S347*$T$1</f>
        <v>10</v>
      </c>
    </row>
    <row r="348" spans="1:41" s="602" customFormat="1" ht="12">
      <c r="A348" s="1306"/>
      <c r="B348" s="663"/>
      <c r="C348" s="663"/>
      <c r="D348" s="663"/>
      <c r="E348" s="663"/>
      <c r="F348" s="664"/>
      <c r="G348" s="663"/>
      <c r="H348" s="663"/>
      <c r="I348" s="601"/>
      <c r="J348" s="663"/>
      <c r="K348" s="663"/>
      <c r="L348" s="663"/>
      <c r="M348" s="663"/>
      <c r="N348" s="663"/>
      <c r="O348" s="663"/>
      <c r="P348" s="663"/>
      <c r="Q348" s="601"/>
      <c r="R348" s="666">
        <f t="shared" ref="R348" si="18">$A348*Q348</f>
        <v>0</v>
      </c>
      <c r="S348" s="601"/>
      <c r="T348" s="1307">
        <f t="shared" ref="T348" si="19">$A348*S348*$T$1</f>
        <v>0</v>
      </c>
    </row>
    <row r="349" spans="1:41" s="602" customFormat="1" ht="12.6" thickBot="1">
      <c r="A349" s="1308" t="s">
        <v>145</v>
      </c>
      <c r="B349" s="683">
        <f>(R348+T348)</f>
        <v>0</v>
      </c>
      <c r="C349" s="684"/>
      <c r="D349" s="684"/>
      <c r="E349" s="684"/>
      <c r="F349" s="685"/>
      <c r="G349" s="684" t="s">
        <v>146</v>
      </c>
      <c r="H349" s="684"/>
      <c r="I349" s="686"/>
      <c r="J349" s="684"/>
      <c r="K349" s="684" t="s">
        <v>3</v>
      </c>
      <c r="L349" s="687" t="s">
        <v>143</v>
      </c>
      <c r="M349" s="687"/>
      <c r="N349" s="687"/>
      <c r="O349" s="687"/>
      <c r="P349" s="687"/>
      <c r="Q349" s="688"/>
      <c r="R349" s="689">
        <f>SUM(R346:R348)</f>
        <v>0</v>
      </c>
      <c r="S349" s="684"/>
      <c r="T349" s="1309">
        <f>SUM(T346:T348)</f>
        <v>10</v>
      </c>
      <c r="U349" s="611"/>
      <c r="V349" s="611"/>
      <c r="W349" s="611"/>
      <c r="X349" s="611"/>
      <c r="Y349" s="611"/>
      <c r="Z349" s="611"/>
      <c r="AA349" s="611"/>
      <c r="AB349" s="611"/>
      <c r="AC349" s="611"/>
      <c r="AD349" s="611"/>
      <c r="AE349" s="611"/>
      <c r="AF349" s="611"/>
      <c r="AG349" s="611"/>
      <c r="AH349" s="611"/>
      <c r="AI349" s="611"/>
      <c r="AJ349" s="611"/>
      <c r="AK349" s="611"/>
      <c r="AL349" s="611"/>
      <c r="AM349" s="611"/>
      <c r="AN349" s="611"/>
      <c r="AO349" s="611"/>
    </row>
    <row r="350" spans="1:41" s="602" customFormat="1" ht="12" thickTop="1">
      <c r="A350" s="1310"/>
      <c r="B350" s="41"/>
      <c r="C350" s="63"/>
      <c r="E350" s="42" t="s">
        <v>138</v>
      </c>
      <c r="F350" s="42" t="s">
        <v>139</v>
      </c>
      <c r="G350" s="63"/>
      <c r="H350" s="63"/>
      <c r="I350" s="63"/>
      <c r="J350" s="63"/>
      <c r="K350" s="63" t="s">
        <v>140</v>
      </c>
      <c r="L350" s="63"/>
      <c r="M350" s="63"/>
      <c r="N350" s="63"/>
      <c r="O350" s="64"/>
      <c r="P350" s="63"/>
      <c r="Q350" s="63"/>
      <c r="R350" s="63"/>
      <c r="S350" s="63"/>
      <c r="T350" s="1311"/>
      <c r="AG350" s="667" t="s">
        <v>278</v>
      </c>
      <c r="AH350" s="667" t="s">
        <v>279</v>
      </c>
      <c r="AI350" s="667" t="s">
        <v>280</v>
      </c>
      <c r="AJ350" s="667" t="s">
        <v>281</v>
      </c>
      <c r="AK350" s="667" t="s">
        <v>282</v>
      </c>
      <c r="AM350" s="668" t="s">
        <v>291</v>
      </c>
      <c r="AN350" s="669" t="s">
        <v>292</v>
      </c>
      <c r="AO350" s="603" t="s">
        <v>288</v>
      </c>
    </row>
    <row r="351" spans="1:41" s="602" customFormat="1" ht="12" customHeight="1">
      <c r="A351" s="1301">
        <v>1</v>
      </c>
      <c r="B351" s="838" t="s">
        <v>312</v>
      </c>
      <c r="C351" s="672"/>
      <c r="D351" s="673" t="s">
        <v>1421</v>
      </c>
      <c r="E351" s="1237">
        <f>IF(AND($A351=0,$A$1="DIF"),0, ROUND(ROUND(($R355*$S$5+($T355*$T$5))/$A351,2)*$C$5,2))</f>
        <v>1272.28</v>
      </c>
      <c r="F351" s="1238">
        <f>ROUND($A351*$E351,2)</f>
        <v>1272.28</v>
      </c>
      <c r="G351" s="676" t="s">
        <v>142</v>
      </c>
      <c r="H351" s="664"/>
      <c r="I351" s="677"/>
      <c r="J351" s="664"/>
      <c r="K351" s="664" t="s">
        <v>10</v>
      </c>
      <c r="L351" s="678" t="s">
        <v>143</v>
      </c>
      <c r="M351" s="678"/>
      <c r="N351" s="678"/>
      <c r="O351" s="678"/>
      <c r="P351" s="678"/>
      <c r="Q351" s="63"/>
      <c r="T351" s="1312" t="str">
        <f>IF(AND($R355=0,$T355=0),"0.00","mu: "&amp; ROUND(F351/$C$5/($R355+$T355*$D$9),2))</f>
        <v>mu: 1</v>
      </c>
      <c r="W351" s="604"/>
      <c r="AG351" s="1239">
        <f>IF($E351=0,0,ROUND($R355*$S$5*$C$5/$A351,2))</f>
        <v>1272.28</v>
      </c>
      <c r="AH351" s="1239">
        <f>$AG351*$A351</f>
        <v>1272.28</v>
      </c>
      <c r="AI351" s="1240">
        <f>$E351-$AG351</f>
        <v>0</v>
      </c>
      <c r="AJ351" s="1240">
        <f>$A351*$AI351</f>
        <v>0</v>
      </c>
      <c r="AK351" s="1241">
        <f>ROUND(($AG351+$AI351)*$A351,2)</f>
        <v>1272.28</v>
      </c>
      <c r="AM351" s="607">
        <f>ROUND(R355,2)</f>
        <v>1272.28</v>
      </c>
      <c r="AN351" s="608">
        <f>ROUND(T355,2)</f>
        <v>0</v>
      </c>
      <c r="AO351" s="609">
        <f>ROUND(AM351+AN351,2)*A351</f>
        <v>1272.28</v>
      </c>
    </row>
    <row r="352" spans="1:41" s="602" customFormat="1" ht="13.2" customHeight="1">
      <c r="A352" s="1303"/>
      <c r="B352"/>
      <c r="C352" s="672"/>
      <c r="D352" s="1368" t="s">
        <v>1168</v>
      </c>
      <c r="E352" s="1369"/>
      <c r="F352" s="1369"/>
      <c r="G352" s="1369"/>
      <c r="H352" s="1369"/>
      <c r="I352" s="1369"/>
      <c r="J352" s="1369"/>
      <c r="K352" s="1369"/>
      <c r="L352" s="1369"/>
      <c r="M352" s="1369"/>
      <c r="N352" s="1369"/>
      <c r="O352" s="1369"/>
      <c r="P352" s="1369"/>
      <c r="Q352" s="1369"/>
      <c r="R352" s="1369"/>
      <c r="S352" s="1369"/>
      <c r="T352" s="1370"/>
    </row>
    <row r="353" spans="1:41" s="730" customFormat="1" ht="13.2">
      <c r="A353" s="1313">
        <v>1</v>
      </c>
      <c r="B353" s="740" t="s">
        <v>312</v>
      </c>
      <c r="C353" s="740"/>
      <c r="D353" s="740" t="s">
        <v>1175</v>
      </c>
      <c r="E353" s="740"/>
      <c r="F353" s="749" t="s">
        <v>1177</v>
      </c>
      <c r="G353" s="741" t="s">
        <v>1176</v>
      </c>
      <c r="H353" s="1002">
        <v>960</v>
      </c>
      <c r="I353" s="740" t="s">
        <v>686</v>
      </c>
      <c r="J353" s="740"/>
      <c r="K353" s="740"/>
      <c r="L353" s="740"/>
      <c r="M353" s="740"/>
      <c r="N353" s="740"/>
      <c r="O353" s="744">
        <v>4</v>
      </c>
      <c r="P353" s="745">
        <v>38594</v>
      </c>
      <c r="Q353" s="746">
        <v>1272.28</v>
      </c>
      <c r="R353" s="747">
        <f>$A353*Q353</f>
        <v>1272.28</v>
      </c>
      <c r="S353" s="746"/>
      <c r="T353" s="1314">
        <f>$A353*S353*$T$1</f>
        <v>0</v>
      </c>
    </row>
    <row r="354" spans="1:41" s="602" customFormat="1" ht="12">
      <c r="A354" s="1306"/>
      <c r="B354" s="663"/>
      <c r="C354" s="663"/>
      <c r="D354" s="663"/>
      <c r="E354" s="663"/>
      <c r="F354" s="664"/>
      <c r="G354" s="663"/>
      <c r="H354" s="663"/>
      <c r="I354" s="601"/>
      <c r="J354" s="663"/>
      <c r="K354" s="663"/>
      <c r="L354" s="663"/>
      <c r="M354" s="663"/>
      <c r="N354" s="663"/>
      <c r="O354" s="663"/>
      <c r="P354" s="663"/>
      <c r="Q354" s="601"/>
      <c r="R354" s="666">
        <f t="shared" ref="R354" si="20">$A354*Q354</f>
        <v>0</v>
      </c>
      <c r="S354" s="601"/>
      <c r="T354" s="1307">
        <f t="shared" ref="T354" si="21">$A354*S354*$T$1</f>
        <v>0</v>
      </c>
    </row>
    <row r="355" spans="1:41" s="602" customFormat="1" ht="12.6" thickBot="1">
      <c r="A355" s="1315" t="s">
        <v>145</v>
      </c>
      <c r="B355" s="1316">
        <f>(R354+T354)</f>
        <v>0</v>
      </c>
      <c r="C355" s="1317"/>
      <c r="D355" s="1317"/>
      <c r="E355" s="1317"/>
      <c r="F355" s="1318"/>
      <c r="G355" s="1317" t="s">
        <v>146</v>
      </c>
      <c r="H355" s="1317"/>
      <c r="I355" s="1319"/>
      <c r="J355" s="1317"/>
      <c r="K355" s="1317" t="s">
        <v>10</v>
      </c>
      <c r="L355" s="1320" t="s">
        <v>143</v>
      </c>
      <c r="M355" s="1320"/>
      <c r="N355" s="1320"/>
      <c r="O355" s="1320"/>
      <c r="P355" s="1320"/>
      <c r="Q355" s="1321"/>
      <c r="R355" s="1322">
        <f>SUM(R352:R354)</f>
        <v>1272.28</v>
      </c>
      <c r="S355" s="1317"/>
      <c r="T355" s="1323">
        <f>SUM(T352:T354)</f>
        <v>0</v>
      </c>
      <c r="U355" s="611"/>
      <c r="V355" s="611"/>
      <c r="W355" s="611"/>
      <c r="X355" s="611"/>
      <c r="Y355" s="611"/>
      <c r="Z355" s="611"/>
      <c r="AA355" s="611"/>
      <c r="AB355" s="611"/>
      <c r="AC355" s="611"/>
      <c r="AD355" s="611"/>
      <c r="AE355" s="611"/>
      <c r="AF355" s="611"/>
      <c r="AG355" s="611"/>
      <c r="AH355" s="611"/>
      <c r="AI355" s="611"/>
      <c r="AJ355" s="611"/>
      <c r="AK355" s="611"/>
      <c r="AL355" s="611"/>
      <c r="AM355" s="611"/>
      <c r="AN355" s="611"/>
      <c r="AO355" s="611"/>
    </row>
    <row r="356" spans="1:41" s="602" customFormat="1" ht="11.4">
      <c r="A356" s="1294"/>
      <c r="B356" s="1295"/>
      <c r="C356" s="1296"/>
      <c r="D356" s="1297"/>
      <c r="E356" s="1298" t="s">
        <v>138</v>
      </c>
      <c r="F356" s="1298" t="s">
        <v>139</v>
      </c>
      <c r="G356" s="1296"/>
      <c r="H356" s="1296"/>
      <c r="I356" s="1296"/>
      <c r="J356" s="1296"/>
      <c r="K356" s="1296" t="s">
        <v>140</v>
      </c>
      <c r="L356" s="1296"/>
      <c r="M356" s="1296"/>
      <c r="N356" s="1296"/>
      <c r="O356" s="1299"/>
      <c r="P356" s="1296"/>
      <c r="Q356" s="1296"/>
      <c r="R356" s="1296"/>
      <c r="S356" s="1296"/>
      <c r="T356" s="1300"/>
      <c r="AG356" s="667" t="s">
        <v>278</v>
      </c>
      <c r="AH356" s="667" t="s">
        <v>279</v>
      </c>
      <c r="AI356" s="667" t="s">
        <v>280</v>
      </c>
      <c r="AJ356" s="667" t="s">
        <v>281</v>
      </c>
      <c r="AK356" s="667" t="s">
        <v>282</v>
      </c>
      <c r="AM356" s="668" t="s">
        <v>291</v>
      </c>
      <c r="AN356" s="669" t="s">
        <v>292</v>
      </c>
      <c r="AO356" s="603" t="s">
        <v>288</v>
      </c>
    </row>
    <row r="357" spans="1:41" s="602" customFormat="1" ht="12" customHeight="1">
      <c r="A357" s="1301">
        <v>1</v>
      </c>
      <c r="B357" s="838" t="s">
        <v>312</v>
      </c>
      <c r="C357" s="672"/>
      <c r="D357" s="673" t="s">
        <v>1422</v>
      </c>
      <c r="E357" s="674">
        <f>IF(AND($A357=0,$A$1="DIF"),0, ROUND(ROUND(($R361*$S$2+($T361*$T$2))/A357,2)*$C$2,2))</f>
        <v>180.5</v>
      </c>
      <c r="F357" s="675">
        <f>ROUND($A357*$E357,2)</f>
        <v>180.5</v>
      </c>
      <c r="G357" s="676" t="s">
        <v>142</v>
      </c>
      <c r="H357" s="664"/>
      <c r="I357" s="677"/>
      <c r="J357" s="664"/>
      <c r="K357" s="664" t="s">
        <v>3</v>
      </c>
      <c r="L357" s="678" t="s">
        <v>143</v>
      </c>
      <c r="M357" s="678"/>
      <c r="N357" s="678"/>
      <c r="O357" s="678"/>
      <c r="P357" s="678"/>
      <c r="Q357" s="63"/>
      <c r="T357" s="1302" t="str">
        <f>IF(AND($R361=0,$T361=0),"0.00","mu :" &amp; ROUND($F357/$C$2/($R361+$T361*$D$9),2))</f>
        <v>mu :1.35</v>
      </c>
      <c r="W357" s="604"/>
      <c r="AG357" s="549">
        <f>IF($E357=0,0,ROUND($R361*$S$2*$C$2/$A357,2))</f>
        <v>0</v>
      </c>
      <c r="AH357" s="549">
        <f>$AG357*$A357</f>
        <v>0</v>
      </c>
      <c r="AI357" s="605">
        <f>$E357-$AG357</f>
        <v>180.5</v>
      </c>
      <c r="AJ357" s="605">
        <f>$A357*$AI357</f>
        <v>180.5</v>
      </c>
      <c r="AK357" s="606">
        <f>ROUND(($AG357+$AI357)*$A357,2)</f>
        <v>180.5</v>
      </c>
      <c r="AM357" s="607">
        <f>ROUND(R361,2)</f>
        <v>0</v>
      </c>
      <c r="AN357" s="608">
        <f>ROUND(T361,2)</f>
        <v>5</v>
      </c>
      <c r="AO357" s="609">
        <f>ROUND(AM357+AN357,2)*A357</f>
        <v>5</v>
      </c>
    </row>
    <row r="358" spans="1:41" s="602" customFormat="1" ht="13.2" customHeight="1">
      <c r="A358" s="1303"/>
      <c r="B358"/>
      <c r="C358" s="672"/>
      <c r="D358" s="1368" t="s">
        <v>1169</v>
      </c>
      <c r="E358" s="1369"/>
      <c r="F358" s="1369"/>
      <c r="G358" s="1369"/>
      <c r="H358" s="1369"/>
      <c r="I358" s="1369"/>
      <c r="J358" s="1369"/>
      <c r="K358" s="1369"/>
      <c r="L358" s="1369"/>
      <c r="M358" s="1369"/>
      <c r="N358" s="1369"/>
      <c r="O358" s="1369"/>
      <c r="P358" s="1369"/>
      <c r="Q358" s="1369"/>
      <c r="R358" s="1369"/>
      <c r="S358" s="1369"/>
      <c r="T358" s="1370"/>
    </row>
    <row r="359" spans="1:41" s="730" customFormat="1" ht="13.2">
      <c r="A359" s="1304">
        <v>1</v>
      </c>
      <c r="B359" s="730" t="s">
        <v>312</v>
      </c>
      <c r="D359" s="730" t="s">
        <v>735</v>
      </c>
      <c r="E359" s="730" t="s">
        <v>1390</v>
      </c>
      <c r="G359" s="731" t="s">
        <v>736</v>
      </c>
      <c r="H359" s="732">
        <v>901</v>
      </c>
      <c r="I359" s="730" t="s">
        <v>686</v>
      </c>
      <c r="O359" s="733">
        <v>1</v>
      </c>
      <c r="P359" s="734">
        <v>40613</v>
      </c>
      <c r="Q359" s="735"/>
      <c r="R359" s="736">
        <f>$A359*Q359</f>
        <v>0</v>
      </c>
      <c r="S359" s="735">
        <f>ROUND(80/9840*Q365,)</f>
        <v>5</v>
      </c>
      <c r="T359" s="1305">
        <f>$A359*S359*$T$1</f>
        <v>5</v>
      </c>
    </row>
    <row r="360" spans="1:41" s="602" customFormat="1" ht="12">
      <c r="A360" s="1306"/>
      <c r="B360" s="663"/>
      <c r="C360" s="663"/>
      <c r="D360" s="663"/>
      <c r="E360" s="663"/>
      <c r="F360" s="664"/>
      <c r="G360" s="663"/>
      <c r="H360" s="663"/>
      <c r="I360" s="601"/>
      <c r="J360" s="663"/>
      <c r="K360" s="663"/>
      <c r="L360" s="663"/>
      <c r="M360" s="663"/>
      <c r="N360" s="663"/>
      <c r="O360" s="663"/>
      <c r="P360" s="663"/>
      <c r="Q360" s="601"/>
      <c r="R360" s="666">
        <f t="shared" ref="R360" si="22">$A360*Q360</f>
        <v>0</v>
      </c>
      <c r="S360" s="601"/>
      <c r="T360" s="1307">
        <f t="shared" ref="T360" si="23">$A360*S360*$T$1</f>
        <v>0</v>
      </c>
    </row>
    <row r="361" spans="1:41" s="602" customFormat="1" ht="12.6" thickBot="1">
      <c r="A361" s="1308" t="s">
        <v>145</v>
      </c>
      <c r="B361" s="683">
        <f>(R360+T360)</f>
        <v>0</v>
      </c>
      <c r="C361" s="684"/>
      <c r="D361" s="684"/>
      <c r="E361" s="684"/>
      <c r="F361" s="685"/>
      <c r="G361" s="684" t="s">
        <v>146</v>
      </c>
      <c r="H361" s="684"/>
      <c r="I361" s="686"/>
      <c r="J361" s="684"/>
      <c r="K361" s="684" t="s">
        <v>3</v>
      </c>
      <c r="L361" s="687" t="s">
        <v>143</v>
      </c>
      <c r="M361" s="687"/>
      <c r="N361" s="687"/>
      <c r="O361" s="687"/>
      <c r="P361" s="687"/>
      <c r="Q361" s="688"/>
      <c r="R361" s="689">
        <f>SUM(R358:R360)</f>
        <v>0</v>
      </c>
      <c r="S361" s="684"/>
      <c r="T361" s="1309">
        <f>SUM(T358:T360)</f>
        <v>5</v>
      </c>
      <c r="U361" s="611"/>
      <c r="V361" s="611"/>
      <c r="W361" s="611"/>
      <c r="X361" s="611"/>
      <c r="Y361" s="611"/>
      <c r="Z361" s="611"/>
      <c r="AA361" s="611"/>
      <c r="AB361" s="611"/>
      <c r="AC361" s="611"/>
      <c r="AD361" s="611"/>
      <c r="AE361" s="611"/>
      <c r="AF361" s="611"/>
      <c r="AG361" s="611"/>
      <c r="AH361" s="611"/>
      <c r="AI361" s="611"/>
      <c r="AJ361" s="611"/>
      <c r="AK361" s="611"/>
      <c r="AL361" s="611"/>
      <c r="AM361" s="611"/>
      <c r="AN361" s="611"/>
      <c r="AO361" s="611"/>
    </row>
    <row r="362" spans="1:41" s="602" customFormat="1" ht="12" thickTop="1">
      <c r="A362" s="1310"/>
      <c r="B362" s="41"/>
      <c r="C362" s="63"/>
      <c r="E362" s="42" t="s">
        <v>138</v>
      </c>
      <c r="F362" s="42" t="s">
        <v>139</v>
      </c>
      <c r="G362" s="63"/>
      <c r="H362" s="63"/>
      <c r="I362" s="63"/>
      <c r="J362" s="63"/>
      <c r="K362" s="63" t="s">
        <v>140</v>
      </c>
      <c r="L362" s="63"/>
      <c r="M362" s="63"/>
      <c r="N362" s="63"/>
      <c r="O362" s="64"/>
      <c r="P362" s="63"/>
      <c r="Q362" s="63"/>
      <c r="R362" s="63"/>
      <c r="S362" s="63"/>
      <c r="T362" s="1311"/>
      <c r="AG362" s="667" t="s">
        <v>278</v>
      </c>
      <c r="AH362" s="667" t="s">
        <v>279</v>
      </c>
      <c r="AI362" s="667" t="s">
        <v>280</v>
      </c>
      <c r="AJ362" s="667" t="s">
        <v>281</v>
      </c>
      <c r="AK362" s="667" t="s">
        <v>282</v>
      </c>
      <c r="AM362" s="668" t="s">
        <v>291</v>
      </c>
      <c r="AN362" s="669" t="s">
        <v>292</v>
      </c>
      <c r="AO362" s="603" t="s">
        <v>288</v>
      </c>
    </row>
    <row r="363" spans="1:41" s="602" customFormat="1" ht="12" customHeight="1">
      <c r="A363" s="1301">
        <v>1</v>
      </c>
      <c r="B363" s="838" t="s">
        <v>312</v>
      </c>
      <c r="C363" s="672"/>
      <c r="D363" s="673" t="s">
        <v>1423</v>
      </c>
      <c r="E363" s="1237">
        <f>IF(AND($A363=0,$A$1="DIF"),0, ROUND(ROUND(($R367*$S$5+($T367*$T$5))/$A363,2)*$C$5,2))</f>
        <v>617.66</v>
      </c>
      <c r="F363" s="1238">
        <f>ROUND($A363*$E363,2)</f>
        <v>617.66</v>
      </c>
      <c r="G363" s="676" t="s">
        <v>142</v>
      </c>
      <c r="H363" s="664"/>
      <c r="I363" s="677"/>
      <c r="J363" s="664"/>
      <c r="K363" s="664" t="s">
        <v>10</v>
      </c>
      <c r="L363" s="678" t="s">
        <v>143</v>
      </c>
      <c r="M363" s="678"/>
      <c r="N363" s="678"/>
      <c r="O363" s="678"/>
      <c r="P363" s="678"/>
      <c r="Q363" s="63"/>
      <c r="T363" s="1312" t="str">
        <f>IF(AND($R367=0,$T367=0),"0.00","mu: "&amp; ROUND(F363/$C$5/($R367+$T367*$D$9),2))</f>
        <v>mu: 1</v>
      </c>
      <c r="W363" s="604"/>
      <c r="AG363" s="1239">
        <f>IF($E363=0,0,ROUND($R367*$S$5*$C$5/$A363,2))</f>
        <v>617.66</v>
      </c>
      <c r="AH363" s="1239">
        <f>$AG363*$A363</f>
        <v>617.66</v>
      </c>
      <c r="AI363" s="1240">
        <f>$E363-$AG363</f>
        <v>0</v>
      </c>
      <c r="AJ363" s="1240">
        <f>$A363*$AI363</f>
        <v>0</v>
      </c>
      <c r="AK363" s="1241">
        <f>ROUND(($AG363+$AI363)*$A363,2)</f>
        <v>617.66</v>
      </c>
      <c r="AM363" s="607">
        <f>ROUND(R367,2)</f>
        <v>617.66</v>
      </c>
      <c r="AN363" s="608">
        <f>ROUND(T367,2)</f>
        <v>0</v>
      </c>
      <c r="AO363" s="609">
        <f>ROUND(AM363+AN363,2)*A363</f>
        <v>617.66</v>
      </c>
    </row>
    <row r="364" spans="1:41" s="602" customFormat="1" ht="13.2" customHeight="1">
      <c r="A364" s="1303"/>
      <c r="B364"/>
      <c r="C364" s="672"/>
      <c r="D364" s="1368" t="s">
        <v>1169</v>
      </c>
      <c r="E364" s="1369"/>
      <c r="F364" s="1369"/>
      <c r="G364" s="1369"/>
      <c r="H364" s="1369"/>
      <c r="I364" s="1369"/>
      <c r="J364" s="1369"/>
      <c r="K364" s="1369"/>
      <c r="L364" s="1369"/>
      <c r="M364" s="1369"/>
      <c r="N364" s="1369"/>
      <c r="O364" s="1369"/>
      <c r="P364" s="1369"/>
      <c r="Q364" s="1369"/>
      <c r="R364" s="1369"/>
      <c r="S364" s="1369"/>
      <c r="T364" s="1370"/>
    </row>
    <row r="365" spans="1:41" s="730" customFormat="1" ht="13.2">
      <c r="A365" s="1313">
        <v>1</v>
      </c>
      <c r="B365" s="740" t="s">
        <v>312</v>
      </c>
      <c r="C365" s="740"/>
      <c r="D365" s="740" t="s">
        <v>1175</v>
      </c>
      <c r="E365" s="740"/>
      <c r="F365" s="749" t="s">
        <v>1177</v>
      </c>
      <c r="G365" s="741" t="s">
        <v>1176</v>
      </c>
      <c r="H365" s="1002">
        <v>960</v>
      </c>
      <c r="I365" s="740" t="s">
        <v>686</v>
      </c>
      <c r="J365" s="740"/>
      <c r="K365" s="740"/>
      <c r="L365" s="740"/>
      <c r="M365" s="740"/>
      <c r="N365" s="740"/>
      <c r="O365" s="744">
        <v>4</v>
      </c>
      <c r="P365" s="745">
        <v>38594</v>
      </c>
      <c r="Q365" s="746">
        <v>617.66</v>
      </c>
      <c r="R365" s="747">
        <f>$A365*Q365</f>
        <v>617.66</v>
      </c>
      <c r="S365" s="746"/>
      <c r="T365" s="1314">
        <f>$A365*S365*$T$1</f>
        <v>0</v>
      </c>
    </row>
    <row r="366" spans="1:41" s="602" customFormat="1" ht="12">
      <c r="A366" s="1306"/>
      <c r="B366" s="663"/>
      <c r="C366" s="663"/>
      <c r="D366" s="663"/>
      <c r="E366" s="663"/>
      <c r="F366" s="664"/>
      <c r="G366" s="663"/>
      <c r="H366" s="663"/>
      <c r="I366" s="601"/>
      <c r="J366" s="663"/>
      <c r="K366" s="663"/>
      <c r="L366" s="663"/>
      <c r="M366" s="663"/>
      <c r="N366" s="663"/>
      <c r="O366" s="663"/>
      <c r="P366" s="663"/>
      <c r="Q366" s="601"/>
      <c r="R366" s="666">
        <f t="shared" ref="R366" si="24">$A366*Q366</f>
        <v>0</v>
      </c>
      <c r="S366" s="601"/>
      <c r="T366" s="1307">
        <f t="shared" ref="T366" si="25">$A366*S366*$T$1</f>
        <v>0</v>
      </c>
    </row>
    <row r="367" spans="1:41" s="602" customFormat="1" ht="12.6" thickBot="1">
      <c r="A367" s="1315" t="s">
        <v>145</v>
      </c>
      <c r="B367" s="1316">
        <f>(R366+T366)</f>
        <v>0</v>
      </c>
      <c r="C367" s="1317"/>
      <c r="D367" s="1317"/>
      <c r="E367" s="1317"/>
      <c r="F367" s="1318"/>
      <c r="G367" s="1317" t="s">
        <v>146</v>
      </c>
      <c r="H367" s="1317"/>
      <c r="I367" s="1319"/>
      <c r="J367" s="1317"/>
      <c r="K367" s="1317" t="s">
        <v>10</v>
      </c>
      <c r="L367" s="1320" t="s">
        <v>143</v>
      </c>
      <c r="M367" s="1320"/>
      <c r="N367" s="1320"/>
      <c r="O367" s="1320"/>
      <c r="P367" s="1320"/>
      <c r="Q367" s="1321"/>
      <c r="R367" s="1322">
        <f>SUM(R364:R366)</f>
        <v>617.66</v>
      </c>
      <c r="S367" s="1317"/>
      <c r="T367" s="1323">
        <f>SUM(T364:T366)</f>
        <v>0</v>
      </c>
      <c r="U367" s="611"/>
      <c r="V367" s="611"/>
      <c r="W367" s="611"/>
      <c r="X367" s="611"/>
      <c r="Y367" s="611"/>
      <c r="Z367" s="611"/>
      <c r="AA367" s="611"/>
      <c r="AB367" s="611"/>
      <c r="AC367" s="611"/>
      <c r="AD367" s="611"/>
      <c r="AE367" s="611"/>
      <c r="AF367" s="611"/>
      <c r="AG367" s="611"/>
      <c r="AH367" s="611"/>
      <c r="AI367" s="611"/>
      <c r="AJ367" s="611"/>
      <c r="AK367" s="611"/>
      <c r="AL367" s="611"/>
      <c r="AM367" s="611"/>
      <c r="AN367" s="611"/>
      <c r="AO367" s="611"/>
    </row>
    <row r="368" spans="1:41" s="602" customFormat="1" ht="11.4">
      <c r="A368" s="1294"/>
      <c r="B368" s="1295"/>
      <c r="C368" s="1296"/>
      <c r="D368" s="1297"/>
      <c r="E368" s="1298" t="s">
        <v>138</v>
      </c>
      <c r="F368" s="1298" t="s">
        <v>139</v>
      </c>
      <c r="G368" s="1296"/>
      <c r="H368" s="1296"/>
      <c r="I368" s="1296"/>
      <c r="J368" s="1296"/>
      <c r="K368" s="1296" t="s">
        <v>140</v>
      </c>
      <c r="L368" s="1296"/>
      <c r="M368" s="1296"/>
      <c r="N368" s="1296"/>
      <c r="O368" s="1299"/>
      <c r="P368" s="1296"/>
      <c r="Q368" s="1296"/>
      <c r="R368" s="1296"/>
      <c r="S368" s="1296"/>
      <c r="T368" s="1300"/>
      <c r="AG368" s="667" t="s">
        <v>278</v>
      </c>
      <c r="AH368" s="667" t="s">
        <v>279</v>
      </c>
      <c r="AI368" s="667" t="s">
        <v>280</v>
      </c>
      <c r="AJ368" s="667" t="s">
        <v>281</v>
      </c>
      <c r="AK368" s="667" t="s">
        <v>282</v>
      </c>
      <c r="AM368" s="668" t="s">
        <v>291</v>
      </c>
      <c r="AN368" s="669" t="s">
        <v>292</v>
      </c>
      <c r="AO368" s="603" t="s">
        <v>288</v>
      </c>
    </row>
    <row r="369" spans="1:41" s="602" customFormat="1" ht="12" customHeight="1">
      <c r="A369" s="1301">
        <v>1</v>
      </c>
      <c r="B369" s="838" t="s">
        <v>312</v>
      </c>
      <c r="C369" s="672"/>
      <c r="D369" s="673" t="s">
        <v>1424</v>
      </c>
      <c r="E369" s="674">
        <f>IF(AND($A369=0,$A$1="DIF"),0, ROUND(ROUND(($R373*$S$2+($T373*$T$2))/A369,2)*$C$2,2))</f>
        <v>324.89999999999998</v>
      </c>
      <c r="F369" s="675">
        <f>ROUND($A369*$E369,2)</f>
        <v>324.89999999999998</v>
      </c>
      <c r="G369" s="676" t="s">
        <v>142</v>
      </c>
      <c r="H369" s="664"/>
      <c r="I369" s="677"/>
      <c r="J369" s="664"/>
      <c r="K369" s="664" t="s">
        <v>3</v>
      </c>
      <c r="L369" s="678" t="s">
        <v>143</v>
      </c>
      <c r="M369" s="678"/>
      <c r="N369" s="678"/>
      <c r="O369" s="678"/>
      <c r="P369" s="678"/>
      <c r="Q369" s="63"/>
      <c r="T369" s="1302" t="str">
        <f>IF(AND($R373=0,$T373=0),"0.00","mu :" &amp; ROUND($F369/$C$2/($R373+$T373*$D$9),2))</f>
        <v>mu :1.35</v>
      </c>
      <c r="W369" s="604"/>
      <c r="AG369" s="549">
        <f>IF($E369=0,0,ROUND($R373*$S$2*$C$2/$A369,2))</f>
        <v>0</v>
      </c>
      <c r="AH369" s="549">
        <f>$AG369*$A369</f>
        <v>0</v>
      </c>
      <c r="AI369" s="605">
        <f>$E369-$AG369</f>
        <v>324.89999999999998</v>
      </c>
      <c r="AJ369" s="605">
        <f>$A369*$AI369</f>
        <v>324.89999999999998</v>
      </c>
      <c r="AK369" s="606">
        <f>ROUND(($AG369+$AI369)*$A369,2)</f>
        <v>324.89999999999998</v>
      </c>
      <c r="AM369" s="607">
        <f>ROUND(R373,2)</f>
        <v>0</v>
      </c>
      <c r="AN369" s="608">
        <f>ROUND(T373,2)</f>
        <v>9</v>
      </c>
      <c r="AO369" s="609">
        <f>ROUND(AM369+AN369,2)*A369</f>
        <v>9</v>
      </c>
    </row>
    <row r="370" spans="1:41" s="602" customFormat="1" ht="13.2" customHeight="1">
      <c r="A370" s="1303"/>
      <c r="B370"/>
      <c r="C370" s="672"/>
      <c r="D370" s="1368" t="s">
        <v>1170</v>
      </c>
      <c r="E370" s="1369"/>
      <c r="F370" s="1369"/>
      <c r="G370" s="1369"/>
      <c r="H370" s="1369"/>
      <c r="I370" s="1369"/>
      <c r="J370" s="1369"/>
      <c r="K370" s="1369"/>
      <c r="L370" s="1369"/>
      <c r="M370" s="1369"/>
      <c r="N370" s="1369"/>
      <c r="O370" s="1369"/>
      <c r="P370" s="1369"/>
      <c r="Q370" s="1369"/>
      <c r="R370" s="1369"/>
      <c r="S370" s="1369"/>
      <c r="T370" s="1370"/>
    </row>
    <row r="371" spans="1:41" s="730" customFormat="1" ht="13.2">
      <c r="A371" s="1304">
        <v>1</v>
      </c>
      <c r="B371" s="730" t="s">
        <v>312</v>
      </c>
      <c r="D371" s="730" t="s">
        <v>735</v>
      </c>
      <c r="E371" s="730" t="s">
        <v>1390</v>
      </c>
      <c r="G371" s="731" t="s">
        <v>736</v>
      </c>
      <c r="H371" s="732">
        <v>901</v>
      </c>
      <c r="I371" s="730" t="s">
        <v>686</v>
      </c>
      <c r="O371" s="733">
        <v>1</v>
      </c>
      <c r="P371" s="734">
        <v>40613</v>
      </c>
      <c r="Q371" s="735"/>
      <c r="R371" s="736">
        <f>$A371*Q371</f>
        <v>0</v>
      </c>
      <c r="S371" s="735">
        <f>ROUND(80/9840*Q377,)</f>
        <v>9</v>
      </c>
      <c r="T371" s="1305">
        <f>$A371*S371*$T$1</f>
        <v>9</v>
      </c>
    </row>
    <row r="372" spans="1:41" s="602" customFormat="1" ht="12">
      <c r="A372" s="1306"/>
      <c r="B372" s="663"/>
      <c r="C372" s="663"/>
      <c r="D372" s="663"/>
      <c r="E372" s="663"/>
      <c r="F372" s="664"/>
      <c r="G372" s="663"/>
      <c r="H372" s="663"/>
      <c r="I372" s="601"/>
      <c r="J372" s="663"/>
      <c r="K372" s="663"/>
      <c r="L372" s="663"/>
      <c r="M372" s="663"/>
      <c r="N372" s="663"/>
      <c r="O372" s="663"/>
      <c r="P372" s="663"/>
      <c r="Q372" s="601"/>
      <c r="R372" s="666">
        <f t="shared" ref="R372" si="26">$A372*Q372</f>
        <v>0</v>
      </c>
      <c r="S372" s="601"/>
      <c r="T372" s="1307">
        <f t="shared" ref="T372" si="27">$A372*S372*$T$1</f>
        <v>0</v>
      </c>
    </row>
    <row r="373" spans="1:41" s="602" customFormat="1" ht="12.6" thickBot="1">
      <c r="A373" s="1308" t="s">
        <v>145</v>
      </c>
      <c r="B373" s="683">
        <f>(R372+T372)</f>
        <v>0</v>
      </c>
      <c r="C373" s="684"/>
      <c r="D373" s="684"/>
      <c r="E373" s="684"/>
      <c r="F373" s="685"/>
      <c r="G373" s="684" t="s">
        <v>146</v>
      </c>
      <c r="H373" s="684"/>
      <c r="I373" s="686"/>
      <c r="J373" s="684"/>
      <c r="K373" s="684" t="s">
        <v>3</v>
      </c>
      <c r="L373" s="687" t="s">
        <v>143</v>
      </c>
      <c r="M373" s="687"/>
      <c r="N373" s="687"/>
      <c r="O373" s="687"/>
      <c r="P373" s="687"/>
      <c r="Q373" s="688"/>
      <c r="R373" s="689">
        <f>SUM(R370:R372)</f>
        <v>0</v>
      </c>
      <c r="S373" s="684"/>
      <c r="T373" s="1309">
        <f>SUM(T370:T372)</f>
        <v>9</v>
      </c>
      <c r="U373" s="611"/>
      <c r="V373" s="611"/>
      <c r="W373" s="611"/>
      <c r="X373" s="611"/>
      <c r="Y373" s="611"/>
      <c r="Z373" s="611"/>
      <c r="AA373" s="611"/>
      <c r="AB373" s="611"/>
      <c r="AC373" s="611"/>
      <c r="AD373" s="611"/>
      <c r="AE373" s="611"/>
      <c r="AF373" s="611"/>
      <c r="AG373" s="611"/>
      <c r="AH373" s="611"/>
      <c r="AI373" s="611"/>
      <c r="AJ373" s="611"/>
      <c r="AK373" s="611"/>
      <c r="AL373" s="611"/>
      <c r="AM373" s="611"/>
      <c r="AN373" s="611"/>
      <c r="AO373" s="611"/>
    </row>
    <row r="374" spans="1:41" s="602" customFormat="1" ht="12" thickTop="1">
      <c r="A374" s="1310"/>
      <c r="B374" s="41"/>
      <c r="C374" s="63"/>
      <c r="E374" s="42" t="s">
        <v>138</v>
      </c>
      <c r="F374" s="42" t="s">
        <v>139</v>
      </c>
      <c r="G374" s="63"/>
      <c r="H374" s="63"/>
      <c r="I374" s="63"/>
      <c r="J374" s="63"/>
      <c r="K374" s="63" t="s">
        <v>140</v>
      </c>
      <c r="L374" s="63"/>
      <c r="M374" s="63"/>
      <c r="N374" s="63"/>
      <c r="O374" s="64"/>
      <c r="P374" s="63"/>
      <c r="Q374" s="63"/>
      <c r="R374" s="63"/>
      <c r="S374" s="63"/>
      <c r="T374" s="1311"/>
      <c r="AG374" s="667" t="s">
        <v>278</v>
      </c>
      <c r="AH374" s="667" t="s">
        <v>279</v>
      </c>
      <c r="AI374" s="667" t="s">
        <v>280</v>
      </c>
      <c r="AJ374" s="667" t="s">
        <v>281</v>
      </c>
      <c r="AK374" s="667" t="s">
        <v>282</v>
      </c>
      <c r="AM374" s="668" t="s">
        <v>291</v>
      </c>
      <c r="AN374" s="669" t="s">
        <v>292</v>
      </c>
      <c r="AO374" s="603" t="s">
        <v>288</v>
      </c>
    </row>
    <row r="375" spans="1:41" s="602" customFormat="1" ht="12" customHeight="1">
      <c r="A375" s="1301">
        <v>1</v>
      </c>
      <c r="B375" s="838" t="s">
        <v>312</v>
      </c>
      <c r="C375" s="672"/>
      <c r="D375" s="673" t="s">
        <v>1425</v>
      </c>
      <c r="E375" s="1237">
        <f>IF(AND($A375=0,$A$1="DIF"),0, ROUND(ROUND(($R379*$S$5+($T379*$T$5))/$A375,2)*$C$5,2))</f>
        <v>1074.31</v>
      </c>
      <c r="F375" s="1238">
        <f>ROUND($A375*$E375,2)</f>
        <v>1074.31</v>
      </c>
      <c r="G375" s="676" t="s">
        <v>142</v>
      </c>
      <c r="H375" s="664"/>
      <c r="I375" s="677"/>
      <c r="J375" s="664"/>
      <c r="K375" s="664" t="s">
        <v>10</v>
      </c>
      <c r="L375" s="678" t="s">
        <v>143</v>
      </c>
      <c r="M375" s="678"/>
      <c r="N375" s="678"/>
      <c r="O375" s="678"/>
      <c r="P375" s="678"/>
      <c r="Q375" s="63"/>
      <c r="T375" s="1312" t="str">
        <f>IF(AND($R379=0,$T379=0),"0.00","mu: "&amp; ROUND(F375/$C$5/($R379+$T379*$D$9),2))</f>
        <v>mu: 1</v>
      </c>
      <c r="W375" s="604"/>
      <c r="AG375" s="1239">
        <f>IF($E375=0,0,ROUND($R379*$S$5*$C$5/$A375,2))</f>
        <v>1074.31</v>
      </c>
      <c r="AH375" s="1239">
        <f>$AG375*$A375</f>
        <v>1074.31</v>
      </c>
      <c r="AI375" s="1240">
        <f>$E375-$AG375</f>
        <v>0</v>
      </c>
      <c r="AJ375" s="1240">
        <f>$A375*$AI375</f>
        <v>0</v>
      </c>
      <c r="AK375" s="1241">
        <f>ROUND(($AG375+$AI375)*$A375,2)</f>
        <v>1074.31</v>
      </c>
      <c r="AM375" s="607">
        <f>ROUND(R379,2)</f>
        <v>1074.31</v>
      </c>
      <c r="AN375" s="608">
        <f>ROUND(T379,2)</f>
        <v>0</v>
      </c>
      <c r="AO375" s="609">
        <f>ROUND(AM375+AN375,2)*A375</f>
        <v>1074.31</v>
      </c>
    </row>
    <row r="376" spans="1:41" s="602" customFormat="1" ht="13.2" customHeight="1">
      <c r="A376" s="1303"/>
      <c r="B376"/>
      <c r="C376" s="672"/>
      <c r="D376" s="1368" t="s">
        <v>1170</v>
      </c>
      <c r="E376" s="1369"/>
      <c r="F376" s="1369"/>
      <c r="G376" s="1369"/>
      <c r="H376" s="1369"/>
      <c r="I376" s="1369"/>
      <c r="J376" s="1369"/>
      <c r="K376" s="1369"/>
      <c r="L376" s="1369"/>
      <c r="M376" s="1369"/>
      <c r="N376" s="1369"/>
      <c r="O376" s="1369"/>
      <c r="P376" s="1369"/>
      <c r="Q376" s="1369"/>
      <c r="R376" s="1369"/>
      <c r="S376" s="1369"/>
      <c r="T376" s="1370"/>
    </row>
    <row r="377" spans="1:41" s="730" customFormat="1" ht="13.2">
      <c r="A377" s="1313">
        <v>1</v>
      </c>
      <c r="B377" s="740" t="s">
        <v>312</v>
      </c>
      <c r="C377" s="740"/>
      <c r="D377" s="740" t="s">
        <v>1175</v>
      </c>
      <c r="E377" s="740"/>
      <c r="F377" s="749" t="s">
        <v>1177</v>
      </c>
      <c r="G377" s="741" t="s">
        <v>1176</v>
      </c>
      <c r="H377" s="1002">
        <v>960</v>
      </c>
      <c r="I377" s="740" t="s">
        <v>686</v>
      </c>
      <c r="J377" s="740"/>
      <c r="K377" s="740"/>
      <c r="L377" s="740"/>
      <c r="M377" s="740"/>
      <c r="N377" s="740"/>
      <c r="O377" s="744">
        <v>4</v>
      </c>
      <c r="P377" s="745">
        <v>38594</v>
      </c>
      <c r="Q377" s="746">
        <v>1074.31</v>
      </c>
      <c r="R377" s="747">
        <f>$A377*Q377</f>
        <v>1074.31</v>
      </c>
      <c r="S377" s="746"/>
      <c r="T377" s="1314">
        <f>$A377*S377*$T$1</f>
        <v>0</v>
      </c>
    </row>
    <row r="378" spans="1:41" s="602" customFormat="1" ht="12">
      <c r="A378" s="1306"/>
      <c r="B378" s="663"/>
      <c r="C378" s="663"/>
      <c r="D378" s="663"/>
      <c r="E378" s="663"/>
      <c r="F378" s="664"/>
      <c r="G378" s="663"/>
      <c r="H378" s="663"/>
      <c r="I378" s="601"/>
      <c r="J378" s="663"/>
      <c r="K378" s="663"/>
      <c r="L378" s="663"/>
      <c r="M378" s="663"/>
      <c r="N378" s="663"/>
      <c r="O378" s="663"/>
      <c r="P378" s="663"/>
      <c r="Q378" s="601"/>
      <c r="R378" s="666">
        <f t="shared" ref="R378" si="28">$A378*Q378</f>
        <v>0</v>
      </c>
      <c r="S378" s="601"/>
      <c r="T378" s="1307">
        <f t="shared" ref="T378" si="29">$A378*S378*$T$1</f>
        <v>0</v>
      </c>
    </row>
    <row r="379" spans="1:41" s="602" customFormat="1" ht="12.6" thickBot="1">
      <c r="A379" s="1315" t="s">
        <v>145</v>
      </c>
      <c r="B379" s="1316">
        <f>(R378+T378)</f>
        <v>0</v>
      </c>
      <c r="C379" s="1317"/>
      <c r="D379" s="1317"/>
      <c r="E379" s="1317"/>
      <c r="F379" s="1318"/>
      <c r="G379" s="1317" t="s">
        <v>146</v>
      </c>
      <c r="H379" s="1317"/>
      <c r="I379" s="1319"/>
      <c r="J379" s="1317"/>
      <c r="K379" s="1317" t="s">
        <v>10</v>
      </c>
      <c r="L379" s="1320" t="s">
        <v>143</v>
      </c>
      <c r="M379" s="1320"/>
      <c r="N379" s="1320"/>
      <c r="O379" s="1320"/>
      <c r="P379" s="1320"/>
      <c r="Q379" s="1321"/>
      <c r="R379" s="1322">
        <f>SUM(R376:R378)</f>
        <v>1074.31</v>
      </c>
      <c r="S379" s="1317"/>
      <c r="T379" s="1323">
        <f>SUM(T376:T378)</f>
        <v>0</v>
      </c>
      <c r="U379" s="611"/>
      <c r="V379" s="611"/>
      <c r="W379" s="611"/>
      <c r="X379" s="611"/>
      <c r="Y379" s="611"/>
      <c r="Z379" s="611"/>
      <c r="AA379" s="611"/>
      <c r="AB379" s="611"/>
      <c r="AC379" s="611"/>
      <c r="AD379" s="611"/>
      <c r="AE379" s="611"/>
      <c r="AF379" s="611"/>
      <c r="AG379" s="611"/>
      <c r="AH379" s="611"/>
      <c r="AI379" s="611"/>
      <c r="AJ379" s="611"/>
      <c r="AK379" s="611"/>
      <c r="AL379" s="611"/>
      <c r="AM379" s="611"/>
      <c r="AN379" s="611"/>
      <c r="AO379" s="611"/>
    </row>
    <row r="380" spans="1:41" s="602" customFormat="1" ht="11.4">
      <c r="A380" s="1294"/>
      <c r="B380" s="1295"/>
      <c r="C380" s="1296"/>
      <c r="D380" s="1297"/>
      <c r="E380" s="1298" t="s">
        <v>138</v>
      </c>
      <c r="F380" s="1298" t="s">
        <v>139</v>
      </c>
      <c r="G380" s="1296"/>
      <c r="H380" s="1296"/>
      <c r="I380" s="1296"/>
      <c r="J380" s="1296"/>
      <c r="K380" s="1296" t="s">
        <v>140</v>
      </c>
      <c r="L380" s="1296"/>
      <c r="M380" s="1296"/>
      <c r="N380" s="1296"/>
      <c r="O380" s="1299"/>
      <c r="P380" s="1296"/>
      <c r="Q380" s="1296"/>
      <c r="R380" s="1296"/>
      <c r="S380" s="1296"/>
      <c r="T380" s="1300"/>
      <c r="AG380" s="667" t="s">
        <v>278</v>
      </c>
      <c r="AH380" s="667" t="s">
        <v>279</v>
      </c>
      <c r="AI380" s="667" t="s">
        <v>280</v>
      </c>
      <c r="AJ380" s="667" t="s">
        <v>281</v>
      </c>
      <c r="AK380" s="667" t="s">
        <v>282</v>
      </c>
      <c r="AM380" s="668" t="s">
        <v>291</v>
      </c>
      <c r="AN380" s="669" t="s">
        <v>292</v>
      </c>
      <c r="AO380" s="603" t="s">
        <v>288</v>
      </c>
    </row>
    <row r="381" spans="1:41" s="602" customFormat="1" ht="12" customHeight="1">
      <c r="A381" s="1301">
        <v>1</v>
      </c>
      <c r="B381" s="838" t="s">
        <v>312</v>
      </c>
      <c r="C381" s="672"/>
      <c r="D381" s="673" t="s">
        <v>1426</v>
      </c>
      <c r="E381" s="674">
        <f>IF(AND($A381=0,$A$1="DIF"),0, ROUND(ROUND(($R385*$S$2+($T385*$T$2))/A381,2)*$C$2,2))</f>
        <v>360.99</v>
      </c>
      <c r="F381" s="675">
        <f>ROUND($A381*$E381,2)</f>
        <v>360.99</v>
      </c>
      <c r="G381" s="676" t="s">
        <v>142</v>
      </c>
      <c r="H381" s="664"/>
      <c r="I381" s="677"/>
      <c r="J381" s="664"/>
      <c r="K381" s="664" t="s">
        <v>3</v>
      </c>
      <c r="L381" s="678" t="s">
        <v>143</v>
      </c>
      <c r="M381" s="678"/>
      <c r="N381" s="678"/>
      <c r="O381" s="678"/>
      <c r="P381" s="678"/>
      <c r="Q381" s="63"/>
      <c r="T381" s="1302" t="str">
        <f>IF(AND($R385=0,$T385=0),"0.00","mu :" &amp; ROUND($F381/$C$2/($R385+$T385*$D$9),2))</f>
        <v>mu :1.35</v>
      </c>
      <c r="W381" s="604"/>
      <c r="AG381" s="549">
        <f>IF($E381=0,0,ROUND($R385*$S$2*$C$2/$A381,2))</f>
        <v>0</v>
      </c>
      <c r="AH381" s="549">
        <f>$AG381*$A381</f>
        <v>0</v>
      </c>
      <c r="AI381" s="605">
        <f>$E381-$AG381</f>
        <v>360.99</v>
      </c>
      <c r="AJ381" s="605">
        <f>$A381*$AI381</f>
        <v>360.99</v>
      </c>
      <c r="AK381" s="606">
        <f>ROUND(($AG381+$AI381)*$A381,2)</f>
        <v>360.99</v>
      </c>
      <c r="AM381" s="607">
        <f>ROUND(R385,2)</f>
        <v>0</v>
      </c>
      <c r="AN381" s="608">
        <f>ROUND(T385,2)</f>
        <v>10</v>
      </c>
      <c r="AO381" s="609">
        <f>ROUND(AM381+AN381,2)*A381</f>
        <v>10</v>
      </c>
    </row>
    <row r="382" spans="1:41" s="602" customFormat="1" ht="13.2" customHeight="1">
      <c r="A382" s="1303"/>
      <c r="B382"/>
      <c r="C382" s="672"/>
      <c r="D382" s="1368" t="s">
        <v>1168</v>
      </c>
      <c r="E382" s="1369"/>
      <c r="F382" s="1369"/>
      <c r="G382" s="1369"/>
      <c r="H382" s="1369"/>
      <c r="I382" s="1369"/>
      <c r="J382" s="1369"/>
      <c r="K382" s="1369"/>
      <c r="L382" s="1369"/>
      <c r="M382" s="1369"/>
      <c r="N382" s="1369"/>
      <c r="O382" s="1369"/>
      <c r="P382" s="1369"/>
      <c r="Q382" s="1369"/>
      <c r="R382" s="1369"/>
      <c r="S382" s="1369"/>
      <c r="T382" s="1370"/>
    </row>
    <row r="383" spans="1:41" s="730" customFormat="1" ht="13.2">
      <c r="A383" s="1304">
        <v>1</v>
      </c>
      <c r="B383" s="730" t="s">
        <v>312</v>
      </c>
      <c r="D383" s="730" t="s">
        <v>735</v>
      </c>
      <c r="E383" s="730" t="s">
        <v>1390</v>
      </c>
      <c r="G383" s="731" t="s">
        <v>736</v>
      </c>
      <c r="H383" s="732">
        <v>901</v>
      </c>
      <c r="I383" s="730" t="s">
        <v>686</v>
      </c>
      <c r="O383" s="733">
        <v>1</v>
      </c>
      <c r="P383" s="734">
        <v>40613</v>
      </c>
      <c r="Q383" s="735"/>
      <c r="R383" s="736">
        <f>$A383*Q383</f>
        <v>0</v>
      </c>
      <c r="S383" s="735">
        <f>ROUND(80/9840*Q389,)</f>
        <v>10</v>
      </c>
      <c r="T383" s="1305">
        <f>$A383*S383*$T$1</f>
        <v>10</v>
      </c>
    </row>
    <row r="384" spans="1:41" s="602" customFormat="1" ht="12">
      <c r="A384" s="1306"/>
      <c r="B384" s="663"/>
      <c r="C384" s="663"/>
      <c r="D384" s="663"/>
      <c r="E384" s="663"/>
      <c r="F384" s="664"/>
      <c r="G384" s="663"/>
      <c r="H384" s="663"/>
      <c r="I384" s="601"/>
      <c r="J384" s="663"/>
      <c r="K384" s="663"/>
      <c r="L384" s="663"/>
      <c r="M384" s="663"/>
      <c r="N384" s="663"/>
      <c r="O384" s="663"/>
      <c r="P384" s="663"/>
      <c r="Q384" s="601"/>
      <c r="R384" s="666">
        <f t="shared" ref="R384" si="30">$A384*Q384</f>
        <v>0</v>
      </c>
      <c r="S384" s="601"/>
      <c r="T384" s="1307">
        <f t="shared" ref="T384" si="31">$A384*S384*$T$1</f>
        <v>0</v>
      </c>
    </row>
    <row r="385" spans="1:41" s="602" customFormat="1" ht="12.6" thickBot="1">
      <c r="A385" s="1308" t="s">
        <v>145</v>
      </c>
      <c r="B385" s="683">
        <f>(R384+T384)</f>
        <v>0</v>
      </c>
      <c r="C385" s="684"/>
      <c r="D385" s="684"/>
      <c r="E385" s="684"/>
      <c r="F385" s="685"/>
      <c r="G385" s="684" t="s">
        <v>146</v>
      </c>
      <c r="H385" s="684"/>
      <c r="I385" s="686"/>
      <c r="J385" s="684"/>
      <c r="K385" s="684" t="s">
        <v>3</v>
      </c>
      <c r="L385" s="687" t="s">
        <v>143</v>
      </c>
      <c r="M385" s="687"/>
      <c r="N385" s="687"/>
      <c r="O385" s="687"/>
      <c r="P385" s="687"/>
      <c r="Q385" s="688"/>
      <c r="R385" s="689">
        <f>SUM(R382:R384)</f>
        <v>0</v>
      </c>
      <c r="S385" s="684"/>
      <c r="T385" s="1309">
        <f>SUM(T382:T384)</f>
        <v>10</v>
      </c>
      <c r="U385" s="611"/>
      <c r="V385" s="611"/>
      <c r="W385" s="611"/>
      <c r="X385" s="611"/>
      <c r="Y385" s="611"/>
      <c r="Z385" s="611"/>
      <c r="AA385" s="611"/>
      <c r="AB385" s="611"/>
      <c r="AC385" s="611"/>
      <c r="AD385" s="611"/>
      <c r="AE385" s="611"/>
      <c r="AF385" s="611"/>
      <c r="AG385" s="611"/>
      <c r="AH385" s="611"/>
      <c r="AI385" s="611"/>
      <c r="AJ385" s="611"/>
      <c r="AK385" s="611"/>
      <c r="AL385" s="611"/>
      <c r="AM385" s="611"/>
      <c r="AN385" s="611"/>
      <c r="AO385" s="611"/>
    </row>
    <row r="386" spans="1:41" s="602" customFormat="1" ht="12" thickTop="1">
      <c r="A386" s="1310"/>
      <c r="B386" s="41"/>
      <c r="C386" s="63"/>
      <c r="E386" s="42" t="s">
        <v>138</v>
      </c>
      <c r="F386" s="42" t="s">
        <v>139</v>
      </c>
      <c r="G386" s="63"/>
      <c r="H386" s="63"/>
      <c r="I386" s="63"/>
      <c r="J386" s="63"/>
      <c r="K386" s="63" t="s">
        <v>140</v>
      </c>
      <c r="L386" s="63"/>
      <c r="M386" s="63"/>
      <c r="N386" s="63"/>
      <c r="O386" s="64"/>
      <c r="P386" s="63"/>
      <c r="Q386" s="63"/>
      <c r="R386" s="63"/>
      <c r="S386" s="63"/>
      <c r="T386" s="1311"/>
      <c r="AG386" s="667" t="s">
        <v>278</v>
      </c>
      <c r="AH386" s="667" t="s">
        <v>279</v>
      </c>
      <c r="AI386" s="667" t="s">
        <v>280</v>
      </c>
      <c r="AJ386" s="667" t="s">
        <v>281</v>
      </c>
      <c r="AK386" s="667" t="s">
        <v>282</v>
      </c>
      <c r="AM386" s="668" t="s">
        <v>291</v>
      </c>
      <c r="AN386" s="669" t="s">
        <v>292</v>
      </c>
      <c r="AO386" s="603" t="s">
        <v>288</v>
      </c>
    </row>
    <row r="387" spans="1:41" s="602" customFormat="1" ht="12" customHeight="1">
      <c r="A387" s="1301">
        <v>1</v>
      </c>
      <c r="B387" s="838" t="s">
        <v>312</v>
      </c>
      <c r="C387" s="672"/>
      <c r="D387" s="673" t="s">
        <v>1427</v>
      </c>
      <c r="E387" s="1237">
        <f>IF(AND($A387=0,$A$1="DIF"),0, ROUND(ROUND(($R391*$S$5+($T391*$T$5))/$A387,2)*$C$5,2))</f>
        <v>1272.28</v>
      </c>
      <c r="F387" s="1238">
        <f>ROUND($A387*$E387,2)</f>
        <v>1272.28</v>
      </c>
      <c r="G387" s="676" t="s">
        <v>142</v>
      </c>
      <c r="H387" s="664"/>
      <c r="I387" s="677"/>
      <c r="J387" s="664"/>
      <c r="K387" s="664" t="s">
        <v>10</v>
      </c>
      <c r="L387" s="678" t="s">
        <v>143</v>
      </c>
      <c r="M387" s="678"/>
      <c r="N387" s="678"/>
      <c r="O387" s="678"/>
      <c r="P387" s="678"/>
      <c r="Q387" s="63"/>
      <c r="T387" s="1312" t="str">
        <f>IF(AND($R391=0,$T391=0),"0.00","mu: "&amp; ROUND(F387/$C$5/($R391+$T391*$D$9),2))</f>
        <v>mu: 1</v>
      </c>
      <c r="W387" s="604"/>
      <c r="AG387" s="1239">
        <f>IF($E387=0,0,ROUND($R391*$S$5*$C$5/$A387,2))</f>
        <v>1272.28</v>
      </c>
      <c r="AH387" s="1239">
        <f>$AG387*$A387</f>
        <v>1272.28</v>
      </c>
      <c r="AI387" s="1240">
        <f>$E387-$AG387</f>
        <v>0</v>
      </c>
      <c r="AJ387" s="1240">
        <f>$A387*$AI387</f>
        <v>0</v>
      </c>
      <c r="AK387" s="1241">
        <f>ROUND(($AG387+$AI387)*$A387,2)</f>
        <v>1272.28</v>
      </c>
      <c r="AM387" s="607">
        <f>ROUND(R391,2)</f>
        <v>1272.28</v>
      </c>
      <c r="AN387" s="608">
        <f>ROUND(T391,2)</f>
        <v>0</v>
      </c>
      <c r="AO387" s="609">
        <f>ROUND(AM387+AN387,2)*A387</f>
        <v>1272.28</v>
      </c>
    </row>
    <row r="388" spans="1:41" s="602" customFormat="1" ht="13.2" customHeight="1">
      <c r="A388" s="1303"/>
      <c r="B388"/>
      <c r="C388" s="672"/>
      <c r="D388" s="1368" t="s">
        <v>1168</v>
      </c>
      <c r="E388" s="1369"/>
      <c r="F388" s="1369"/>
      <c r="G388" s="1369"/>
      <c r="H388" s="1369"/>
      <c r="I388" s="1369"/>
      <c r="J388" s="1369"/>
      <c r="K388" s="1369"/>
      <c r="L388" s="1369"/>
      <c r="M388" s="1369"/>
      <c r="N388" s="1369"/>
      <c r="O388" s="1369"/>
      <c r="P388" s="1369"/>
      <c r="Q388" s="1369"/>
      <c r="R388" s="1369"/>
      <c r="S388" s="1369"/>
      <c r="T388" s="1370"/>
    </row>
    <row r="389" spans="1:41" s="730" customFormat="1" ht="13.2">
      <c r="A389" s="1313">
        <v>1</v>
      </c>
      <c r="B389" s="740" t="s">
        <v>312</v>
      </c>
      <c r="C389" s="740"/>
      <c r="D389" s="740" t="s">
        <v>1175</v>
      </c>
      <c r="E389" s="740"/>
      <c r="F389" s="749" t="s">
        <v>1177</v>
      </c>
      <c r="G389" s="741" t="s">
        <v>1176</v>
      </c>
      <c r="H389" s="1002">
        <v>960</v>
      </c>
      <c r="I389" s="740" t="s">
        <v>686</v>
      </c>
      <c r="J389" s="740"/>
      <c r="K389" s="740"/>
      <c r="L389" s="740"/>
      <c r="M389" s="740"/>
      <c r="N389" s="740"/>
      <c r="O389" s="744">
        <v>4</v>
      </c>
      <c r="P389" s="745">
        <v>38594</v>
      </c>
      <c r="Q389" s="746">
        <v>1272.28</v>
      </c>
      <c r="R389" s="747">
        <f>$A389*Q389</f>
        <v>1272.28</v>
      </c>
      <c r="S389" s="746"/>
      <c r="T389" s="1314">
        <f>$A389*S389*$T$1</f>
        <v>0</v>
      </c>
    </row>
    <row r="390" spans="1:41" s="602" customFormat="1" ht="12">
      <c r="A390" s="1306"/>
      <c r="B390" s="663"/>
      <c r="C390" s="663"/>
      <c r="D390" s="663"/>
      <c r="E390" s="663"/>
      <c r="F390" s="664"/>
      <c r="G390" s="663"/>
      <c r="H390" s="663"/>
      <c r="I390" s="601"/>
      <c r="J390" s="663"/>
      <c r="K390" s="663"/>
      <c r="L390" s="663"/>
      <c r="M390" s="663"/>
      <c r="N390" s="663"/>
      <c r="O390" s="663"/>
      <c r="P390" s="663"/>
      <c r="Q390" s="601"/>
      <c r="R390" s="666">
        <f t="shared" ref="R390" si="32">$A390*Q390</f>
        <v>0</v>
      </c>
      <c r="S390" s="601"/>
      <c r="T390" s="1307">
        <f t="shared" ref="T390" si="33">$A390*S390*$T$1</f>
        <v>0</v>
      </c>
    </row>
    <row r="391" spans="1:41" s="602" customFormat="1" ht="12.6" thickBot="1">
      <c r="A391" s="1315" t="s">
        <v>145</v>
      </c>
      <c r="B391" s="1316">
        <f>(R390+T390)</f>
        <v>0</v>
      </c>
      <c r="C391" s="1317"/>
      <c r="D391" s="1317"/>
      <c r="E391" s="1317"/>
      <c r="F391" s="1318"/>
      <c r="G391" s="1317" t="s">
        <v>146</v>
      </c>
      <c r="H391" s="1317"/>
      <c r="I391" s="1319"/>
      <c r="J391" s="1317"/>
      <c r="K391" s="1317" t="s">
        <v>10</v>
      </c>
      <c r="L391" s="1320" t="s">
        <v>143</v>
      </c>
      <c r="M391" s="1320"/>
      <c r="N391" s="1320"/>
      <c r="O391" s="1320"/>
      <c r="P391" s="1320"/>
      <c r="Q391" s="1321"/>
      <c r="R391" s="1322">
        <f>SUM(R388:R390)</f>
        <v>1272.28</v>
      </c>
      <c r="S391" s="1317"/>
      <c r="T391" s="1323">
        <f>SUM(T388:T390)</f>
        <v>0</v>
      </c>
      <c r="U391" s="611"/>
      <c r="V391" s="611"/>
      <c r="W391" s="611"/>
      <c r="X391" s="611"/>
      <c r="Y391" s="611"/>
      <c r="Z391" s="611"/>
      <c r="AA391" s="611"/>
      <c r="AB391" s="611"/>
      <c r="AC391" s="611"/>
      <c r="AD391" s="611"/>
      <c r="AE391" s="611"/>
      <c r="AF391" s="611"/>
      <c r="AG391" s="611"/>
      <c r="AH391" s="611"/>
      <c r="AI391" s="611"/>
      <c r="AJ391" s="611"/>
      <c r="AK391" s="611"/>
      <c r="AL391" s="611"/>
      <c r="AM391" s="611"/>
      <c r="AN391" s="611"/>
      <c r="AO391" s="611"/>
    </row>
    <row r="392" spans="1:41" s="602" customFormat="1" ht="11.4">
      <c r="A392" s="1294"/>
      <c r="B392" s="1295"/>
      <c r="C392" s="1296"/>
      <c r="D392" s="1297"/>
      <c r="E392" s="1298" t="s">
        <v>138</v>
      </c>
      <c r="F392" s="1298" t="s">
        <v>139</v>
      </c>
      <c r="G392" s="1296"/>
      <c r="H392" s="1296"/>
      <c r="I392" s="1296"/>
      <c r="J392" s="1296"/>
      <c r="K392" s="1296" t="s">
        <v>140</v>
      </c>
      <c r="L392" s="1296"/>
      <c r="M392" s="1296"/>
      <c r="N392" s="1296"/>
      <c r="O392" s="1299"/>
      <c r="P392" s="1296"/>
      <c r="Q392" s="1296"/>
      <c r="R392" s="1296"/>
      <c r="S392" s="1296"/>
      <c r="T392" s="1300"/>
      <c r="AG392" s="667" t="s">
        <v>278</v>
      </c>
      <c r="AH392" s="667" t="s">
        <v>279</v>
      </c>
      <c r="AI392" s="667" t="s">
        <v>280</v>
      </c>
      <c r="AJ392" s="667" t="s">
        <v>281</v>
      </c>
      <c r="AK392" s="667" t="s">
        <v>282</v>
      </c>
      <c r="AM392" s="668" t="s">
        <v>291</v>
      </c>
      <c r="AN392" s="669" t="s">
        <v>292</v>
      </c>
      <c r="AO392" s="603" t="s">
        <v>288</v>
      </c>
    </row>
    <row r="393" spans="1:41" s="602" customFormat="1" ht="12" customHeight="1">
      <c r="A393" s="1301">
        <v>1</v>
      </c>
      <c r="B393" s="838" t="s">
        <v>312</v>
      </c>
      <c r="C393" s="672"/>
      <c r="D393" s="673" t="s">
        <v>1428</v>
      </c>
      <c r="E393" s="674">
        <f>IF(AND($A393=0,$A$1="DIF"),0, ROUND(ROUND(($R397*$S$2+($T397*$T$2))/A393,2)*$C$2,2))</f>
        <v>288.8</v>
      </c>
      <c r="F393" s="675">
        <f>ROUND($A393*$E393,2)</f>
        <v>288.8</v>
      </c>
      <c r="G393" s="676" t="s">
        <v>142</v>
      </c>
      <c r="H393" s="664"/>
      <c r="I393" s="677"/>
      <c r="J393" s="664"/>
      <c r="K393" s="664" t="s">
        <v>3</v>
      </c>
      <c r="L393" s="678" t="s">
        <v>143</v>
      </c>
      <c r="M393" s="678"/>
      <c r="N393" s="678"/>
      <c r="O393" s="678"/>
      <c r="P393" s="678"/>
      <c r="Q393" s="63"/>
      <c r="T393" s="1302" t="str">
        <f>IF(AND($R397=0,$T397=0),"0.00","mu :" &amp; ROUND($F393/$C$2/($R397+$T397*$D$9),2))</f>
        <v>mu :1.35</v>
      </c>
      <c r="W393" s="604"/>
      <c r="AG393" s="549">
        <f>IF($E393=0,0,ROUND($R397*$S$2*$C$2/$A393,2))</f>
        <v>0</v>
      </c>
      <c r="AH393" s="549">
        <f>$AG393*$A393</f>
        <v>0</v>
      </c>
      <c r="AI393" s="605">
        <f>$E393-$AG393</f>
        <v>288.8</v>
      </c>
      <c r="AJ393" s="605">
        <f>$A393*$AI393</f>
        <v>288.8</v>
      </c>
      <c r="AK393" s="606">
        <f>ROUND(($AG393+$AI393)*$A393,2)</f>
        <v>288.8</v>
      </c>
      <c r="AM393" s="607">
        <f>ROUND(R397,2)</f>
        <v>0</v>
      </c>
      <c r="AN393" s="608">
        <f>ROUND(T397,2)</f>
        <v>8</v>
      </c>
      <c r="AO393" s="609">
        <f>ROUND(AM393+AN393,2)*A393</f>
        <v>8</v>
      </c>
    </row>
    <row r="394" spans="1:41" s="602" customFormat="1" ht="13.2" customHeight="1">
      <c r="A394" s="1303"/>
      <c r="B394"/>
      <c r="C394" s="672"/>
      <c r="D394" s="1368" t="s">
        <v>1171</v>
      </c>
      <c r="E394" s="1369"/>
      <c r="F394" s="1369"/>
      <c r="G394" s="1369"/>
      <c r="H394" s="1369"/>
      <c r="I394" s="1369"/>
      <c r="J394" s="1369"/>
      <c r="K394" s="1369"/>
      <c r="L394" s="1369"/>
      <c r="M394" s="1369"/>
      <c r="N394" s="1369"/>
      <c r="O394" s="1369"/>
      <c r="P394" s="1369"/>
      <c r="Q394" s="1369"/>
      <c r="R394" s="1369"/>
      <c r="S394" s="1369"/>
      <c r="T394" s="1370"/>
    </row>
    <row r="395" spans="1:41" s="730" customFormat="1" ht="13.2">
      <c r="A395" s="1304">
        <v>1</v>
      </c>
      <c r="B395" s="730" t="s">
        <v>312</v>
      </c>
      <c r="D395" s="730" t="s">
        <v>735</v>
      </c>
      <c r="E395" s="730" t="s">
        <v>1390</v>
      </c>
      <c r="G395" s="731" t="s">
        <v>736</v>
      </c>
      <c r="H395" s="732">
        <v>901</v>
      </c>
      <c r="I395" s="730" t="s">
        <v>686</v>
      </c>
      <c r="O395" s="733">
        <v>1</v>
      </c>
      <c r="P395" s="734">
        <v>40613</v>
      </c>
      <c r="Q395" s="735"/>
      <c r="R395" s="736">
        <f>$A395*Q395</f>
        <v>0</v>
      </c>
      <c r="S395" s="735">
        <f>ROUND(80/9840*Q401,)</f>
        <v>8</v>
      </c>
      <c r="T395" s="1305">
        <f>$A395*S395*$T$1</f>
        <v>8</v>
      </c>
    </row>
    <row r="396" spans="1:41" s="602" customFormat="1" ht="12">
      <c r="A396" s="1306"/>
      <c r="B396" s="663"/>
      <c r="C396" s="663"/>
      <c r="D396" s="663"/>
      <c r="E396" s="663"/>
      <c r="F396" s="664"/>
      <c r="G396" s="663"/>
      <c r="H396" s="663"/>
      <c r="I396" s="601"/>
      <c r="J396" s="663"/>
      <c r="K396" s="663"/>
      <c r="L396" s="663"/>
      <c r="M396" s="663"/>
      <c r="N396" s="663"/>
      <c r="O396" s="663"/>
      <c r="P396" s="663"/>
      <c r="Q396" s="601"/>
      <c r="R396" s="666">
        <f t="shared" ref="R396" si="34">$A396*Q396</f>
        <v>0</v>
      </c>
      <c r="S396" s="601"/>
      <c r="T396" s="1307">
        <f t="shared" ref="T396" si="35">$A396*S396*$T$1</f>
        <v>0</v>
      </c>
    </row>
    <row r="397" spans="1:41" s="602" customFormat="1" ht="12.6" thickBot="1">
      <c r="A397" s="1308" t="s">
        <v>145</v>
      </c>
      <c r="B397" s="683">
        <f>(R396+T396)</f>
        <v>0</v>
      </c>
      <c r="C397" s="684"/>
      <c r="D397" s="684"/>
      <c r="E397" s="684"/>
      <c r="F397" s="685"/>
      <c r="G397" s="684" t="s">
        <v>146</v>
      </c>
      <c r="H397" s="684"/>
      <c r="I397" s="686"/>
      <c r="J397" s="684"/>
      <c r="K397" s="684" t="s">
        <v>3</v>
      </c>
      <c r="L397" s="687" t="s">
        <v>143</v>
      </c>
      <c r="M397" s="687"/>
      <c r="N397" s="687"/>
      <c r="O397" s="687"/>
      <c r="P397" s="687"/>
      <c r="Q397" s="688"/>
      <c r="R397" s="689">
        <f>SUM(R394:R396)</f>
        <v>0</v>
      </c>
      <c r="S397" s="684"/>
      <c r="T397" s="1309">
        <f>SUM(T394:T396)</f>
        <v>8</v>
      </c>
      <c r="U397" s="611"/>
      <c r="V397" s="611"/>
      <c r="W397" s="611"/>
      <c r="X397" s="611"/>
      <c r="Y397" s="611"/>
      <c r="Z397" s="611"/>
      <c r="AA397" s="611"/>
      <c r="AB397" s="611"/>
      <c r="AC397" s="611"/>
      <c r="AD397" s="611"/>
      <c r="AE397" s="611"/>
      <c r="AF397" s="611"/>
      <c r="AG397" s="611"/>
      <c r="AH397" s="611"/>
      <c r="AI397" s="611"/>
      <c r="AJ397" s="611"/>
      <c r="AK397" s="611"/>
      <c r="AL397" s="611"/>
      <c r="AM397" s="611"/>
      <c r="AN397" s="611"/>
      <c r="AO397" s="611"/>
    </row>
    <row r="398" spans="1:41" s="602" customFormat="1" ht="12" thickTop="1">
      <c r="A398" s="1310"/>
      <c r="B398" s="41"/>
      <c r="C398" s="63"/>
      <c r="E398" s="42" t="s">
        <v>138</v>
      </c>
      <c r="F398" s="42" t="s">
        <v>139</v>
      </c>
      <c r="G398" s="63"/>
      <c r="H398" s="63"/>
      <c r="I398" s="63"/>
      <c r="J398" s="63"/>
      <c r="K398" s="63" t="s">
        <v>140</v>
      </c>
      <c r="L398" s="63"/>
      <c r="M398" s="63"/>
      <c r="N398" s="63"/>
      <c r="O398" s="64"/>
      <c r="P398" s="63"/>
      <c r="Q398" s="63"/>
      <c r="R398" s="63"/>
      <c r="S398" s="63"/>
      <c r="T398" s="1311"/>
      <c r="AG398" s="667" t="s">
        <v>278</v>
      </c>
      <c r="AH398" s="667" t="s">
        <v>279</v>
      </c>
      <c r="AI398" s="667" t="s">
        <v>280</v>
      </c>
      <c r="AJ398" s="667" t="s">
        <v>281</v>
      </c>
      <c r="AK398" s="667" t="s">
        <v>282</v>
      </c>
      <c r="AM398" s="668" t="s">
        <v>291</v>
      </c>
      <c r="AN398" s="669" t="s">
        <v>292</v>
      </c>
      <c r="AO398" s="603" t="s">
        <v>288</v>
      </c>
    </row>
    <row r="399" spans="1:41" s="602" customFormat="1" ht="12" customHeight="1">
      <c r="A399" s="1301">
        <v>1</v>
      </c>
      <c r="B399" s="838" t="s">
        <v>312</v>
      </c>
      <c r="C399" s="672"/>
      <c r="D399" s="673" t="s">
        <v>1429</v>
      </c>
      <c r="E399" s="1237">
        <f>IF(AND($A399=0,$A$1="DIF"),0, ROUND(ROUND(($R403*$S$5+($T403*$T$5))/$A399,2)*$C$5,2))</f>
        <v>1029.44</v>
      </c>
      <c r="F399" s="1238">
        <f>ROUND($A399*$E399,2)</f>
        <v>1029.44</v>
      </c>
      <c r="G399" s="676" t="s">
        <v>142</v>
      </c>
      <c r="H399" s="664"/>
      <c r="I399" s="677"/>
      <c r="J399" s="664"/>
      <c r="K399" s="664" t="s">
        <v>10</v>
      </c>
      <c r="L399" s="678" t="s">
        <v>143</v>
      </c>
      <c r="M399" s="678"/>
      <c r="N399" s="678"/>
      <c r="O399" s="678"/>
      <c r="P399" s="678"/>
      <c r="Q399" s="63"/>
      <c r="T399" s="1312" t="str">
        <f>IF(AND($R403=0,$T403=0),"0.00","mu: "&amp; ROUND(F399/$C$5/($R403+$T403*$D$9),2))</f>
        <v>mu: 1</v>
      </c>
      <c r="W399" s="604"/>
      <c r="AG399" s="1239">
        <f>IF($E399=0,0,ROUND($R403*$S$5*$C$5/$A399,2))</f>
        <v>1029.44</v>
      </c>
      <c r="AH399" s="1239">
        <f>$AG399*$A399</f>
        <v>1029.44</v>
      </c>
      <c r="AI399" s="1240">
        <f>$E399-$AG399</f>
        <v>0</v>
      </c>
      <c r="AJ399" s="1240">
        <f>$A399*$AI399</f>
        <v>0</v>
      </c>
      <c r="AK399" s="1241">
        <f>ROUND(($AG399+$AI399)*$A399,2)</f>
        <v>1029.44</v>
      </c>
      <c r="AM399" s="607">
        <f>ROUND(R403,2)</f>
        <v>1029.44</v>
      </c>
      <c r="AN399" s="608">
        <f>ROUND(T403,2)</f>
        <v>0</v>
      </c>
      <c r="AO399" s="609">
        <f>ROUND(AM399+AN399,2)*A399</f>
        <v>1029.44</v>
      </c>
    </row>
    <row r="400" spans="1:41" s="602" customFormat="1" ht="13.2" customHeight="1">
      <c r="A400" s="1303"/>
      <c r="B400"/>
      <c r="C400" s="672"/>
      <c r="D400" s="1368" t="s">
        <v>1171</v>
      </c>
      <c r="E400" s="1369"/>
      <c r="F400" s="1369"/>
      <c r="G400" s="1369"/>
      <c r="H400" s="1369"/>
      <c r="I400" s="1369"/>
      <c r="J400" s="1369"/>
      <c r="K400" s="1369"/>
      <c r="L400" s="1369"/>
      <c r="M400" s="1369"/>
      <c r="N400" s="1369"/>
      <c r="O400" s="1369"/>
      <c r="P400" s="1369"/>
      <c r="Q400" s="1369"/>
      <c r="R400" s="1369"/>
      <c r="S400" s="1369"/>
      <c r="T400" s="1370"/>
    </row>
    <row r="401" spans="1:41" s="730" customFormat="1" ht="13.2">
      <c r="A401" s="1313">
        <v>1</v>
      </c>
      <c r="B401" s="740" t="s">
        <v>312</v>
      </c>
      <c r="C401" s="740"/>
      <c r="D401" s="740" t="s">
        <v>1175</v>
      </c>
      <c r="E401" s="740"/>
      <c r="F401" s="749" t="s">
        <v>1177</v>
      </c>
      <c r="G401" s="741" t="s">
        <v>1176</v>
      </c>
      <c r="H401" s="1002">
        <v>960</v>
      </c>
      <c r="I401" s="740" t="s">
        <v>686</v>
      </c>
      <c r="J401" s="740"/>
      <c r="K401" s="740"/>
      <c r="L401" s="740"/>
      <c r="M401" s="740"/>
      <c r="N401" s="740"/>
      <c r="O401" s="744">
        <v>4</v>
      </c>
      <c r="P401" s="745">
        <v>38594</v>
      </c>
      <c r="Q401" s="746">
        <v>1029.44</v>
      </c>
      <c r="R401" s="747">
        <f>$A401*Q401</f>
        <v>1029.44</v>
      </c>
      <c r="S401" s="746"/>
      <c r="T401" s="1314">
        <f>$A401*S401*$T$1</f>
        <v>0</v>
      </c>
    </row>
    <row r="402" spans="1:41" s="602" customFormat="1" ht="12">
      <c r="A402" s="1306"/>
      <c r="B402" s="663"/>
      <c r="C402" s="663"/>
      <c r="D402" s="663"/>
      <c r="E402" s="663"/>
      <c r="F402" s="664"/>
      <c r="G402" s="663"/>
      <c r="H402" s="663"/>
      <c r="I402" s="601"/>
      <c r="J402" s="663"/>
      <c r="K402" s="663"/>
      <c r="L402" s="663"/>
      <c r="M402" s="663"/>
      <c r="N402" s="663"/>
      <c r="O402" s="663"/>
      <c r="P402" s="663"/>
      <c r="Q402" s="601"/>
      <c r="R402" s="666">
        <f t="shared" ref="R402" si="36">$A402*Q402</f>
        <v>0</v>
      </c>
      <c r="S402" s="601"/>
      <c r="T402" s="1307">
        <f t="shared" ref="T402" si="37">$A402*S402*$T$1</f>
        <v>0</v>
      </c>
    </row>
    <row r="403" spans="1:41" s="602" customFormat="1" ht="12.6" thickBot="1">
      <c r="A403" s="1315" t="s">
        <v>145</v>
      </c>
      <c r="B403" s="1316">
        <f>(R402+T402)</f>
        <v>0</v>
      </c>
      <c r="C403" s="1317"/>
      <c r="D403" s="1317"/>
      <c r="E403" s="1317"/>
      <c r="F403" s="1318"/>
      <c r="G403" s="1317" t="s">
        <v>146</v>
      </c>
      <c r="H403" s="1317"/>
      <c r="I403" s="1319"/>
      <c r="J403" s="1317"/>
      <c r="K403" s="1317" t="s">
        <v>10</v>
      </c>
      <c r="L403" s="1320" t="s">
        <v>143</v>
      </c>
      <c r="M403" s="1320"/>
      <c r="N403" s="1320"/>
      <c r="O403" s="1320"/>
      <c r="P403" s="1320"/>
      <c r="Q403" s="1321"/>
      <c r="R403" s="1322">
        <f>SUM(R400:R402)</f>
        <v>1029.44</v>
      </c>
      <c r="S403" s="1317"/>
      <c r="T403" s="1323">
        <f>SUM(T400:T402)</f>
        <v>0</v>
      </c>
      <c r="U403" s="611"/>
      <c r="V403" s="611"/>
      <c r="W403" s="611"/>
      <c r="X403" s="611"/>
      <c r="Y403" s="611"/>
      <c r="Z403" s="611"/>
      <c r="AA403" s="611"/>
      <c r="AB403" s="611"/>
      <c r="AC403" s="611"/>
      <c r="AD403" s="611"/>
      <c r="AE403" s="611"/>
      <c r="AF403" s="611"/>
      <c r="AG403" s="611"/>
      <c r="AH403" s="611"/>
      <c r="AI403" s="611"/>
      <c r="AJ403" s="611"/>
      <c r="AK403" s="611"/>
      <c r="AL403" s="611"/>
      <c r="AM403" s="611"/>
      <c r="AN403" s="611"/>
      <c r="AO403" s="611"/>
    </row>
    <row r="404" spans="1:41" s="602" customFormat="1" ht="11.4">
      <c r="A404" s="63"/>
      <c r="B404" s="41"/>
      <c r="C404" s="63"/>
      <c r="E404" s="42" t="s">
        <v>138</v>
      </c>
      <c r="F404" s="42" t="s">
        <v>139</v>
      </c>
      <c r="G404" s="63"/>
      <c r="H404" s="63"/>
      <c r="I404" s="63"/>
      <c r="J404" s="63"/>
      <c r="K404" s="63" t="s">
        <v>140</v>
      </c>
      <c r="L404" s="63"/>
      <c r="M404" s="63"/>
      <c r="N404" s="63"/>
      <c r="O404" s="64"/>
      <c r="P404" s="63"/>
      <c r="Q404" s="63"/>
      <c r="R404" s="63"/>
      <c r="S404" s="63"/>
      <c r="T404" s="41"/>
      <c r="AG404" s="667" t="s">
        <v>278</v>
      </c>
      <c r="AH404" s="667" t="s">
        <v>279</v>
      </c>
      <c r="AI404" s="667" t="s">
        <v>280</v>
      </c>
      <c r="AJ404" s="667" t="s">
        <v>281</v>
      </c>
      <c r="AK404" s="667" t="s">
        <v>282</v>
      </c>
      <c r="AM404" s="668" t="s">
        <v>291</v>
      </c>
      <c r="AN404" s="669" t="s">
        <v>292</v>
      </c>
      <c r="AO404" s="603" t="s">
        <v>288</v>
      </c>
    </row>
    <row r="405" spans="1:41" s="602" customFormat="1" ht="12" customHeight="1">
      <c r="A405" s="670">
        <v>32</v>
      </c>
      <c r="B405" s="838" t="s">
        <v>330</v>
      </c>
      <c r="C405" s="672"/>
      <c r="D405" s="673" t="s">
        <v>1172</v>
      </c>
      <c r="E405" s="1237">
        <f>IF(AND($A405=0,$A$1="DIF"),0, ROUND(ROUND(($R409*$S$5+($T409*$T$5))/$A405,2)*$C$5,2))</f>
        <v>218.18</v>
      </c>
      <c r="F405" s="1238">
        <f>ROUND($A405*$E405,2)</f>
        <v>6981.76</v>
      </c>
      <c r="G405" s="676" t="s">
        <v>142</v>
      </c>
      <c r="H405" s="664"/>
      <c r="I405" s="677"/>
      <c r="J405" s="664"/>
      <c r="K405" s="664" t="s">
        <v>10</v>
      </c>
      <c r="L405" s="678" t="s">
        <v>143</v>
      </c>
      <c r="M405" s="678"/>
      <c r="N405" s="678"/>
      <c r="O405" s="678"/>
      <c r="P405" s="678"/>
      <c r="Q405" s="63"/>
      <c r="T405" s="1242" t="str">
        <f>IF(AND($R409=0,$T409=0),"0.00","mu: "&amp; ROUND(F405/$C$5/($R409+$T409*$D$9),2))</f>
        <v>mu: 1</v>
      </c>
      <c r="W405" s="604"/>
      <c r="AG405" s="1239">
        <f>IF($E405=0,0,ROUND($R409*$S$5*$C$5/$A405,2))</f>
        <v>218.18</v>
      </c>
      <c r="AH405" s="1239">
        <f>$AG405*$A405</f>
        <v>6981.76</v>
      </c>
      <c r="AI405" s="1240">
        <f>$E405-$AG405</f>
        <v>0</v>
      </c>
      <c r="AJ405" s="1240">
        <f>$A405*$AI405</f>
        <v>0</v>
      </c>
      <c r="AK405" s="1241">
        <f>ROUND(($AG405+$AI405)*$A405,2)</f>
        <v>6981.76</v>
      </c>
      <c r="AM405" s="607">
        <f>ROUND(R409,2)</f>
        <v>6981.76</v>
      </c>
      <c r="AN405" s="608">
        <f>ROUND(T409,2)</f>
        <v>0</v>
      </c>
      <c r="AO405" s="609">
        <f>ROUND(AM405+AN405,2)*A405</f>
        <v>223416.32000000001</v>
      </c>
    </row>
    <row r="406" spans="1:41" s="602" customFormat="1" ht="39.9" customHeight="1">
      <c r="A406" s="672"/>
      <c r="B406"/>
      <c r="C406" s="672"/>
      <c r="D406" s="1368" t="s">
        <v>1173</v>
      </c>
      <c r="E406" s="1369"/>
      <c r="F406" s="1369"/>
      <c r="G406" s="1369"/>
      <c r="H406" s="1369"/>
      <c r="I406" s="1369"/>
      <c r="J406" s="1369"/>
      <c r="K406" s="1369"/>
      <c r="L406" s="1369"/>
      <c r="M406" s="1369"/>
      <c r="N406" s="1369"/>
      <c r="O406" s="1369"/>
      <c r="P406" s="1369"/>
      <c r="Q406" s="1369"/>
      <c r="R406" s="1369"/>
      <c r="S406" s="1369"/>
      <c r="T406" s="1369"/>
    </row>
    <row r="407" spans="1:41" s="730" customFormat="1" ht="13.2">
      <c r="A407" s="750">
        <f>A405</f>
        <v>32</v>
      </c>
      <c r="B407" s="740" t="s">
        <v>312</v>
      </c>
      <c r="C407" s="740"/>
      <c r="D407" s="740" t="s">
        <v>1175</v>
      </c>
      <c r="E407" s="740"/>
      <c r="F407" s="749" t="s">
        <v>1177</v>
      </c>
      <c r="G407" s="741" t="s">
        <v>1176</v>
      </c>
      <c r="H407" s="1002">
        <v>960</v>
      </c>
      <c r="I407" s="740" t="s">
        <v>686</v>
      </c>
      <c r="J407" s="740"/>
      <c r="K407" s="740"/>
      <c r="L407" s="740"/>
      <c r="M407" s="740"/>
      <c r="N407" s="740"/>
      <c r="O407" s="744">
        <v>4</v>
      </c>
      <c r="P407" s="745">
        <v>38594</v>
      </c>
      <c r="Q407" s="746">
        <v>218.18</v>
      </c>
      <c r="R407" s="747">
        <f>$A407*Q407</f>
        <v>6981.76</v>
      </c>
      <c r="S407" s="746"/>
      <c r="T407" s="748">
        <f>$A407*S407*$T$1</f>
        <v>0</v>
      </c>
    </row>
    <row r="408" spans="1:41" s="602" customFormat="1" ht="12">
      <c r="A408" s="663"/>
      <c r="B408" s="663"/>
      <c r="C408" s="663"/>
      <c r="D408" s="663"/>
      <c r="E408" s="663"/>
      <c r="F408" s="664"/>
      <c r="G408" s="663"/>
      <c r="H408" s="663"/>
      <c r="I408" s="601"/>
      <c r="J408" s="663"/>
      <c r="K408" s="663"/>
      <c r="L408" s="663"/>
      <c r="M408" s="663"/>
      <c r="N408" s="663"/>
      <c r="O408" s="663"/>
      <c r="P408" s="663"/>
      <c r="Q408" s="601"/>
      <c r="R408" s="666">
        <f>$A408*Q408</f>
        <v>0</v>
      </c>
      <c r="S408" s="601"/>
      <c r="T408" s="681">
        <f>$A408*S408*$T$1</f>
        <v>0</v>
      </c>
    </row>
    <row r="409" spans="1:41" s="602" customFormat="1" ht="12.6" thickBot="1">
      <c r="A409" s="682" t="s">
        <v>145</v>
      </c>
      <c r="B409" s="683">
        <f>(R408+T408)</f>
        <v>0</v>
      </c>
      <c r="C409" s="684"/>
      <c r="D409" s="684"/>
      <c r="E409" s="684"/>
      <c r="F409" s="685"/>
      <c r="G409" s="684" t="s">
        <v>146</v>
      </c>
      <c r="H409" s="684"/>
      <c r="I409" s="686"/>
      <c r="J409" s="684"/>
      <c r="K409" s="684" t="s">
        <v>10</v>
      </c>
      <c r="L409" s="687" t="s">
        <v>143</v>
      </c>
      <c r="M409" s="687"/>
      <c r="N409" s="687"/>
      <c r="O409" s="687"/>
      <c r="P409" s="687"/>
      <c r="Q409" s="688"/>
      <c r="R409" s="689">
        <f>SUM(R406:R408)</f>
        <v>6981.76</v>
      </c>
      <c r="S409" s="684"/>
      <c r="T409" s="689">
        <f>SUM(T406:T408)</f>
        <v>0</v>
      </c>
      <c r="U409" s="611"/>
      <c r="V409" s="611"/>
      <c r="W409" s="611"/>
      <c r="X409" s="611"/>
      <c r="Y409" s="611"/>
      <c r="Z409" s="611"/>
      <c r="AA409" s="611"/>
      <c r="AB409" s="611"/>
      <c r="AC409" s="611"/>
      <c r="AD409" s="611"/>
      <c r="AE409" s="611"/>
      <c r="AF409" s="611"/>
      <c r="AG409" s="611"/>
      <c r="AH409" s="611"/>
      <c r="AI409" s="611"/>
      <c r="AJ409" s="611"/>
      <c r="AK409" s="611"/>
      <c r="AL409" s="611"/>
      <c r="AM409" s="611"/>
      <c r="AN409" s="611"/>
      <c r="AO409" s="611"/>
    </row>
    <row r="410" spans="1:41" s="602" customFormat="1" ht="12" thickTop="1">
      <c r="A410" s="51" t="s">
        <v>154</v>
      </c>
      <c r="D410" s="13"/>
      <c r="E410" s="42"/>
      <c r="O410" s="698"/>
    </row>
    <row r="411" spans="1:41" s="602" customFormat="1" ht="13.2">
      <c r="B411" s="3"/>
      <c r="O411" s="698"/>
    </row>
    <row r="412" spans="1:41" s="602" customFormat="1" ht="12">
      <c r="B412" s="699">
        <f>$F412/$C$2-($R412*$S$2+$T412*$T$2)</f>
        <v>-2255.7152112147342</v>
      </c>
      <c r="D412" s="700" t="s">
        <v>414</v>
      </c>
      <c r="E412" s="701"/>
      <c r="F412" s="702">
        <f>SUMIF($L404:$L410,"ITEM",F404:F410)</f>
        <v>6981.76</v>
      </c>
      <c r="G412" s="663"/>
      <c r="H412" s="663"/>
      <c r="I412" s="601"/>
      <c r="J412" s="663"/>
      <c r="K412" s="663"/>
      <c r="L412" s="678" t="s">
        <v>166</v>
      </c>
      <c r="M412" s="678"/>
      <c r="N412" s="678"/>
      <c r="O412" s="678"/>
      <c r="P412" s="678"/>
      <c r="R412" s="702">
        <f>SUMIF($L404:$L410,"ITEM",R404:R410)</f>
        <v>6981.76</v>
      </c>
      <c r="S412" s="71"/>
      <c r="T412" s="702">
        <f>SUMIF($L404:$L410,"ITEM",T404:T410)</f>
        <v>0</v>
      </c>
    </row>
    <row r="413" spans="1:41" s="602" customFormat="1" ht="13.2">
      <c r="A413" s="63"/>
      <c r="B413" s="55" t="s">
        <v>413</v>
      </c>
      <c r="C413" s="63"/>
      <c r="D413" s="3"/>
      <c r="F413" s="703" t="s">
        <v>168</v>
      </c>
      <c r="G413" s="663"/>
      <c r="H413" s="663"/>
      <c r="I413" s="601"/>
      <c r="J413" s="663"/>
      <c r="K413" s="663"/>
      <c r="L413" s="663"/>
      <c r="M413" s="663"/>
      <c r="N413" s="663"/>
      <c r="O413" s="663"/>
      <c r="P413" s="663"/>
      <c r="Q413" s="665"/>
      <c r="R413" s="703" t="s">
        <v>169</v>
      </c>
      <c r="S413" s="38"/>
      <c r="T413" s="703" t="s">
        <v>170</v>
      </c>
    </row>
    <row r="414" spans="1:41" s="602" customFormat="1" ht="13.2">
      <c r="A414" s="663"/>
      <c r="B414" s="3"/>
      <c r="C414" s="663"/>
      <c r="D414" s="3"/>
      <c r="E414" s="3"/>
      <c r="G414" s="3"/>
      <c r="H414" s="3"/>
      <c r="I414" s="3"/>
      <c r="J414" s="3"/>
      <c r="K414" s="3"/>
      <c r="L414" s="3"/>
      <c r="M414" s="3"/>
      <c r="N414" s="3"/>
      <c r="O414" s="158"/>
      <c r="P414" s="3"/>
      <c r="Q414" s="3"/>
      <c r="R414" s="3"/>
      <c r="S414" s="3"/>
      <c r="T414" s="3"/>
    </row>
    <row r="415" spans="1:41" s="602" customFormat="1" ht="12" thickBot="1">
      <c r="A415" s="611"/>
      <c r="B415" s="684"/>
      <c r="C415" s="684"/>
      <c r="D415" s="611"/>
      <c r="E415" s="39"/>
      <c r="F415" s="704"/>
      <c r="G415" s="684"/>
      <c r="H415" s="684"/>
      <c r="I415" s="686"/>
      <c r="J415" s="684"/>
      <c r="K415" s="684"/>
      <c r="L415" s="687"/>
      <c r="M415" s="687"/>
      <c r="N415" s="687"/>
      <c r="O415" s="687"/>
      <c r="P415" s="687"/>
      <c r="Q415" s="688"/>
      <c r="R415" s="704"/>
      <c r="S415" s="705"/>
      <c r="T415" s="704"/>
      <c r="U415" s="611"/>
      <c r="V415" s="611"/>
      <c r="W415" s="611"/>
      <c r="X415" s="611"/>
      <c r="Y415" s="611"/>
      <c r="Z415" s="611"/>
      <c r="AA415" s="611"/>
      <c r="AB415" s="611"/>
      <c r="AC415" s="611"/>
      <c r="AD415" s="611"/>
      <c r="AE415" s="611"/>
      <c r="AF415" s="611"/>
      <c r="AG415" s="611"/>
      <c r="AH415" s="611"/>
      <c r="AI415" s="611"/>
      <c r="AJ415" s="611"/>
      <c r="AK415" s="611"/>
    </row>
    <row r="416" spans="1:41" s="602" customFormat="1" thickTop="1">
      <c r="A416" s="63"/>
      <c r="B416" s="63"/>
      <c r="C416" s="3"/>
      <c r="D416" s="3"/>
      <c r="E416" s="63"/>
      <c r="F416" s="63"/>
      <c r="G416" s="63"/>
      <c r="H416" s="63"/>
      <c r="I416" s="63"/>
      <c r="J416" s="63"/>
      <c r="K416" s="63" t="s">
        <v>134</v>
      </c>
      <c r="L416" s="63"/>
      <c r="M416" s="63"/>
      <c r="N416" s="63"/>
      <c r="O416" s="64"/>
      <c r="P416" s="63"/>
      <c r="Q416" s="63"/>
      <c r="R416" s="63"/>
      <c r="S416" s="63"/>
      <c r="T416" s="63"/>
    </row>
    <row r="417" spans="1:41" s="602" customFormat="1" ht="12">
      <c r="A417" s="63"/>
      <c r="B417" s="63"/>
      <c r="C417" s="63" t="s">
        <v>135</v>
      </c>
      <c r="D417" s="37"/>
      <c r="E417" s="63"/>
      <c r="F417" s="63"/>
      <c r="G417" s="63"/>
      <c r="H417" s="63"/>
      <c r="I417" s="63"/>
      <c r="J417" s="63"/>
      <c r="K417" s="63"/>
      <c r="L417" s="63"/>
      <c r="M417" s="63"/>
      <c r="N417" s="63"/>
      <c r="O417" s="64"/>
      <c r="P417" s="63"/>
      <c r="Q417" s="63"/>
      <c r="R417" s="63"/>
      <c r="S417" s="63"/>
      <c r="T417" s="63"/>
    </row>
    <row r="418" spans="1:41" s="602" customFormat="1" ht="12">
      <c r="A418" s="63"/>
      <c r="B418" s="63"/>
      <c r="C418" s="63"/>
      <c r="D418" s="37" t="s">
        <v>357</v>
      </c>
      <c r="E418" s="63"/>
      <c r="F418" s="63"/>
      <c r="G418" s="63"/>
      <c r="H418" s="63"/>
      <c r="I418" s="63"/>
      <c r="J418" s="63"/>
      <c r="K418" s="63"/>
      <c r="L418" s="63"/>
      <c r="M418" s="63"/>
      <c r="N418" s="63"/>
      <c r="O418" s="64"/>
      <c r="P418" s="63"/>
      <c r="Q418" s="63"/>
      <c r="R418" s="63"/>
      <c r="S418" s="38"/>
      <c r="T418" s="38"/>
    </row>
    <row r="419" spans="1:41" s="3" customFormat="1" thickBot="1">
      <c r="A419" s="611"/>
      <c r="O419" s="158"/>
    </row>
    <row r="420" spans="1:41" s="602" customFormat="1" ht="12" thickTop="1">
      <c r="A420" s="63"/>
      <c r="B420" s="41"/>
      <c r="C420" s="63"/>
      <c r="E420" s="42" t="s">
        <v>138</v>
      </c>
      <c r="F420" s="42" t="s">
        <v>139</v>
      </c>
      <c r="G420" s="63"/>
      <c r="H420" s="63"/>
      <c r="I420" s="63"/>
      <c r="J420" s="63"/>
      <c r="K420" s="63" t="s">
        <v>140</v>
      </c>
      <c r="L420" s="63"/>
      <c r="M420" s="63"/>
      <c r="N420" s="63"/>
      <c r="O420" s="64"/>
      <c r="P420" s="63"/>
      <c r="Q420" s="63"/>
      <c r="R420" s="63"/>
      <c r="S420" s="63"/>
      <c r="T420" s="41"/>
      <c r="AG420" s="667" t="s">
        <v>278</v>
      </c>
      <c r="AH420" s="667" t="s">
        <v>279</v>
      </c>
      <c r="AI420" s="667" t="s">
        <v>280</v>
      </c>
      <c r="AJ420" s="667" t="s">
        <v>281</v>
      </c>
      <c r="AK420" s="667" t="s">
        <v>282</v>
      </c>
      <c r="AM420" s="668" t="s">
        <v>291</v>
      </c>
      <c r="AN420" s="669" t="s">
        <v>292</v>
      </c>
      <c r="AO420" s="603" t="s">
        <v>288</v>
      </c>
    </row>
    <row r="421" spans="1:41" s="602" customFormat="1" ht="12" customHeight="1">
      <c r="A421" s="670">
        <v>1</v>
      </c>
      <c r="B421" s="838" t="s">
        <v>312</v>
      </c>
      <c r="C421" s="672"/>
      <c r="D421" s="673" t="s">
        <v>417</v>
      </c>
      <c r="E421" s="1237">
        <f>IF(AND($A421=0,$A$1="DIF"),0, ROUND(ROUND(($R425*$S$5+($T425*$T$5))/$A421,2)*$C$5,2))</f>
        <v>271.88</v>
      </c>
      <c r="F421" s="1238">
        <f>ROUND($A421*$E421,2)</f>
        <v>271.88</v>
      </c>
      <c r="G421" s="676" t="s">
        <v>142</v>
      </c>
      <c r="H421" s="664"/>
      <c r="I421" s="677"/>
      <c r="J421" s="664"/>
      <c r="K421" s="664" t="s">
        <v>10</v>
      </c>
      <c r="L421" s="678" t="s">
        <v>143</v>
      </c>
      <c r="M421" s="678"/>
      <c r="N421" s="678"/>
      <c r="O421" s="678"/>
      <c r="P421" s="678"/>
      <c r="Q421" s="63"/>
      <c r="T421" s="1242" t="str">
        <f>IF(AND($R425=0,$T425=0),"0.00","mu: "&amp; ROUND(F421/$C$5/($R425+$T425*$D$9),2))</f>
        <v>mu: 1</v>
      </c>
      <c r="W421" s="604"/>
      <c r="AG421" s="1239">
        <f>IF($E421=0,0,ROUND($R425*$S$5*$C$5/$A421,2))</f>
        <v>271.88</v>
      </c>
      <c r="AH421" s="1239">
        <f>$AG421*$A421</f>
        <v>271.88</v>
      </c>
      <c r="AI421" s="1240">
        <f>$E421-$AG421</f>
        <v>0</v>
      </c>
      <c r="AJ421" s="1240">
        <f>$A421*$AI421</f>
        <v>0</v>
      </c>
      <c r="AK421" s="1241">
        <f>ROUND(($AG421+$AI421)*$A421,2)</f>
        <v>271.88</v>
      </c>
      <c r="AM421" s="607">
        <f>ROUND(R425,2)</f>
        <v>271.88</v>
      </c>
      <c r="AN421" s="608">
        <f>ROUND(T425,2)</f>
        <v>0</v>
      </c>
      <c r="AO421" s="609">
        <f>ROUND(AM421+AN421,2)*A421</f>
        <v>271.88</v>
      </c>
    </row>
    <row r="422" spans="1:41" s="602" customFormat="1" ht="39.9" customHeight="1">
      <c r="A422" s="672"/>
      <c r="B422"/>
      <c r="C422" s="672"/>
      <c r="D422" s="1368" t="s">
        <v>358</v>
      </c>
      <c r="E422" s="1369"/>
      <c r="F422" s="1369"/>
      <c r="G422" s="1369"/>
      <c r="H422" s="1369"/>
      <c r="I422" s="1369"/>
      <c r="J422" s="1369"/>
      <c r="K422" s="1369"/>
      <c r="L422" s="1369"/>
      <c r="M422" s="1369"/>
      <c r="N422" s="1369"/>
      <c r="O422" s="1369"/>
      <c r="P422" s="1369"/>
      <c r="Q422" s="1369"/>
      <c r="R422" s="1369"/>
      <c r="S422" s="1369"/>
      <c r="T422" s="1369"/>
    </row>
    <row r="423" spans="1:41" s="730" customFormat="1" ht="13.2">
      <c r="A423" s="750">
        <f>A421</f>
        <v>1</v>
      </c>
      <c r="B423" s="740" t="s">
        <v>312</v>
      </c>
      <c r="C423" s="740"/>
      <c r="D423" s="740" t="s">
        <v>1175</v>
      </c>
      <c r="E423" s="740"/>
      <c r="F423" s="749" t="s">
        <v>1177</v>
      </c>
      <c r="G423" s="741" t="s">
        <v>1176</v>
      </c>
      <c r="H423" s="1002">
        <v>960</v>
      </c>
      <c r="I423" s="740" t="s">
        <v>686</v>
      </c>
      <c r="J423" s="740"/>
      <c r="K423" s="740"/>
      <c r="L423" s="740"/>
      <c r="M423" s="740"/>
      <c r="N423" s="740"/>
      <c r="O423" s="744">
        <v>4</v>
      </c>
      <c r="P423" s="745">
        <v>38594</v>
      </c>
      <c r="Q423" s="746">
        <v>271.88</v>
      </c>
      <c r="R423" s="747">
        <f>$A423*Q423</f>
        <v>271.88</v>
      </c>
      <c r="S423" s="746"/>
      <c r="T423" s="748">
        <f>$A423*S423*$T$1</f>
        <v>0</v>
      </c>
    </row>
    <row r="424" spans="1:41" s="602" customFormat="1" ht="12">
      <c r="A424" s="663"/>
      <c r="B424" s="663"/>
      <c r="C424" s="663"/>
      <c r="D424" s="663"/>
      <c r="E424" s="663"/>
      <c r="F424" s="664"/>
      <c r="G424" s="663"/>
      <c r="H424" s="663"/>
      <c r="I424" s="601"/>
      <c r="J424" s="663"/>
      <c r="K424" s="663"/>
      <c r="L424" s="663"/>
      <c r="M424" s="663"/>
      <c r="N424" s="663"/>
      <c r="O424" s="663"/>
      <c r="P424" s="663"/>
      <c r="Q424" s="601"/>
      <c r="R424" s="666">
        <f>$A424*Q424</f>
        <v>0</v>
      </c>
      <c r="S424" s="601"/>
      <c r="T424" s="681">
        <f>$A424*S424*$T$1</f>
        <v>0</v>
      </c>
    </row>
    <row r="425" spans="1:41" s="602" customFormat="1" ht="12.6" thickBot="1">
      <c r="A425" s="682" t="s">
        <v>145</v>
      </c>
      <c r="B425" s="683">
        <f>(R424+T424)</f>
        <v>0</v>
      </c>
      <c r="C425" s="684"/>
      <c r="D425" s="684"/>
      <c r="E425" s="684"/>
      <c r="F425" s="685"/>
      <c r="G425" s="684" t="s">
        <v>146</v>
      </c>
      <c r="H425" s="684"/>
      <c r="I425" s="686"/>
      <c r="J425" s="684"/>
      <c r="K425" s="684" t="s">
        <v>10</v>
      </c>
      <c r="L425" s="687" t="s">
        <v>143</v>
      </c>
      <c r="M425" s="687"/>
      <c r="N425" s="687"/>
      <c r="O425" s="687"/>
      <c r="P425" s="687"/>
      <c r="Q425" s="688"/>
      <c r="R425" s="689">
        <f>SUM(R422:R424)</f>
        <v>271.88</v>
      </c>
      <c r="S425" s="684"/>
      <c r="T425" s="689">
        <f>SUM(T422:T424)</f>
        <v>0</v>
      </c>
      <c r="U425" s="611"/>
      <c r="V425" s="611"/>
      <c r="W425" s="611"/>
      <c r="X425" s="611"/>
      <c r="Y425" s="611"/>
      <c r="Z425" s="611"/>
      <c r="AA425" s="611"/>
      <c r="AB425" s="611"/>
      <c r="AC425" s="611"/>
      <c r="AD425" s="611"/>
      <c r="AE425" s="611"/>
      <c r="AF425" s="611"/>
      <c r="AG425" s="611"/>
      <c r="AH425" s="611"/>
      <c r="AI425" s="611"/>
      <c r="AJ425" s="611"/>
      <c r="AK425" s="611"/>
      <c r="AL425" s="611"/>
      <c r="AM425" s="611"/>
      <c r="AN425" s="611"/>
      <c r="AO425" s="611"/>
    </row>
    <row r="426" spans="1:41" s="602" customFormat="1" ht="12" thickTop="1">
      <c r="A426" s="63"/>
      <c r="B426" s="41"/>
      <c r="C426" s="63"/>
      <c r="E426" s="42" t="s">
        <v>138</v>
      </c>
      <c r="F426" s="42" t="s">
        <v>139</v>
      </c>
      <c r="G426" s="63"/>
      <c r="H426" s="63"/>
      <c r="I426" s="63"/>
      <c r="J426" s="63"/>
      <c r="K426" s="63" t="s">
        <v>140</v>
      </c>
      <c r="L426" s="63"/>
      <c r="M426" s="63"/>
      <c r="N426" s="63"/>
      <c r="O426" s="64"/>
      <c r="P426" s="63"/>
      <c r="Q426" s="63"/>
      <c r="R426" s="63"/>
      <c r="S426" s="63"/>
      <c r="T426" s="41"/>
      <c r="AG426" s="667" t="s">
        <v>278</v>
      </c>
      <c r="AH426" s="667" t="s">
        <v>279</v>
      </c>
      <c r="AI426" s="667" t="s">
        <v>280</v>
      </c>
      <c r="AJ426" s="667" t="s">
        <v>281</v>
      </c>
      <c r="AK426" s="667" t="s">
        <v>282</v>
      </c>
      <c r="AM426" s="668" t="s">
        <v>291</v>
      </c>
      <c r="AN426" s="669" t="s">
        <v>292</v>
      </c>
      <c r="AO426" s="603" t="s">
        <v>288</v>
      </c>
    </row>
    <row r="427" spans="1:41" s="602" customFormat="1" ht="12" customHeight="1">
      <c r="A427" s="670">
        <v>1</v>
      </c>
      <c r="B427" s="838" t="s">
        <v>312</v>
      </c>
      <c r="C427" s="672"/>
      <c r="D427" s="673" t="s">
        <v>418</v>
      </c>
      <c r="E427" s="1237">
        <f>IF(AND($A427=0,$A$1="DIF"),0, ROUND(ROUND(($R431*$S$5+($T431*$T$5))/$A427,2)*$C$5,2))</f>
        <v>150.46</v>
      </c>
      <c r="F427" s="1238">
        <f>ROUND($A427*$E427,2)</f>
        <v>150.46</v>
      </c>
      <c r="G427" s="676" t="s">
        <v>142</v>
      </c>
      <c r="H427" s="664"/>
      <c r="I427" s="677"/>
      <c r="J427" s="664"/>
      <c r="K427" s="664" t="s">
        <v>10</v>
      </c>
      <c r="L427" s="678" t="s">
        <v>143</v>
      </c>
      <c r="M427" s="678"/>
      <c r="N427" s="678"/>
      <c r="O427" s="678"/>
      <c r="P427" s="678"/>
      <c r="Q427" s="63"/>
      <c r="T427" s="1242" t="str">
        <f>IF(AND($R431=0,$T431=0),"0.00","mu: "&amp; ROUND(F427/$C$5/($R431+$T431*$D$9),2))</f>
        <v>mu: 1</v>
      </c>
      <c r="W427" s="604"/>
      <c r="AG427" s="1239">
        <f>IF($E427=0,0,ROUND($R431*$S$5*$C$5/$A427,2))</f>
        <v>150.46</v>
      </c>
      <c r="AH427" s="1239">
        <f>$AG427*$A427</f>
        <v>150.46</v>
      </c>
      <c r="AI427" s="1240">
        <f>$E427-$AG427</f>
        <v>0</v>
      </c>
      <c r="AJ427" s="1240">
        <f>$A427*$AI427</f>
        <v>0</v>
      </c>
      <c r="AK427" s="1241">
        <f>ROUND(($AG427+$AI427)*$A427,2)</f>
        <v>150.46</v>
      </c>
      <c r="AM427" s="607">
        <f>ROUND(R431,2)</f>
        <v>150.46</v>
      </c>
      <c r="AN427" s="608">
        <f>ROUND(T431,2)</f>
        <v>0</v>
      </c>
      <c r="AO427" s="609">
        <f>ROUND(AM427+AN427,2)*A427</f>
        <v>150.46</v>
      </c>
    </row>
    <row r="428" spans="1:41" s="602" customFormat="1" ht="39.9" customHeight="1">
      <c r="A428" s="672"/>
      <c r="B428"/>
      <c r="C428" s="672"/>
      <c r="D428" s="1368" t="s">
        <v>359</v>
      </c>
      <c r="E428" s="1369"/>
      <c r="F428" s="1369"/>
      <c r="G428" s="1369"/>
      <c r="H428" s="1369"/>
      <c r="I428" s="1369"/>
      <c r="J428" s="1369"/>
      <c r="K428" s="1369"/>
      <c r="L428" s="1369"/>
      <c r="M428" s="1369"/>
      <c r="N428" s="1369"/>
      <c r="O428" s="1369"/>
      <c r="P428" s="1369"/>
      <c r="Q428" s="1369"/>
      <c r="R428" s="1369"/>
      <c r="S428" s="1369"/>
      <c r="T428" s="1369"/>
    </row>
    <row r="429" spans="1:41" s="730" customFormat="1" ht="13.2">
      <c r="A429" s="750">
        <f>A427</f>
        <v>1</v>
      </c>
      <c r="B429" s="740" t="s">
        <v>312</v>
      </c>
      <c r="C429" s="740"/>
      <c r="D429" s="740" t="s">
        <v>1175</v>
      </c>
      <c r="E429" s="740"/>
      <c r="F429" s="749" t="s">
        <v>1177</v>
      </c>
      <c r="G429" s="741" t="s">
        <v>1176</v>
      </c>
      <c r="H429" s="1002">
        <v>960</v>
      </c>
      <c r="I429" s="740" t="s">
        <v>686</v>
      </c>
      <c r="J429" s="740"/>
      <c r="K429" s="740"/>
      <c r="L429" s="740"/>
      <c r="M429" s="740"/>
      <c r="N429" s="740"/>
      <c r="O429" s="744">
        <v>4</v>
      </c>
      <c r="P429" s="745">
        <v>38594</v>
      </c>
      <c r="Q429" s="746">
        <v>150.46</v>
      </c>
      <c r="R429" s="747">
        <f>$A429*Q429</f>
        <v>150.46</v>
      </c>
      <c r="S429" s="746"/>
      <c r="T429" s="748">
        <f>$A429*S429*$T$1</f>
        <v>0</v>
      </c>
    </row>
    <row r="430" spans="1:41" s="602" customFormat="1" ht="12">
      <c r="A430" s="663"/>
      <c r="B430" s="663"/>
      <c r="C430" s="663"/>
      <c r="D430" s="663"/>
      <c r="E430" s="663"/>
      <c r="F430" s="664"/>
      <c r="G430" s="663"/>
      <c r="H430" s="663"/>
      <c r="I430" s="601"/>
      <c r="J430" s="663"/>
      <c r="K430" s="663"/>
      <c r="L430" s="663"/>
      <c r="M430" s="663"/>
      <c r="N430" s="663"/>
      <c r="O430" s="663"/>
      <c r="P430" s="663"/>
      <c r="Q430" s="601"/>
      <c r="R430" s="666">
        <f>$A430*Q430</f>
        <v>0</v>
      </c>
      <c r="S430" s="601"/>
      <c r="T430" s="681">
        <f>$A430*S430*$T$1</f>
        <v>0</v>
      </c>
    </row>
    <row r="431" spans="1:41" s="602" customFormat="1" ht="12.6" thickBot="1">
      <c r="A431" s="682" t="s">
        <v>145</v>
      </c>
      <c r="B431" s="683">
        <f>(R430+T430)</f>
        <v>0</v>
      </c>
      <c r="C431" s="684"/>
      <c r="D431" s="684"/>
      <c r="E431" s="684"/>
      <c r="F431" s="685"/>
      <c r="G431" s="684" t="s">
        <v>146</v>
      </c>
      <c r="H431" s="684"/>
      <c r="I431" s="686"/>
      <c r="J431" s="684"/>
      <c r="K431" s="684" t="s">
        <v>10</v>
      </c>
      <c r="L431" s="687" t="s">
        <v>143</v>
      </c>
      <c r="M431" s="687"/>
      <c r="N431" s="687"/>
      <c r="O431" s="687"/>
      <c r="P431" s="687"/>
      <c r="Q431" s="688"/>
      <c r="R431" s="689">
        <f>SUM(R428:R430)</f>
        <v>150.46</v>
      </c>
      <c r="S431" s="684"/>
      <c r="T431" s="689">
        <f>SUM(T428:T430)</f>
        <v>0</v>
      </c>
      <c r="U431" s="611"/>
      <c r="V431" s="611"/>
      <c r="W431" s="611"/>
      <c r="X431" s="611"/>
      <c r="Y431" s="611"/>
      <c r="Z431" s="611"/>
      <c r="AA431" s="611"/>
      <c r="AB431" s="611"/>
      <c r="AC431" s="611"/>
      <c r="AD431" s="611"/>
      <c r="AE431" s="611"/>
      <c r="AF431" s="611"/>
      <c r="AG431" s="611"/>
      <c r="AH431" s="611"/>
      <c r="AI431" s="611"/>
      <c r="AJ431" s="611"/>
      <c r="AK431" s="611"/>
      <c r="AL431" s="611"/>
      <c r="AM431" s="611"/>
      <c r="AN431" s="611"/>
      <c r="AO431" s="611"/>
    </row>
    <row r="432" spans="1:41" s="602" customFormat="1" ht="12" thickTop="1">
      <c r="A432" s="63"/>
      <c r="B432" s="41"/>
      <c r="C432" s="63"/>
      <c r="E432" s="42" t="s">
        <v>138</v>
      </c>
      <c r="F432" s="42" t="s">
        <v>139</v>
      </c>
      <c r="G432" s="63"/>
      <c r="H432" s="63"/>
      <c r="I432" s="63"/>
      <c r="J432" s="63"/>
      <c r="K432" s="63" t="s">
        <v>140</v>
      </c>
      <c r="L432" s="63"/>
      <c r="M432" s="63"/>
      <c r="N432" s="63"/>
      <c r="O432" s="64"/>
      <c r="P432" s="63"/>
      <c r="Q432" s="63"/>
      <c r="R432" s="63"/>
      <c r="S432" s="63"/>
      <c r="T432" s="41"/>
      <c r="AG432" s="667" t="s">
        <v>278</v>
      </c>
      <c r="AH432" s="667" t="s">
        <v>279</v>
      </c>
      <c r="AI432" s="667" t="s">
        <v>280</v>
      </c>
      <c r="AJ432" s="667" t="s">
        <v>281</v>
      </c>
      <c r="AK432" s="667" t="s">
        <v>282</v>
      </c>
      <c r="AM432" s="668" t="s">
        <v>291</v>
      </c>
      <c r="AN432" s="669" t="s">
        <v>292</v>
      </c>
      <c r="AO432" s="603" t="s">
        <v>288</v>
      </c>
    </row>
    <row r="433" spans="1:41" s="602" customFormat="1" ht="12" customHeight="1">
      <c r="A433" s="670">
        <v>1</v>
      </c>
      <c r="B433" s="838" t="s">
        <v>312</v>
      </c>
      <c r="C433" s="672"/>
      <c r="D433" s="673" t="s">
        <v>473</v>
      </c>
      <c r="E433" s="1237">
        <f>IF(AND($A433=0,$A$1="DIF"),0, ROUND(ROUND(($R437*$S$5+($T437*$T$5))/$A433,2)*$C$5,2))</f>
        <v>472.49</v>
      </c>
      <c r="F433" s="1238">
        <f>ROUND($A433*$E433,2)</f>
        <v>472.49</v>
      </c>
      <c r="G433" s="676" t="s">
        <v>142</v>
      </c>
      <c r="H433" s="664"/>
      <c r="I433" s="677"/>
      <c r="J433" s="664"/>
      <c r="K433" s="664" t="s">
        <v>10</v>
      </c>
      <c r="L433" s="678" t="s">
        <v>143</v>
      </c>
      <c r="M433" s="678"/>
      <c r="N433" s="678"/>
      <c r="O433" s="678"/>
      <c r="P433" s="678"/>
      <c r="Q433" s="63"/>
      <c r="T433" s="1242" t="str">
        <f>IF(AND($R437=0,$T437=0),"0.00","mu: "&amp; ROUND(F433/$C$5/($R437+$T437*$D$9),2))</f>
        <v>mu: 1</v>
      </c>
      <c r="W433" s="604"/>
      <c r="AG433" s="1239">
        <f>IF($E433=0,0,ROUND($R437*$S$5*$C$5/$A433,2))</f>
        <v>472.49</v>
      </c>
      <c r="AH433" s="1239">
        <f>$AG433*$A433</f>
        <v>472.49</v>
      </c>
      <c r="AI433" s="1240">
        <f>$E433-$AG433</f>
        <v>0</v>
      </c>
      <c r="AJ433" s="1240">
        <f>$A433*$AI433</f>
        <v>0</v>
      </c>
      <c r="AK433" s="1241">
        <f>ROUND(($AG433+$AI433)*$A433,2)</f>
        <v>472.49</v>
      </c>
      <c r="AM433" s="607">
        <f>ROUND(R437,2)</f>
        <v>472.49</v>
      </c>
      <c r="AN433" s="608">
        <f>ROUND(T437,2)</f>
        <v>0</v>
      </c>
      <c r="AO433" s="609">
        <f>ROUND(AM433+AN433,2)*A433</f>
        <v>472.49</v>
      </c>
    </row>
    <row r="434" spans="1:41" s="602" customFormat="1" ht="39.9" customHeight="1">
      <c r="A434" s="672"/>
      <c r="B434"/>
      <c r="C434" s="672"/>
      <c r="D434" s="1368" t="s">
        <v>360</v>
      </c>
      <c r="E434" s="1369"/>
      <c r="F434" s="1369"/>
      <c r="G434" s="1369"/>
      <c r="H434" s="1369"/>
      <c r="I434" s="1369"/>
      <c r="J434" s="1369"/>
      <c r="K434" s="1369"/>
      <c r="L434" s="1369"/>
      <c r="M434" s="1369"/>
      <c r="N434" s="1369"/>
      <c r="O434" s="1369"/>
      <c r="P434" s="1369"/>
      <c r="Q434" s="1369"/>
      <c r="R434" s="1369"/>
      <c r="S434" s="1369"/>
      <c r="T434" s="1369"/>
    </row>
    <row r="435" spans="1:41" s="730" customFormat="1" ht="13.2">
      <c r="A435" s="750">
        <f>A433</f>
        <v>1</v>
      </c>
      <c r="B435" s="740" t="s">
        <v>312</v>
      </c>
      <c r="C435" s="740"/>
      <c r="D435" s="740" t="s">
        <v>1175</v>
      </c>
      <c r="E435" s="740"/>
      <c r="F435" s="749" t="s">
        <v>1177</v>
      </c>
      <c r="G435" s="741" t="s">
        <v>1176</v>
      </c>
      <c r="H435" s="1002">
        <v>960</v>
      </c>
      <c r="I435" s="740" t="s">
        <v>686</v>
      </c>
      <c r="J435" s="740"/>
      <c r="K435" s="740"/>
      <c r="L435" s="740"/>
      <c r="M435" s="740"/>
      <c r="N435" s="740"/>
      <c r="O435" s="744">
        <v>4</v>
      </c>
      <c r="P435" s="745">
        <v>38594</v>
      </c>
      <c r="Q435" s="746">
        <v>472.49</v>
      </c>
      <c r="R435" s="747">
        <f>$A435*Q435</f>
        <v>472.49</v>
      </c>
      <c r="S435" s="746"/>
      <c r="T435" s="748">
        <f>$A435*S435*$T$1</f>
        <v>0</v>
      </c>
    </row>
    <row r="436" spans="1:41" s="602" customFormat="1" ht="12">
      <c r="A436" s="663"/>
      <c r="B436" s="663"/>
      <c r="C436" s="663"/>
      <c r="D436" s="663"/>
      <c r="E436" s="663"/>
      <c r="F436" s="664"/>
      <c r="G436" s="663"/>
      <c r="H436" s="663"/>
      <c r="I436" s="601"/>
      <c r="J436" s="663"/>
      <c r="K436" s="663"/>
      <c r="L436" s="663"/>
      <c r="M436" s="663"/>
      <c r="N436" s="663"/>
      <c r="O436" s="663"/>
      <c r="P436" s="663"/>
      <c r="Q436" s="601"/>
      <c r="R436" s="666">
        <f>$A436*Q436</f>
        <v>0</v>
      </c>
      <c r="S436" s="601"/>
      <c r="T436" s="681">
        <f>$A436*S436*$T$1</f>
        <v>0</v>
      </c>
    </row>
    <row r="437" spans="1:41" s="602" customFormat="1" ht="12.6" thickBot="1">
      <c r="A437" s="682" t="s">
        <v>145</v>
      </c>
      <c r="B437" s="683">
        <f>(R436+T436)</f>
        <v>0</v>
      </c>
      <c r="C437" s="684"/>
      <c r="D437" s="684"/>
      <c r="E437" s="684"/>
      <c r="F437" s="685"/>
      <c r="G437" s="684" t="s">
        <v>146</v>
      </c>
      <c r="H437" s="684"/>
      <c r="I437" s="686"/>
      <c r="J437" s="684"/>
      <c r="K437" s="684" t="s">
        <v>10</v>
      </c>
      <c r="L437" s="687" t="s">
        <v>143</v>
      </c>
      <c r="M437" s="687"/>
      <c r="N437" s="687"/>
      <c r="O437" s="687"/>
      <c r="P437" s="687"/>
      <c r="Q437" s="688"/>
      <c r="R437" s="689">
        <f>SUM(R434:R436)</f>
        <v>472.49</v>
      </c>
      <c r="S437" s="684"/>
      <c r="T437" s="689">
        <f>SUM(T434:T436)</f>
        <v>0</v>
      </c>
      <c r="U437" s="611"/>
      <c r="V437" s="611"/>
      <c r="W437" s="611"/>
      <c r="X437" s="611"/>
      <c r="Y437" s="611"/>
      <c r="Z437" s="611"/>
      <c r="AA437" s="611"/>
      <c r="AB437" s="611"/>
      <c r="AC437" s="611"/>
      <c r="AD437" s="611"/>
      <c r="AE437" s="611"/>
      <c r="AF437" s="611"/>
      <c r="AG437" s="611"/>
      <c r="AH437" s="611"/>
      <c r="AI437" s="611"/>
      <c r="AJ437" s="611"/>
      <c r="AK437" s="611"/>
      <c r="AL437" s="611"/>
      <c r="AM437" s="611"/>
      <c r="AN437" s="611"/>
      <c r="AO437" s="611"/>
    </row>
    <row r="438" spans="1:41" s="602" customFormat="1" ht="12" thickTop="1">
      <c r="A438" s="63"/>
      <c r="B438" s="41"/>
      <c r="C438" s="63"/>
      <c r="E438" s="42" t="s">
        <v>138</v>
      </c>
      <c r="F438" s="42" t="s">
        <v>139</v>
      </c>
      <c r="G438" s="63"/>
      <c r="H438" s="63"/>
      <c r="I438" s="63"/>
      <c r="J438" s="63"/>
      <c r="K438" s="63" t="s">
        <v>140</v>
      </c>
      <c r="L438" s="63"/>
      <c r="M438" s="63"/>
      <c r="N438" s="63"/>
      <c r="O438" s="64"/>
      <c r="P438" s="63"/>
      <c r="Q438" s="63"/>
      <c r="R438" s="63"/>
      <c r="S438" s="63"/>
      <c r="T438" s="41"/>
      <c r="AG438" s="667" t="s">
        <v>278</v>
      </c>
      <c r="AH438" s="667" t="s">
        <v>279</v>
      </c>
      <c r="AI438" s="667" t="s">
        <v>280</v>
      </c>
      <c r="AJ438" s="667" t="s">
        <v>281</v>
      </c>
      <c r="AK438" s="667" t="s">
        <v>282</v>
      </c>
      <c r="AM438" s="668" t="s">
        <v>291</v>
      </c>
      <c r="AN438" s="669" t="s">
        <v>292</v>
      </c>
      <c r="AO438" s="603" t="s">
        <v>288</v>
      </c>
    </row>
    <row r="439" spans="1:41" s="602" customFormat="1" ht="12" customHeight="1">
      <c r="A439" s="670">
        <v>1</v>
      </c>
      <c r="B439" s="838" t="s">
        <v>312</v>
      </c>
      <c r="C439" s="672"/>
      <c r="D439" s="673" t="s">
        <v>475</v>
      </c>
      <c r="E439" s="1237">
        <f>IF(AND($A439=0,$A$1="DIF"),0, ROUND(ROUND(($R443*$S$5+($T443*$T$5))/$A439,2)*$C$5,2))</f>
        <v>0</v>
      </c>
      <c r="F439" s="1238">
        <f>ROUND($A439*$E439,2)</f>
        <v>0</v>
      </c>
      <c r="G439" s="676" t="s">
        <v>142</v>
      </c>
      <c r="H439" s="664"/>
      <c r="I439" s="677"/>
      <c r="J439" s="664"/>
      <c r="K439" s="664" t="s">
        <v>10</v>
      </c>
      <c r="L439" s="678" t="s">
        <v>143</v>
      </c>
      <c r="M439" s="678"/>
      <c r="N439" s="678"/>
      <c r="O439" s="678"/>
      <c r="P439" s="678"/>
      <c r="Q439" s="839" t="s">
        <v>762</v>
      </c>
      <c r="T439" s="1242" t="str">
        <f>IF(AND($R443=0,$T443=0),"0.00","mu: "&amp; ROUND(F439/$C$5/($R443+$T443*$D$9),2))</f>
        <v>0.00</v>
      </c>
      <c r="W439" s="604"/>
      <c r="AG439" s="1239">
        <f>IF($E439=0,0,ROUND($R443*$S$5*$C$5/$A439,2))</f>
        <v>0</v>
      </c>
      <c r="AH439" s="1239">
        <f>$AG439*$A439</f>
        <v>0</v>
      </c>
      <c r="AI439" s="1240">
        <f>$E439-$AG439</f>
        <v>0</v>
      </c>
      <c r="AJ439" s="1240">
        <f>$A439*$AI439</f>
        <v>0</v>
      </c>
      <c r="AK439" s="1241">
        <f>ROUND(($AG439+$AI439)*$A439,2)</f>
        <v>0</v>
      </c>
      <c r="AM439" s="607">
        <f>ROUND(R443,2)</f>
        <v>0</v>
      </c>
      <c r="AN439" s="608">
        <f>ROUND(T443,2)</f>
        <v>0</v>
      </c>
      <c r="AO439" s="609">
        <f>ROUND(AM439+AN439,2)*A439</f>
        <v>0</v>
      </c>
    </row>
    <row r="440" spans="1:41" s="602" customFormat="1" ht="13.2">
      <c r="A440" s="672"/>
      <c r="B440"/>
      <c r="C440" s="672"/>
      <c r="D440" s="673" t="s">
        <v>1184</v>
      </c>
      <c r="F440" s="664"/>
      <c r="G440" s="3"/>
      <c r="H440" s="664"/>
      <c r="I440" s="677"/>
      <c r="J440" s="664"/>
      <c r="K440" s="664" t="s">
        <v>144</v>
      </c>
      <c r="L440" s="664"/>
      <c r="M440" s="664"/>
      <c r="N440" s="664"/>
      <c r="O440" s="664"/>
      <c r="P440" s="664"/>
      <c r="Q440" s="63"/>
      <c r="R440" s="610"/>
      <c r="S440" s="680"/>
      <c r="T440" s="664"/>
    </row>
    <row r="441" spans="1:41" s="730" customFormat="1" ht="13.2">
      <c r="A441" s="750">
        <f>A439</f>
        <v>1</v>
      </c>
      <c r="B441" s="740" t="s">
        <v>312</v>
      </c>
      <c r="C441" s="740"/>
      <c r="D441" s="740" t="s">
        <v>1175</v>
      </c>
      <c r="E441" s="740"/>
      <c r="F441" s="749" t="s">
        <v>1177</v>
      </c>
      <c r="G441" s="741" t="s">
        <v>1176</v>
      </c>
      <c r="H441" s="1002">
        <v>960</v>
      </c>
      <c r="I441" s="740" t="s">
        <v>686</v>
      </c>
      <c r="J441" s="740"/>
      <c r="K441" s="740"/>
      <c r="L441" s="740"/>
      <c r="M441" s="740"/>
      <c r="N441" s="740"/>
      <c r="O441" s="744">
        <v>4</v>
      </c>
      <c r="P441" s="745">
        <v>38594</v>
      </c>
      <c r="Q441" s="746"/>
      <c r="R441" s="747">
        <f>$A441*Q441</f>
        <v>0</v>
      </c>
      <c r="S441" s="746"/>
      <c r="T441" s="748">
        <f>$A441*S441*$T$1</f>
        <v>0</v>
      </c>
    </row>
    <row r="442" spans="1:41" s="602" customFormat="1" ht="12">
      <c r="A442" s="663"/>
      <c r="B442" s="663"/>
      <c r="C442" s="663"/>
      <c r="D442" s="663"/>
      <c r="E442" s="663"/>
      <c r="F442" s="664"/>
      <c r="G442" s="663"/>
      <c r="H442" s="663"/>
      <c r="I442" s="601"/>
      <c r="J442" s="663"/>
      <c r="K442" s="663"/>
      <c r="L442" s="663"/>
      <c r="M442" s="663"/>
      <c r="N442" s="663"/>
      <c r="O442" s="663"/>
      <c r="P442" s="663"/>
      <c r="Q442" s="601"/>
      <c r="R442" s="666">
        <f>$A442*Q442</f>
        <v>0</v>
      </c>
      <c r="S442" s="601"/>
      <c r="T442" s="681">
        <f>$A442*S442*$T$1</f>
        <v>0</v>
      </c>
    </row>
    <row r="443" spans="1:41" s="602" customFormat="1" ht="12.6" thickBot="1">
      <c r="A443" s="682" t="s">
        <v>145</v>
      </c>
      <c r="B443" s="683">
        <f>(R442+T442)</f>
        <v>0</v>
      </c>
      <c r="C443" s="684"/>
      <c r="D443" s="684"/>
      <c r="E443" s="684"/>
      <c r="F443" s="685"/>
      <c r="G443" s="684" t="s">
        <v>146</v>
      </c>
      <c r="H443" s="684"/>
      <c r="I443" s="686"/>
      <c r="J443" s="684"/>
      <c r="K443" s="684" t="s">
        <v>10</v>
      </c>
      <c r="L443" s="687" t="s">
        <v>143</v>
      </c>
      <c r="M443" s="687"/>
      <c r="N443" s="687"/>
      <c r="O443" s="687"/>
      <c r="P443" s="687"/>
      <c r="Q443" s="688"/>
      <c r="R443" s="689">
        <f>SUM(R440:R442)</f>
        <v>0</v>
      </c>
      <c r="S443" s="684"/>
      <c r="T443" s="689">
        <f>SUM(T440:T442)</f>
        <v>0</v>
      </c>
      <c r="U443" s="611"/>
      <c r="V443" s="611"/>
      <c r="W443" s="611"/>
      <c r="X443" s="611"/>
      <c r="Y443" s="611"/>
      <c r="Z443" s="611"/>
      <c r="AA443" s="611"/>
      <c r="AB443" s="611"/>
      <c r="AC443" s="611"/>
      <c r="AD443" s="611"/>
      <c r="AE443" s="611"/>
      <c r="AF443" s="611"/>
      <c r="AG443" s="611"/>
      <c r="AH443" s="611"/>
      <c r="AI443" s="611"/>
      <c r="AJ443" s="611"/>
      <c r="AK443" s="611"/>
      <c r="AL443" s="611"/>
      <c r="AM443" s="611"/>
      <c r="AN443" s="611"/>
      <c r="AO443" s="611"/>
    </row>
    <row r="444" spans="1:41" s="602" customFormat="1" ht="12" thickTop="1">
      <c r="A444" s="63"/>
      <c r="B444" s="41"/>
      <c r="C444" s="63"/>
      <c r="E444" s="42" t="s">
        <v>138</v>
      </c>
      <c r="F444" s="42" t="s">
        <v>139</v>
      </c>
      <c r="G444" s="63"/>
      <c r="H444" s="63"/>
      <c r="I444" s="63"/>
      <c r="J444" s="63"/>
      <c r="K444" s="63" t="s">
        <v>140</v>
      </c>
      <c r="L444" s="63"/>
      <c r="M444" s="63"/>
      <c r="N444" s="63"/>
      <c r="O444" s="64"/>
      <c r="P444" s="63"/>
      <c r="Q444" s="63"/>
      <c r="R444" s="63"/>
      <c r="S444" s="63"/>
      <c r="T444" s="41"/>
      <c r="AG444" s="667" t="s">
        <v>278</v>
      </c>
      <c r="AH444" s="667" t="s">
        <v>279</v>
      </c>
      <c r="AI444" s="667" t="s">
        <v>280</v>
      </c>
      <c r="AJ444" s="667" t="s">
        <v>281</v>
      </c>
      <c r="AK444" s="667" t="s">
        <v>282</v>
      </c>
      <c r="AM444" s="668" t="s">
        <v>291</v>
      </c>
      <c r="AN444" s="669" t="s">
        <v>292</v>
      </c>
      <c r="AO444" s="603" t="s">
        <v>288</v>
      </c>
    </row>
    <row r="445" spans="1:41" s="602" customFormat="1" ht="12" customHeight="1">
      <c r="A445" s="670">
        <v>1</v>
      </c>
      <c r="B445" s="838" t="s">
        <v>312</v>
      </c>
      <c r="C445" s="672"/>
      <c r="D445" s="673" t="s">
        <v>1174</v>
      </c>
      <c r="E445" s="1237">
        <f>IF(AND($A445=0,$A$1="DIF"),0, ROUND(ROUND(($R449*$S$5+($T449*$T$5))/$A445,2)*$C$5,2))</f>
        <v>747.01</v>
      </c>
      <c r="F445" s="1238">
        <f>ROUND($A445*$E445,2)</f>
        <v>747.01</v>
      </c>
      <c r="G445" s="676" t="s">
        <v>142</v>
      </c>
      <c r="H445" s="664"/>
      <c r="I445" s="677"/>
      <c r="J445" s="664"/>
      <c r="K445" s="664" t="s">
        <v>10</v>
      </c>
      <c r="L445" s="678" t="s">
        <v>143</v>
      </c>
      <c r="M445" s="678"/>
      <c r="N445" s="678"/>
      <c r="O445" s="678"/>
      <c r="P445" s="678"/>
      <c r="Q445" s="63"/>
      <c r="T445" s="1242" t="str">
        <f>IF(AND($R449=0,$T449=0),"0.00","mu: "&amp; ROUND(F445/$C$5/($R449+$T449*$D$9),2))</f>
        <v>mu: 1</v>
      </c>
      <c r="W445" s="604"/>
      <c r="AG445" s="1239">
        <f>IF($E445=0,0,ROUND($R449*$S$5*$C$5/$A445,2))</f>
        <v>747.01</v>
      </c>
      <c r="AH445" s="1239">
        <f>$AG445*$A445</f>
        <v>747.01</v>
      </c>
      <c r="AI445" s="1240">
        <f>$E445-$AG445</f>
        <v>0</v>
      </c>
      <c r="AJ445" s="1240">
        <f>$A445*$AI445</f>
        <v>0</v>
      </c>
      <c r="AK445" s="1241">
        <f>ROUND(($AG445+$AI445)*$A445,2)</f>
        <v>747.01</v>
      </c>
      <c r="AM445" s="607">
        <f>ROUND(R449,2)</f>
        <v>747.01</v>
      </c>
      <c r="AN445" s="608">
        <f>ROUND(T449,2)</f>
        <v>0</v>
      </c>
      <c r="AO445" s="609">
        <f>ROUND(AM445+AN445,2)*A445</f>
        <v>747.01</v>
      </c>
    </row>
    <row r="446" spans="1:41" s="602" customFormat="1" ht="39.9" customHeight="1">
      <c r="A446" s="672"/>
      <c r="B446"/>
      <c r="C446" s="672"/>
      <c r="D446" s="1368" t="s">
        <v>551</v>
      </c>
      <c r="E446" s="1369"/>
      <c r="F446" s="1369"/>
      <c r="G446" s="1369"/>
      <c r="H446" s="1369"/>
      <c r="I446" s="1369"/>
      <c r="J446" s="1369"/>
      <c r="K446" s="1369"/>
      <c r="L446" s="1369"/>
      <c r="M446" s="1369"/>
      <c r="N446" s="1369"/>
      <c r="O446" s="1369"/>
      <c r="P446" s="1369"/>
      <c r="Q446" s="1369"/>
      <c r="R446" s="1369"/>
      <c r="S446" s="1369"/>
      <c r="T446" s="1369"/>
    </row>
    <row r="447" spans="1:41" s="730" customFormat="1" ht="13.2">
      <c r="A447" s="750">
        <f>A445</f>
        <v>1</v>
      </c>
      <c r="B447" s="740" t="s">
        <v>312</v>
      </c>
      <c r="C447" s="740"/>
      <c r="D447" s="740" t="s">
        <v>1175</v>
      </c>
      <c r="E447" s="740"/>
      <c r="F447" s="749" t="s">
        <v>1177</v>
      </c>
      <c r="G447" s="741" t="s">
        <v>1176</v>
      </c>
      <c r="H447" s="1002">
        <v>960</v>
      </c>
      <c r="I447" s="740" t="s">
        <v>686</v>
      </c>
      <c r="J447" s="740"/>
      <c r="K447" s="740"/>
      <c r="L447" s="740"/>
      <c r="M447" s="740"/>
      <c r="N447" s="740"/>
      <c r="O447" s="744">
        <v>4</v>
      </c>
      <c r="P447" s="745">
        <v>38594</v>
      </c>
      <c r="Q447" s="746">
        <v>747.01</v>
      </c>
      <c r="R447" s="747">
        <f>$A447*Q447</f>
        <v>747.01</v>
      </c>
      <c r="S447" s="746"/>
      <c r="T447" s="748">
        <f>$A447*S447*$T$1</f>
        <v>0</v>
      </c>
    </row>
    <row r="448" spans="1:41" s="602" customFormat="1" ht="12">
      <c r="A448" s="663"/>
      <c r="B448" s="663"/>
      <c r="C448" s="663"/>
      <c r="D448" s="663"/>
      <c r="E448" s="663"/>
      <c r="F448" s="664"/>
      <c r="G448" s="663"/>
      <c r="H448" s="663"/>
      <c r="I448" s="601"/>
      <c r="J448" s="663"/>
      <c r="K448" s="663"/>
      <c r="L448" s="663"/>
      <c r="M448" s="663"/>
      <c r="N448" s="663"/>
      <c r="O448" s="663"/>
      <c r="P448" s="663"/>
      <c r="Q448" s="601"/>
      <c r="R448" s="666">
        <f>$A448*Q448</f>
        <v>0</v>
      </c>
      <c r="S448" s="601"/>
      <c r="T448" s="681">
        <f>$A448*S448*$T$1</f>
        <v>0</v>
      </c>
    </row>
    <row r="449" spans="1:41" s="602" customFormat="1" ht="12.6" thickBot="1">
      <c r="A449" s="682" t="s">
        <v>145</v>
      </c>
      <c r="B449" s="683">
        <f>(R448+T448)</f>
        <v>0</v>
      </c>
      <c r="C449" s="684"/>
      <c r="D449" s="684"/>
      <c r="E449" s="684"/>
      <c r="F449" s="685"/>
      <c r="G449" s="684" t="s">
        <v>146</v>
      </c>
      <c r="H449" s="684"/>
      <c r="I449" s="686"/>
      <c r="J449" s="684"/>
      <c r="K449" s="684" t="s">
        <v>10</v>
      </c>
      <c r="L449" s="687" t="s">
        <v>143</v>
      </c>
      <c r="M449" s="687"/>
      <c r="N449" s="687"/>
      <c r="O449" s="687"/>
      <c r="P449" s="687"/>
      <c r="Q449" s="688"/>
      <c r="R449" s="689">
        <f>SUM(R446:R448)</f>
        <v>747.01</v>
      </c>
      <c r="S449" s="684"/>
      <c r="T449" s="689">
        <f>SUM(T446:T448)</f>
        <v>0</v>
      </c>
      <c r="U449" s="611"/>
      <c r="V449" s="611"/>
      <c r="W449" s="611"/>
      <c r="X449" s="611"/>
      <c r="Y449" s="611"/>
      <c r="Z449" s="611"/>
      <c r="AA449" s="611"/>
      <c r="AB449" s="611"/>
      <c r="AC449" s="611"/>
      <c r="AD449" s="611"/>
      <c r="AE449" s="611"/>
      <c r="AF449" s="611"/>
      <c r="AG449" s="611"/>
      <c r="AH449" s="611"/>
      <c r="AI449" s="611"/>
      <c r="AJ449" s="611"/>
      <c r="AK449" s="611"/>
      <c r="AL449" s="611"/>
      <c r="AM449" s="611"/>
      <c r="AN449" s="611"/>
      <c r="AO449" s="611"/>
    </row>
    <row r="450" spans="1:41" s="602" customFormat="1" ht="12" thickTop="1">
      <c r="A450" s="51" t="s">
        <v>154</v>
      </c>
      <c r="D450" s="13"/>
      <c r="E450" s="42"/>
      <c r="O450" s="698"/>
    </row>
    <row r="451" spans="1:41" s="602" customFormat="1" ht="13.2">
      <c r="B451" s="3"/>
      <c r="O451" s="698"/>
    </row>
    <row r="452" spans="1:41" s="602" customFormat="1" ht="12">
      <c r="B452" s="699">
        <f>$F452/$C$2-($R452*$S$2+$T452*$T$2)</f>
        <v>-530.45699972224793</v>
      </c>
      <c r="D452" s="700" t="s">
        <v>414</v>
      </c>
      <c r="E452" s="701"/>
      <c r="F452" s="702">
        <f>SUMIF($L416:$L450,"ITEM",F416:F450)</f>
        <v>1641.8400000000001</v>
      </c>
      <c r="G452" s="663"/>
      <c r="H452" s="663"/>
      <c r="I452" s="601"/>
      <c r="J452" s="663"/>
      <c r="K452" s="663"/>
      <c r="L452" s="678" t="s">
        <v>166</v>
      </c>
      <c r="M452" s="678"/>
      <c r="N452" s="678"/>
      <c r="O452" s="678"/>
      <c r="P452" s="678"/>
      <c r="R452" s="702">
        <f>SUMIF($L416:$L450,"ITEM",R416:R450)</f>
        <v>1641.8400000000001</v>
      </c>
      <c r="S452" s="71"/>
      <c r="T452" s="702">
        <f>SUMIF($L416:$L450,"ITEM",T416:T450)</f>
        <v>0</v>
      </c>
    </row>
    <row r="453" spans="1:41" s="602" customFormat="1" ht="13.2">
      <c r="A453" s="63"/>
      <c r="B453" s="55" t="s">
        <v>413</v>
      </c>
      <c r="C453" s="63"/>
      <c r="D453" s="3"/>
      <c r="F453" s="703" t="s">
        <v>168</v>
      </c>
      <c r="G453" s="663"/>
      <c r="H453" s="663"/>
      <c r="I453" s="601"/>
      <c r="J453" s="663"/>
      <c r="K453" s="663"/>
      <c r="L453" s="663"/>
      <c r="M453" s="663"/>
      <c r="N453" s="663"/>
      <c r="O453" s="663"/>
      <c r="P453" s="663"/>
      <c r="Q453" s="665"/>
      <c r="R453" s="703" t="s">
        <v>169</v>
      </c>
      <c r="S453" s="38"/>
      <c r="T453" s="703" t="s">
        <v>170</v>
      </c>
    </row>
    <row r="454" spans="1:41" s="602" customFormat="1" ht="13.2">
      <c r="A454" s="663"/>
      <c r="B454" s="3"/>
      <c r="C454" s="663"/>
      <c r="D454" s="3"/>
      <c r="E454" s="3"/>
      <c r="G454" s="3"/>
      <c r="H454" s="3"/>
      <c r="I454" s="3"/>
      <c r="J454" s="3"/>
      <c r="K454" s="3"/>
      <c r="L454" s="3"/>
      <c r="M454" s="3"/>
      <c r="N454" s="3"/>
      <c r="O454" s="158"/>
      <c r="P454" s="3"/>
      <c r="Q454" s="3"/>
      <c r="R454" s="3"/>
      <c r="S454" s="3"/>
      <c r="T454" s="3"/>
    </row>
    <row r="455" spans="1:41" s="602" customFormat="1" ht="12" thickBot="1">
      <c r="A455" s="611"/>
      <c r="B455" s="684"/>
      <c r="C455" s="684"/>
      <c r="D455" s="611"/>
      <c r="E455" s="39"/>
      <c r="F455" s="704"/>
      <c r="G455" s="684"/>
      <c r="H455" s="684"/>
      <c r="I455" s="686"/>
      <c r="J455" s="684"/>
      <c r="K455" s="684"/>
      <c r="L455" s="687"/>
      <c r="M455" s="687"/>
      <c r="N455" s="687"/>
      <c r="O455" s="687"/>
      <c r="P455" s="687"/>
      <c r="Q455" s="688"/>
      <c r="R455" s="704"/>
      <c r="S455" s="705"/>
      <c r="T455" s="704"/>
      <c r="U455" s="611"/>
      <c r="V455" s="611"/>
      <c r="W455" s="611"/>
      <c r="X455" s="611"/>
      <c r="Y455" s="611"/>
      <c r="Z455" s="611"/>
      <c r="AA455" s="611"/>
      <c r="AB455" s="611"/>
      <c r="AC455" s="611"/>
      <c r="AD455" s="611"/>
      <c r="AE455" s="611"/>
      <c r="AF455" s="611"/>
      <c r="AG455" s="611"/>
      <c r="AH455" s="611"/>
      <c r="AI455" s="611"/>
      <c r="AJ455" s="611"/>
      <c r="AK455" s="611"/>
    </row>
    <row r="456" spans="1:41" s="602" customFormat="1" thickTop="1">
      <c r="A456" s="51" t="s">
        <v>154</v>
      </c>
      <c r="B456" s="3"/>
      <c r="C456" s="63"/>
      <c r="D456" s="63"/>
      <c r="E456" s="63"/>
      <c r="F456" s="63"/>
      <c r="G456" s="63"/>
      <c r="H456" s="63"/>
      <c r="I456" s="63"/>
      <c r="J456" s="63"/>
      <c r="K456" s="63"/>
      <c r="L456" s="63"/>
      <c r="M456" s="63"/>
      <c r="N456" s="63"/>
      <c r="O456" s="64"/>
      <c r="P456" s="63"/>
      <c r="Q456" s="63"/>
      <c r="R456" s="63"/>
      <c r="S456" s="63"/>
      <c r="T456" s="63"/>
    </row>
    <row r="457" spans="1:41" s="602" customFormat="1" ht="13.2">
      <c r="A457" s="63"/>
      <c r="B457" s="3"/>
      <c r="C457" s="3"/>
      <c r="E457" s="3"/>
      <c r="F457" s="3"/>
      <c r="G457" s="3"/>
      <c r="H457" s="3"/>
      <c r="I457" s="3"/>
      <c r="J457" s="3"/>
      <c r="K457" s="3"/>
      <c r="L457" s="3"/>
      <c r="M457" s="3"/>
      <c r="N457" s="3"/>
      <c r="O457" s="158"/>
      <c r="P457" s="3"/>
      <c r="Q457" s="3"/>
      <c r="R457" s="3"/>
      <c r="S457" s="3"/>
      <c r="T457" s="3"/>
    </row>
    <row r="458" spans="1:41" s="602" customFormat="1" ht="12">
      <c r="A458" s="63"/>
      <c r="B458" s="699">
        <f>$F458/$C$2-($R458*$S$2+$T458*$T$2)</f>
        <v>-58361.28694652149</v>
      </c>
      <c r="C458" s="63"/>
      <c r="D458" s="706" t="s">
        <v>266</v>
      </c>
      <c r="E458" s="701"/>
      <c r="F458" s="707">
        <f>SUMIF($L14:$L456,"PAGE",F14:F456)</f>
        <v>181972.18000000002</v>
      </c>
      <c r="G458" s="663"/>
      <c r="H458" s="663"/>
      <c r="I458" s="601"/>
      <c r="J458" s="663"/>
      <c r="K458" s="663"/>
      <c r="L458" s="172" t="s">
        <v>420</v>
      </c>
      <c r="M458" s="172"/>
      <c r="N458" s="172"/>
      <c r="O458" s="173"/>
      <c r="P458" s="172"/>
      <c r="Q458" s="63"/>
      <c r="R458" s="707">
        <f>SUMIF($L14:$L456,"PAGE",R14:R456)</f>
        <v>180636.50000000003</v>
      </c>
      <c r="S458" s="63"/>
      <c r="T458" s="707">
        <f>SUMIF($L14:$L456,"PAGE",T14:T456)</f>
        <v>37</v>
      </c>
    </row>
    <row r="459" spans="1:41" s="602" customFormat="1" ht="12">
      <c r="A459" s="63"/>
      <c r="B459" s="55" t="s">
        <v>413</v>
      </c>
      <c r="C459" s="63"/>
      <c r="D459" s="706"/>
      <c r="F459" s="708" t="s">
        <v>421</v>
      </c>
      <c r="G459" s="663"/>
      <c r="H459" s="663"/>
      <c r="I459" s="601"/>
      <c r="J459" s="663"/>
      <c r="K459" s="663"/>
      <c r="L459" s="63"/>
      <c r="M459" s="63"/>
      <c r="N459" s="63"/>
      <c r="O459" s="64"/>
      <c r="P459" s="63"/>
      <c r="Q459" s="63"/>
      <c r="R459" s="708" t="s">
        <v>422</v>
      </c>
      <c r="S459" s="38"/>
      <c r="T459" s="708" t="s">
        <v>423</v>
      </c>
    </row>
    <row r="460" spans="1:41" s="602" customFormat="1" ht="11.4">
      <c r="O460" s="698"/>
    </row>
    <row r="461" spans="1:41" s="602" customFormat="1" ht="12" thickBot="1">
      <c r="A461" s="684"/>
      <c r="B461" s="684"/>
      <c r="C461" s="684"/>
      <c r="D461" s="684"/>
      <c r="E461" s="684"/>
      <c r="F461" s="39"/>
      <c r="G461" s="611"/>
      <c r="H461" s="611"/>
      <c r="I461" s="611"/>
      <c r="J461" s="611"/>
      <c r="K461" s="611"/>
      <c r="L461" s="684"/>
      <c r="M461" s="684"/>
      <c r="N461" s="684"/>
      <c r="O461" s="684"/>
      <c r="P461" s="684"/>
      <c r="Q461" s="688"/>
      <c r="R461" s="39"/>
      <c r="S461" s="39"/>
      <c r="T461" s="39"/>
      <c r="U461" s="611"/>
      <c r="V461" s="611"/>
      <c r="W461" s="611"/>
      <c r="X461" s="611"/>
      <c r="Y461" s="611"/>
      <c r="Z461" s="611"/>
      <c r="AA461" s="611"/>
      <c r="AB461" s="611"/>
      <c r="AC461" s="611"/>
      <c r="AD461" s="611"/>
      <c r="AE461" s="611"/>
      <c r="AF461" s="611"/>
      <c r="AG461" s="611"/>
      <c r="AH461" s="611"/>
      <c r="AI461" s="611"/>
      <c r="AJ461" s="611"/>
      <c r="AK461" s="611"/>
    </row>
    <row r="462" spans="1:41" s="602" customFormat="1" thickTop="1">
      <c r="A462" s="63"/>
      <c r="B462" s="63"/>
      <c r="C462" s="3"/>
      <c r="D462" s="3"/>
      <c r="E462" s="63"/>
      <c r="F462" s="63"/>
      <c r="G462" s="63"/>
      <c r="H462" s="63"/>
      <c r="I462" s="63"/>
      <c r="J462" s="63"/>
      <c r="K462" s="63" t="s">
        <v>134</v>
      </c>
      <c r="L462" s="63"/>
      <c r="M462" s="63"/>
      <c r="N462" s="63"/>
      <c r="O462" s="64"/>
      <c r="P462" s="63"/>
      <c r="Q462" s="63"/>
      <c r="R462" s="63"/>
      <c r="S462" s="63"/>
      <c r="T462" s="63"/>
    </row>
    <row r="463" spans="1:41" s="602" customFormat="1" ht="12">
      <c r="A463" s="63"/>
      <c r="B463" s="63"/>
      <c r="C463" s="63" t="s">
        <v>135</v>
      </c>
      <c r="D463" s="37" t="s">
        <v>1236</v>
      </c>
      <c r="E463" s="63"/>
      <c r="F463" s="63"/>
      <c r="G463" s="63"/>
      <c r="H463" s="63"/>
      <c r="I463" s="63"/>
      <c r="J463" s="63"/>
      <c r="K463" s="63"/>
      <c r="L463" s="63"/>
      <c r="M463" s="63"/>
      <c r="N463" s="63"/>
      <c r="O463" s="64"/>
      <c r="P463" s="63"/>
      <c r="Q463" s="63"/>
      <c r="R463" s="63"/>
      <c r="S463" s="63"/>
      <c r="T463" s="63"/>
    </row>
    <row r="464" spans="1:41" s="602" customFormat="1" ht="12">
      <c r="A464" s="63"/>
      <c r="B464" s="63"/>
      <c r="C464" s="63"/>
      <c r="D464" s="37" t="s">
        <v>604</v>
      </c>
      <c r="E464" s="63"/>
      <c r="F464" s="63"/>
      <c r="G464" s="63"/>
      <c r="H464" s="63"/>
      <c r="I464" s="63"/>
      <c r="J464" s="63"/>
      <c r="K464" s="63"/>
      <c r="L464" s="63"/>
      <c r="M464" s="63"/>
      <c r="N464" s="63"/>
      <c r="O464" s="64"/>
      <c r="P464" s="63"/>
      <c r="Q464" s="63"/>
      <c r="R464" s="63"/>
      <c r="S464" s="38"/>
      <c r="T464" s="38"/>
    </row>
    <row r="465" spans="1:41" s="3" customFormat="1" thickBot="1">
      <c r="A465" s="611"/>
      <c r="O465" s="158"/>
    </row>
    <row r="466" spans="1:41" s="602" customFormat="1" thickTop="1">
      <c r="A466" s="63"/>
      <c r="B466" s="41"/>
      <c r="C466" s="63"/>
      <c r="E466" s="42" t="s">
        <v>138</v>
      </c>
      <c r="F466" s="42" t="s">
        <v>139</v>
      </c>
      <c r="G466" s="63"/>
      <c r="H466" s="63"/>
      <c r="I466" s="63"/>
      <c r="J466" s="63"/>
      <c r="K466" s="63" t="s">
        <v>140</v>
      </c>
      <c r="L466" s="751"/>
      <c r="M466" s="63"/>
      <c r="N466" s="63"/>
      <c r="O466" s="64"/>
      <c r="P466" s="63"/>
      <c r="Q466"/>
      <c r="R466"/>
      <c r="S466"/>
      <c r="T466" s="41"/>
      <c r="AG466" s="667" t="s">
        <v>278</v>
      </c>
      <c r="AH466" s="667" t="s">
        <v>279</v>
      </c>
      <c r="AI466" s="667" t="s">
        <v>280</v>
      </c>
      <c r="AJ466" s="667" t="s">
        <v>281</v>
      </c>
      <c r="AK466" s="667" t="s">
        <v>282</v>
      </c>
      <c r="AM466" s="668" t="s">
        <v>291</v>
      </c>
      <c r="AN466" s="669" t="s">
        <v>292</v>
      </c>
      <c r="AO466" s="603" t="s">
        <v>288</v>
      </c>
    </row>
    <row r="467" spans="1:41" s="602" customFormat="1" ht="13.2">
      <c r="A467" s="670">
        <v>1</v>
      </c>
      <c r="B467" s="838" t="s">
        <v>312</v>
      </c>
      <c r="C467" s="672"/>
      <c r="D467" s="673" t="s">
        <v>1200</v>
      </c>
      <c r="E467" s="752">
        <f>IF(AND($A467=0,$A$1="DIF"),0, ROUND(ROUND(SUMIF($L469:$L475,"SUBI",$E469:$E475)/$A467,2)*$C$12,2))</f>
        <v>1773.68</v>
      </c>
      <c r="F467" s="753">
        <f>ROUND($A467*$E467,2)</f>
        <v>1773.68</v>
      </c>
      <c r="G467" s="676" t="s">
        <v>142</v>
      </c>
      <c r="H467" s="664"/>
      <c r="I467" s="677"/>
      <c r="J467" s="664"/>
      <c r="K467" s="754"/>
      <c r="L467" s="709" t="s">
        <v>143</v>
      </c>
      <c r="M467" s="678"/>
      <c r="N467" s="678"/>
      <c r="O467" s="678"/>
      <c r="P467" s="678"/>
      <c r="Q467"/>
      <c r="R467"/>
      <c r="S467"/>
      <c r="T467" s="755" t="str">
        <f>IF(AND($R481=0,$T481=0),"0.00","mu :" &amp; ROUND($F467/$C$12/($R481+$T481*$D$9),2))</f>
        <v>mu :1.66</v>
      </c>
      <c r="W467" s="604"/>
      <c r="AG467" s="756">
        <f>IF(A467=0,0,ROUND(SUM(AG469:AG481)/A467,2))</f>
        <v>0</v>
      </c>
      <c r="AH467" s="756">
        <f>$AG467*$A467</f>
        <v>0</v>
      </c>
      <c r="AI467" s="756">
        <f>$E467-$AG467</f>
        <v>1773.68</v>
      </c>
      <c r="AJ467" s="756">
        <f>$A467*$AI467</f>
        <v>1773.68</v>
      </c>
      <c r="AK467" s="757">
        <f>ROUND(($AG467+$AI467)*$A467,2)</f>
        <v>1773.68</v>
      </c>
      <c r="AM467" s="607">
        <f>ROUND(R481,2)</f>
        <v>0</v>
      </c>
      <c r="AN467" s="608">
        <f>ROUND(T481,2)</f>
        <v>40</v>
      </c>
      <c r="AO467" s="609">
        <f>ROUND(AM467+AN467,2)*A467</f>
        <v>40</v>
      </c>
    </row>
    <row r="468" spans="1:41" s="602" customFormat="1" ht="19.95" customHeight="1">
      <c r="A468" s="1068"/>
      <c r="B468" s="1069"/>
      <c r="C468" s="672"/>
      <c r="D468" s="1070" t="s">
        <v>1208</v>
      </c>
      <c r="F468" s="664"/>
      <c r="G468" s="664"/>
      <c r="H468" s="664"/>
      <c r="I468" s="677"/>
      <c r="J468" s="664"/>
      <c r="K468" s="664" t="s">
        <v>144</v>
      </c>
      <c r="L468" s="712"/>
      <c r="M468" s="664"/>
      <c r="N468" s="664"/>
      <c r="O468" s="664"/>
      <c r="P468" s="664"/>
      <c r="Q468" s="63"/>
      <c r="R468" s="610"/>
      <c r="S468" s="680"/>
      <c r="T468" s="664"/>
    </row>
    <row r="469" spans="1:41" s="602" customFormat="1" ht="12">
      <c r="A469" s="758"/>
      <c r="B469" s="759"/>
      <c r="C469" s="663"/>
      <c r="D469" s="664"/>
      <c r="E469" s="760">
        <f>F467/$C$12-SUMIF($L466:$L481,"SUBI",$E466:$E481)</f>
        <v>-4.7769254958893725E-3</v>
      </c>
      <c r="F469" s="761" t="s">
        <v>687</v>
      </c>
      <c r="G469" s="762"/>
      <c r="H469" s="762"/>
      <c r="I469" s="763"/>
      <c r="J469" s="762"/>
      <c r="K469" s="762"/>
      <c r="L469" s="764"/>
      <c r="M469" s="765"/>
      <c r="N469" s="765"/>
      <c r="O469" s="765"/>
      <c r="P469" s="765"/>
      <c r="Q469" s="766"/>
      <c r="R469" s="767"/>
      <c r="S469" s="766"/>
      <c r="T469" s="768"/>
    </row>
    <row r="470" spans="1:41" s="602" customFormat="1" ht="12" customHeight="1">
      <c r="A470" s="769"/>
      <c r="B470" s="770"/>
      <c r="C470" s="771"/>
      <c r="D470" s="771" t="str">
        <f>$F$2</f>
        <v>Electrical</v>
      </c>
      <c r="E470" s="771">
        <f>ROUND(($R474*$S$2 + ($T474*$T$2)), 2)</f>
        <v>0</v>
      </c>
      <c r="F470" s="772">
        <f>$E470*$C$12</f>
        <v>0</v>
      </c>
      <c r="G470" s="610"/>
      <c r="H470" s="773"/>
      <c r="I470" s="610"/>
      <c r="J470" s="64"/>
      <c r="K470" s="774" t="s">
        <v>3</v>
      </c>
      <c r="L470" s="775" t="s">
        <v>688</v>
      </c>
      <c r="M470" s="610"/>
      <c r="N470" s="610"/>
      <c r="O470" s="64"/>
      <c r="P470" s="610"/>
      <c r="Q470" s="610"/>
      <c r="R470"/>
      <c r="S470"/>
      <c r="T470"/>
    </row>
    <row r="471" spans="1:41" s="602" customFormat="1" ht="13.95" customHeight="1">
      <c r="A471" s="70"/>
      <c r="B471" s="1071" t="s">
        <v>1201</v>
      </c>
      <c r="C471" s="610"/>
      <c r="D471" s="1183" t="s">
        <v>1375</v>
      </c>
      <c r="E471" s="610"/>
      <c r="F471" s="610"/>
      <c r="G471" s="610"/>
      <c r="H471" s="773"/>
      <c r="I471" s="610"/>
      <c r="J471" s="64"/>
      <c r="K471" s="776"/>
      <c r="L471" s="777"/>
      <c r="M471" s="610"/>
      <c r="N471" s="610"/>
      <c r="O471" s="64"/>
      <c r="P471" s="610"/>
      <c r="Q471" s="610"/>
      <c r="R471" s="725">
        <f>$A471*Q471</f>
        <v>0</v>
      </c>
      <c r="S471" s="610"/>
      <c r="T471" s="681">
        <f>$A471*S471*$T$1</f>
        <v>0</v>
      </c>
    </row>
    <row r="472" spans="1:41" s="602" customFormat="1" ht="13.95" customHeight="1">
      <c r="A472" s="70"/>
      <c r="B472" s="610"/>
      <c r="C472" s="610"/>
      <c r="D472" s="610"/>
      <c r="E472" s="610"/>
      <c r="F472" s="610"/>
      <c r="G472" s="610"/>
      <c r="H472" s="773"/>
      <c r="I472" s="610"/>
      <c r="J472" s="64"/>
      <c r="K472" s="776"/>
      <c r="L472" s="777"/>
      <c r="M472" s="610"/>
      <c r="N472" s="610"/>
      <c r="O472" s="64"/>
      <c r="P472" s="610"/>
      <c r="Q472" s="610"/>
      <c r="R472" s="725">
        <f>$A472*Q472</f>
        <v>0</v>
      </c>
      <c r="S472" s="610"/>
      <c r="T472" s="681">
        <f>$A472*S472*$T$1</f>
        <v>0</v>
      </c>
    </row>
    <row r="473" spans="1:41" s="602" customFormat="1" ht="13.95" customHeight="1">
      <c r="A473" s="70"/>
      <c r="B473" s="610"/>
      <c r="C473" s="610"/>
      <c r="D473" s="610"/>
      <c r="E473" s="610"/>
      <c r="F473" s="610"/>
      <c r="G473" s="610"/>
      <c r="H473" s="773"/>
      <c r="I473" s="610"/>
      <c r="J473" s="64"/>
      <c r="K473" s="776"/>
      <c r="L473" s="777"/>
      <c r="M473" s="610"/>
      <c r="N473" s="610"/>
      <c r="O473" s="64"/>
      <c r="P473" s="610"/>
      <c r="Q473" s="610"/>
      <c r="R473" s="725">
        <f>$A473*Q473</f>
        <v>0</v>
      </c>
      <c r="S473" s="610"/>
      <c r="T473" s="681">
        <f>$A473*S473*$T$1</f>
        <v>0</v>
      </c>
    </row>
    <row r="474" spans="1:41" s="602" customFormat="1" ht="12">
      <c r="A474" s="778" t="s">
        <v>145</v>
      </c>
      <c r="B474" s="779">
        <f>(R473+T473)</f>
        <v>0</v>
      </c>
      <c r="C474" s="663"/>
      <c r="G474" s="780"/>
      <c r="H474" s="780"/>
      <c r="I474" s="780"/>
      <c r="J474" s="780"/>
      <c r="K474" s="781" t="s">
        <v>3</v>
      </c>
      <c r="L474" s="782" t="s">
        <v>688</v>
      </c>
      <c r="M474" s="780"/>
      <c r="N474" s="780"/>
      <c r="O474" s="780"/>
      <c r="P474" s="780"/>
      <c r="Q474" s="783"/>
      <c r="R474" s="784">
        <f>SUM(R470:R473)</f>
        <v>0</v>
      </c>
      <c r="S474" s="785"/>
      <c r="T474" s="784">
        <f>SUM(T470:T473)</f>
        <v>0</v>
      </c>
      <c r="AG474" s="786">
        <f>ROUND($R474*$S$2,2)</f>
        <v>0</v>
      </c>
    </row>
    <row r="475" spans="1:41" s="602" customFormat="1" ht="12" customHeight="1">
      <c r="A475" s="787"/>
      <c r="B475" s="788"/>
      <c r="C475" s="789"/>
      <c r="D475" s="789" t="str">
        <f>$F$3</f>
        <v>ECA (Technician)</v>
      </c>
      <c r="E475" s="789">
        <f>ROUND(($R479*$S$3 + ($T479*$T$3)), 2)</f>
        <v>1821.42</v>
      </c>
      <c r="F475" s="790">
        <f ca="1">$F467-SUMIF($L469:$P472,"SUBI",$F469:$F472)</f>
        <v>1773.68</v>
      </c>
      <c r="G475" s="601"/>
      <c r="H475" s="601"/>
      <c r="I475" s="601"/>
      <c r="J475" s="601"/>
      <c r="K475" s="774" t="s">
        <v>5</v>
      </c>
      <c r="L475" s="775" t="s">
        <v>688</v>
      </c>
      <c r="M475" s="601"/>
      <c r="N475" s="601"/>
      <c r="O475" s="601"/>
      <c r="P475" s="601"/>
      <c r="Q475" s="601"/>
      <c r="R475" s="791"/>
      <c r="S475" s="601"/>
      <c r="T475" s="791"/>
    </row>
    <row r="476" spans="1:41" s="730" customFormat="1" ht="13.2">
      <c r="A476">
        <v>1</v>
      </c>
      <c r="B476" s="730" t="s">
        <v>141</v>
      </c>
      <c r="D476" s="730" t="s">
        <v>1242</v>
      </c>
      <c r="F476" s="1290" t="s">
        <v>1377</v>
      </c>
      <c r="G476" s="731" t="s">
        <v>1243</v>
      </c>
      <c r="H476" s="732">
        <v>512</v>
      </c>
      <c r="I476" s="730" t="s">
        <v>674</v>
      </c>
      <c r="O476" s="733">
        <v>3</v>
      </c>
      <c r="P476" s="734"/>
      <c r="Q476" s="735"/>
      <c r="R476" s="736">
        <f>$A476*Q476</f>
        <v>0</v>
      </c>
      <c r="S476" s="735">
        <v>40</v>
      </c>
      <c r="T476" s="737">
        <f>$A476*S476*$T$1</f>
        <v>40</v>
      </c>
    </row>
    <row r="477" spans="1:41" s="602" customFormat="1" ht="11.4">
      <c r="A477" s="70"/>
      <c r="B477" s="610"/>
      <c r="C477" s="610"/>
      <c r="D477" s="610"/>
      <c r="E477" s="610"/>
      <c r="F477" s="610"/>
      <c r="G477" s="610"/>
      <c r="H477" s="610"/>
      <c r="I477" s="610"/>
      <c r="J477" s="610"/>
      <c r="K477" s="610"/>
      <c r="L477" s="777"/>
      <c r="M477" s="610"/>
      <c r="N477" s="610"/>
      <c r="O477" s="610"/>
      <c r="P477" s="610"/>
      <c r="Q477" s="610"/>
      <c r="R477" s="725">
        <f>$A477*Q477</f>
        <v>0</v>
      </c>
      <c r="S477" s="610"/>
      <c r="T477" s="681">
        <f>$A477*S477*$T$1</f>
        <v>0</v>
      </c>
    </row>
    <row r="478" spans="1:41" s="602" customFormat="1" ht="13.2">
      <c r="A478" s="70"/>
      <c r="B478" s="610"/>
      <c r="C478" s="610"/>
      <c r="D478" s="3"/>
      <c r="E478" s="610"/>
      <c r="F478" s="610"/>
      <c r="G478" s="610"/>
      <c r="H478" s="610"/>
      <c r="I478" s="610"/>
      <c r="J478" s="610"/>
      <c r="K478" s="610"/>
      <c r="L478" s="777"/>
      <c r="M478" s="610"/>
      <c r="N478" s="610"/>
      <c r="O478" s="610"/>
      <c r="P478" s="610"/>
      <c r="Q478" s="610"/>
      <c r="R478" s="725">
        <f>$A478*Q478</f>
        <v>0</v>
      </c>
      <c r="S478" s="610"/>
      <c r="T478" s="681">
        <f>$A478*S478*$T$1</f>
        <v>0</v>
      </c>
    </row>
    <row r="479" spans="1:41" s="602" customFormat="1" ht="12" customHeight="1">
      <c r="A479" s="792" t="s">
        <v>145</v>
      </c>
      <c r="B479" s="793">
        <f>(R478+T478)</f>
        <v>0</v>
      </c>
      <c r="C479" s="794"/>
      <c r="D479" s="794"/>
      <c r="E479" s="794"/>
      <c r="F479" s="794"/>
      <c r="G479" s="783"/>
      <c r="H479" s="783"/>
      <c r="I479" s="783"/>
      <c r="J479" s="783"/>
      <c r="K479" s="795" t="s">
        <v>5</v>
      </c>
      <c r="L479" s="796" t="s">
        <v>688</v>
      </c>
      <c r="M479" s="783"/>
      <c r="N479" s="783"/>
      <c r="O479" s="783"/>
      <c r="P479" s="783"/>
      <c r="Q479" s="783"/>
      <c r="R479" s="784">
        <f>SUM(R475:R478)</f>
        <v>0</v>
      </c>
      <c r="S479" s="785"/>
      <c r="T479" s="784">
        <f>SUM(T475:T478)</f>
        <v>40</v>
      </c>
      <c r="AG479" s="797">
        <f>ROUND($R479*$S$3,2)</f>
        <v>0</v>
      </c>
    </row>
    <row r="480" spans="1:41" s="602" customFormat="1" ht="12.75" customHeight="1">
      <c r="A480" s="798"/>
      <c r="B480" s="799"/>
      <c r="E480" s="663"/>
      <c r="F480" s="800"/>
      <c r="G480" s="663"/>
      <c r="H480" s="663"/>
      <c r="I480" s="601"/>
      <c r="J480" s="663"/>
      <c r="K480" s="663"/>
      <c r="L480" s="801"/>
      <c r="M480" s="802"/>
      <c r="N480" s="802"/>
      <c r="O480" s="802"/>
      <c r="P480" s="802"/>
      <c r="Q480" s="665"/>
      <c r="R480" s="791"/>
      <c r="S480" s="663"/>
      <c r="T480" s="791"/>
    </row>
    <row r="481" spans="1:41" s="602" customFormat="1" ht="13.5" customHeight="1" thickBot="1">
      <c r="A481" s="803"/>
      <c r="B481" s="804"/>
      <c r="C481" s="611"/>
      <c r="D481" s="611"/>
      <c r="E481" s="684"/>
      <c r="F481" s="685"/>
      <c r="G481" s="684" t="s">
        <v>146</v>
      </c>
      <c r="H481" s="684"/>
      <c r="I481" s="686"/>
      <c r="J481" s="684"/>
      <c r="K481" s="684"/>
      <c r="L481" s="729" t="s">
        <v>143</v>
      </c>
      <c r="M481" s="687"/>
      <c r="N481" s="687"/>
      <c r="O481" s="687"/>
      <c r="P481" s="687"/>
      <c r="Q481" s="688"/>
      <c r="R481" s="805">
        <f>SUMIF($L468:$L480,"SUBI",R468:R480)</f>
        <v>0</v>
      </c>
      <c r="S481" s="684"/>
      <c r="T481" s="805">
        <f>SUMIF($L468:$L480,"SUBI",T468:T480)</f>
        <v>40</v>
      </c>
      <c r="U481" s="611"/>
      <c r="V481" s="611"/>
      <c r="W481" s="611"/>
      <c r="X481" s="611"/>
      <c r="Y481" s="611"/>
      <c r="Z481" s="611"/>
      <c r="AA481" s="611"/>
      <c r="AB481" s="611"/>
      <c r="AC481" s="611"/>
      <c r="AD481" s="611"/>
      <c r="AE481" s="611"/>
      <c r="AF481" s="611"/>
      <c r="AG481" s="611"/>
      <c r="AH481" s="611"/>
      <c r="AI481" s="611"/>
      <c r="AJ481" s="611"/>
      <c r="AK481" s="611"/>
      <c r="AL481" s="611"/>
      <c r="AM481" s="611"/>
      <c r="AN481" s="611"/>
      <c r="AO481" s="611"/>
    </row>
    <row r="482" spans="1:41" s="602" customFormat="1" thickTop="1">
      <c r="A482" s="63"/>
      <c r="B482" s="63"/>
      <c r="C482" s="3"/>
      <c r="D482" s="3"/>
      <c r="E482" s="63"/>
      <c r="F482" s="63"/>
      <c r="G482" s="63"/>
      <c r="H482" s="63"/>
      <c r="I482" s="63"/>
      <c r="J482" s="63"/>
      <c r="K482" s="63" t="s">
        <v>134</v>
      </c>
      <c r="L482" s="63"/>
      <c r="M482" s="63"/>
      <c r="N482" s="63"/>
      <c r="O482" s="64"/>
      <c r="P482" s="63"/>
      <c r="Q482" s="63"/>
      <c r="R482" s="63"/>
      <c r="S482" s="63"/>
      <c r="T482" s="63"/>
    </row>
    <row r="483" spans="1:41" s="602" customFormat="1" ht="12">
      <c r="A483" s="63"/>
      <c r="B483" s="63"/>
      <c r="C483" s="63" t="s">
        <v>135</v>
      </c>
      <c r="D483" s="37" t="s">
        <v>136</v>
      </c>
      <c r="E483" s="63"/>
      <c r="F483" s="63"/>
      <c r="G483" s="63"/>
      <c r="H483" s="63"/>
      <c r="I483" s="63"/>
      <c r="J483" s="63"/>
      <c r="K483" s="63"/>
      <c r="L483" s="63"/>
      <c r="M483" s="63"/>
      <c r="N483" s="63"/>
      <c r="O483" s="64"/>
      <c r="P483" s="63"/>
      <c r="Q483" s="63"/>
      <c r="R483" s="63"/>
      <c r="S483" s="63"/>
      <c r="T483" s="63"/>
    </row>
    <row r="484" spans="1:41" s="602" customFormat="1" ht="12">
      <c r="A484" s="63"/>
      <c r="B484" s="63"/>
      <c r="C484" s="63"/>
      <c r="D484" s="37" t="s">
        <v>317</v>
      </c>
      <c r="E484" s="63"/>
      <c r="F484" s="63"/>
      <c r="G484" s="63"/>
      <c r="H484" s="63"/>
      <c r="I484" s="63"/>
      <c r="J484" s="63"/>
      <c r="K484" s="63"/>
      <c r="L484" s="63"/>
      <c r="M484" s="63"/>
      <c r="N484" s="63"/>
      <c r="O484" s="64"/>
      <c r="P484" s="63"/>
      <c r="Q484" s="63"/>
      <c r="R484" s="63"/>
      <c r="S484" s="38"/>
      <c r="T484" s="38"/>
    </row>
    <row r="485" spans="1:41" s="3" customFormat="1" thickBot="1">
      <c r="A485" s="611"/>
      <c r="O485" s="158"/>
    </row>
    <row r="486" spans="1:41" s="602" customFormat="1" thickTop="1">
      <c r="A486" s="63"/>
      <c r="B486" s="63"/>
      <c r="C486" s="3"/>
      <c r="D486" s="3"/>
      <c r="E486" s="63"/>
      <c r="F486" s="63"/>
      <c r="G486" s="63"/>
      <c r="H486" s="63"/>
      <c r="I486" s="63"/>
      <c r="J486" s="63"/>
      <c r="K486" s="63" t="s">
        <v>134</v>
      </c>
      <c r="L486" s="63"/>
      <c r="M486" s="63"/>
      <c r="N486" s="63"/>
      <c r="O486" s="64"/>
      <c r="P486" s="63"/>
      <c r="Q486" s="63"/>
      <c r="R486" s="63"/>
      <c r="S486" s="63"/>
      <c r="T486" s="63"/>
    </row>
    <row r="487" spans="1:41" s="602" customFormat="1" ht="12">
      <c r="A487" s="63"/>
      <c r="B487" s="63"/>
      <c r="C487" s="63" t="s">
        <v>135</v>
      </c>
      <c r="D487" s="37" t="s">
        <v>1236</v>
      </c>
      <c r="E487" s="63"/>
      <c r="F487" s="63"/>
      <c r="G487" s="63"/>
      <c r="H487" s="63"/>
      <c r="I487" s="63"/>
      <c r="J487" s="63"/>
      <c r="K487" s="63"/>
      <c r="L487" s="63"/>
      <c r="M487" s="63"/>
      <c r="N487" s="63"/>
      <c r="O487" s="64"/>
      <c r="P487" s="63"/>
      <c r="Q487" s="63"/>
      <c r="R487" s="63"/>
      <c r="S487" s="63"/>
      <c r="T487" s="63"/>
    </row>
    <row r="488" spans="1:41" s="602" customFormat="1" ht="12">
      <c r="A488" s="63"/>
      <c r="B488" s="63"/>
      <c r="C488" s="63"/>
      <c r="D488" s="37" t="s">
        <v>1229</v>
      </c>
      <c r="E488" s="63"/>
      <c r="F488" s="63"/>
      <c r="G488" s="63"/>
      <c r="H488" s="63"/>
      <c r="I488" s="63"/>
      <c r="J488" s="63"/>
      <c r="K488" s="63"/>
      <c r="L488" s="63"/>
      <c r="M488" s="63"/>
      <c r="N488" s="63"/>
      <c r="O488" s="64"/>
      <c r="P488" s="63"/>
      <c r="Q488" s="63"/>
      <c r="R488" s="63"/>
      <c r="S488" s="38"/>
      <c r="T488" s="38"/>
    </row>
    <row r="489" spans="1:41" s="3" customFormat="1" thickBot="1">
      <c r="A489" s="611"/>
      <c r="O489" s="158"/>
    </row>
    <row r="490" spans="1:41" s="602" customFormat="1" thickTop="1">
      <c r="A490" s="63"/>
      <c r="B490" s="41"/>
      <c r="C490" s="63"/>
      <c r="E490" s="42" t="s">
        <v>138</v>
      </c>
      <c r="F490" s="42" t="s">
        <v>139</v>
      </c>
      <c r="G490" s="63"/>
      <c r="H490" s="63"/>
      <c r="I490" s="63"/>
      <c r="J490" s="63"/>
      <c r="K490" s="63" t="s">
        <v>140</v>
      </c>
      <c r="L490" s="751"/>
      <c r="M490" s="63"/>
      <c r="N490" s="63"/>
      <c r="O490" s="64"/>
      <c r="P490" s="63"/>
      <c r="Q490"/>
      <c r="R490"/>
      <c r="S490"/>
      <c r="T490" s="41"/>
      <c r="AG490" s="667" t="s">
        <v>278</v>
      </c>
      <c r="AH490" s="667" t="s">
        <v>279</v>
      </c>
      <c r="AI490" s="667" t="s">
        <v>280</v>
      </c>
      <c r="AJ490" s="667" t="s">
        <v>281</v>
      </c>
      <c r="AK490" s="667" t="s">
        <v>282</v>
      </c>
      <c r="AM490" s="668" t="s">
        <v>291</v>
      </c>
      <c r="AN490" s="669" t="s">
        <v>292</v>
      </c>
      <c r="AO490" s="603" t="s">
        <v>288</v>
      </c>
    </row>
    <row r="491" spans="1:41" s="602" customFormat="1" ht="13.2">
      <c r="A491" s="670">
        <v>1</v>
      </c>
      <c r="B491" s="838" t="s">
        <v>141</v>
      </c>
      <c r="C491" s="672"/>
      <c r="D491" s="673" t="s">
        <v>1203</v>
      </c>
      <c r="E491" s="752">
        <f>IF(AND($A491=0,$A$1="DIF"),0,ROUND(ROUND(SUMIF($L493:$L504,"SUBI",$E493:$E504)/$A491,2)*$C$12,2))</f>
        <v>8499.86</v>
      </c>
      <c r="F491" s="753">
        <f>ROUND($A491*$E491,2)</f>
        <v>8499.86</v>
      </c>
      <c r="G491" s="676" t="s">
        <v>142</v>
      </c>
      <c r="H491" s="664"/>
      <c r="I491" s="677"/>
      <c r="J491" s="664"/>
      <c r="K491" s="754"/>
      <c r="L491" s="709" t="s">
        <v>143</v>
      </c>
      <c r="M491" s="678"/>
      <c r="N491" s="678"/>
      <c r="O491" s="678"/>
      <c r="P491" s="678"/>
      <c r="Q491"/>
      <c r="R491"/>
      <c r="S491"/>
      <c r="T491" s="755" t="str">
        <f>IF(AND($R509=0,$T509=0),"0.00","mu :" &amp; ROUND($F491/$C$12/($R509+$T509*$D$9),2))</f>
        <v>mu :1.39</v>
      </c>
      <c r="W491" s="604"/>
      <c r="AG491" s="756">
        <f>IF(A491=0,0,ROUND(SUM(AG493:AG509)/A491,2))</f>
        <v>6394.63</v>
      </c>
      <c r="AH491" s="756">
        <f>$AG491*$A491</f>
        <v>6394.63</v>
      </c>
      <c r="AI491" s="756">
        <f>$E491-$AG491</f>
        <v>2105.2300000000005</v>
      </c>
      <c r="AJ491" s="756">
        <f>$A491*$AI491</f>
        <v>2105.2300000000005</v>
      </c>
      <c r="AK491" s="757">
        <f>ROUND(($AG491+$AI491)*$A491,2)</f>
        <v>8499.86</v>
      </c>
      <c r="AM491" s="607">
        <f>ROUND(R509,2)</f>
        <v>4736.76</v>
      </c>
      <c r="AN491" s="608">
        <f>ROUND(T509,2)</f>
        <v>56</v>
      </c>
      <c r="AO491" s="609">
        <f>ROUND(AM491+AN491,2)*A491</f>
        <v>4792.76</v>
      </c>
    </row>
    <row r="492" spans="1:41" s="602" customFormat="1" ht="21.6" customHeight="1">
      <c r="A492" s="1068"/>
      <c r="B492" s="1069"/>
      <c r="C492" s="672"/>
      <c r="D492" s="1368" t="s">
        <v>1237</v>
      </c>
      <c r="E492" s="1368"/>
      <c r="F492" s="1368"/>
      <c r="G492" s="1368"/>
      <c r="H492" s="1368"/>
      <c r="I492" s="1368"/>
      <c r="J492" s="1368"/>
      <c r="K492" s="1368"/>
      <c r="L492" s="1368"/>
      <c r="M492" s="1368"/>
      <c r="N492" s="1368"/>
      <c r="O492" s="1368"/>
      <c r="P492" s="1368"/>
      <c r="Q492" s="1368"/>
      <c r="R492" s="1368"/>
      <c r="S492" s="1368"/>
      <c r="T492" s="1368"/>
    </row>
    <row r="493" spans="1:41" s="602" customFormat="1" ht="12">
      <c r="A493" s="870"/>
      <c r="B493" s="871"/>
      <c r="C493" s="663"/>
      <c r="D493" s="781"/>
      <c r="E493" s="872">
        <f>F491/$C$12-SUMIF($L490:$L509,"SUBI",$E490:$E509)</f>
        <v>-2.4376426099479431E-3</v>
      </c>
      <c r="F493" s="873" t="s">
        <v>687</v>
      </c>
      <c r="G493" s="762"/>
      <c r="H493" s="762"/>
      <c r="I493" s="763"/>
      <c r="J493" s="762"/>
      <c r="K493" s="762"/>
      <c r="L493" s="764"/>
      <c r="M493" s="765"/>
      <c r="N493" s="765"/>
      <c r="O493" s="765"/>
      <c r="P493" s="765"/>
      <c r="Q493" s="766"/>
      <c r="R493" s="767"/>
      <c r="S493" s="766"/>
      <c r="T493" s="768"/>
    </row>
    <row r="494" spans="1:41" s="602" customFormat="1" ht="12" customHeight="1">
      <c r="A494" s="769"/>
      <c r="B494" s="770"/>
      <c r="C494" s="771"/>
      <c r="D494" s="771" t="str">
        <f>$F$2</f>
        <v>Electrical</v>
      </c>
      <c r="E494" s="771">
        <f>ROUND(($R499*$S$2 + ($T499*$T$2)), 2)</f>
        <v>1403.14</v>
      </c>
      <c r="F494" s="772">
        <f>$E494*$C$12</f>
        <v>1366.3668358931907</v>
      </c>
      <c r="G494" s="610"/>
      <c r="H494" s="773"/>
      <c r="I494" s="610"/>
      <c r="J494" s="64"/>
      <c r="K494" s="1291" t="s">
        <v>3</v>
      </c>
      <c r="L494" s="775" t="s">
        <v>688</v>
      </c>
      <c r="M494" s="610"/>
      <c r="N494" s="610"/>
      <c r="O494" s="64"/>
      <c r="P494" s="610"/>
      <c r="Q494" s="610"/>
      <c r="R494"/>
      <c r="S494"/>
      <c r="T494"/>
    </row>
    <row r="495" spans="1:41" s="730" customFormat="1" ht="13.2">
      <c r="A495">
        <v>1</v>
      </c>
      <c r="B495" s="730" t="s">
        <v>141</v>
      </c>
      <c r="D495" s="730" t="s">
        <v>932</v>
      </c>
      <c r="E495" s="730" t="s">
        <v>934</v>
      </c>
      <c r="G495" s="731" t="s">
        <v>933</v>
      </c>
      <c r="H495" s="732">
        <v>570</v>
      </c>
      <c r="I495" s="730" t="s">
        <v>674</v>
      </c>
      <c r="O495" s="733">
        <v>2</v>
      </c>
      <c r="P495" s="734"/>
      <c r="Q495" s="735"/>
      <c r="R495" s="736">
        <f>$A495*Q495</f>
        <v>0</v>
      </c>
      <c r="S495" s="735">
        <v>16</v>
      </c>
      <c r="T495" s="737">
        <f>$A495*S495*$T$1</f>
        <v>16</v>
      </c>
    </row>
    <row r="496" spans="1:41" s="730" customFormat="1" ht="13.2">
      <c r="A496" s="167">
        <v>1</v>
      </c>
      <c r="B496" s="730" t="s">
        <v>312</v>
      </c>
      <c r="D496" s="730" t="s">
        <v>690</v>
      </c>
      <c r="G496" s="731" t="s">
        <v>691</v>
      </c>
      <c r="H496" s="732">
        <v>962</v>
      </c>
      <c r="I496" s="730" t="s">
        <v>686</v>
      </c>
      <c r="O496" s="733">
        <v>2</v>
      </c>
      <c r="P496" s="734">
        <v>38129</v>
      </c>
      <c r="Q496" s="735">
        <v>500</v>
      </c>
      <c r="R496" s="736">
        <f>$A496*Q496</f>
        <v>500</v>
      </c>
      <c r="S496" s="735"/>
      <c r="T496" s="737">
        <f>$A496*S496*$T$1</f>
        <v>0</v>
      </c>
    </row>
    <row r="497" spans="1:41" s="730" customFormat="1" ht="13.2">
      <c r="A497">
        <v>1</v>
      </c>
      <c r="B497" s="730" t="s">
        <v>141</v>
      </c>
      <c r="D497" s="730" t="s">
        <v>676</v>
      </c>
      <c r="G497" s="731" t="s">
        <v>677</v>
      </c>
      <c r="H497" s="732">
        <v>501</v>
      </c>
      <c r="I497" s="730" t="s">
        <v>674</v>
      </c>
      <c r="K497" s="730" t="s">
        <v>678</v>
      </c>
      <c r="O497" s="733">
        <v>1</v>
      </c>
      <c r="P497" s="734"/>
      <c r="Q497" s="735">
        <v>100</v>
      </c>
      <c r="R497" s="736">
        <f>$A497*Q497</f>
        <v>100</v>
      </c>
      <c r="S497" s="735"/>
      <c r="T497" s="737">
        <f>$A497*S497*$T$1</f>
        <v>0</v>
      </c>
    </row>
    <row r="498" spans="1:41" s="602" customFormat="1" ht="14.4" customHeight="1">
      <c r="A498" s="70"/>
      <c r="B498" s="610"/>
      <c r="C498" s="610"/>
      <c r="D498" s="610"/>
      <c r="E498" s="610"/>
      <c r="F498" s="610"/>
      <c r="G498" s="610"/>
      <c r="H498" s="773"/>
      <c r="I498" s="610"/>
      <c r="J498" s="64"/>
      <c r="K498" s="776"/>
      <c r="L498" s="777"/>
      <c r="M498" s="610"/>
      <c r="N498" s="610"/>
      <c r="O498" s="64"/>
      <c r="P498" s="610"/>
      <c r="Q498" s="610"/>
      <c r="R498" s="725">
        <f>$A498*Q498</f>
        <v>0</v>
      </c>
      <c r="S498" s="610"/>
      <c r="T498" s="681">
        <f>$A498*S498*$T$1</f>
        <v>0</v>
      </c>
    </row>
    <row r="499" spans="1:41" s="602" customFormat="1" ht="12">
      <c r="A499" s="792" t="s">
        <v>145</v>
      </c>
      <c r="B499" s="793">
        <f>(R498+T498)</f>
        <v>0</v>
      </c>
      <c r="C499" s="762"/>
      <c r="G499" s="780"/>
      <c r="H499" s="780"/>
      <c r="I499" s="780"/>
      <c r="J499" s="780"/>
      <c r="K499" s="781" t="s">
        <v>3</v>
      </c>
      <c r="L499" s="782" t="s">
        <v>688</v>
      </c>
      <c r="M499" s="780"/>
      <c r="N499" s="780"/>
      <c r="O499" s="780"/>
      <c r="P499" s="780"/>
      <c r="Q499" s="783"/>
      <c r="R499" s="784">
        <f>SUM(R494:R498)</f>
        <v>600</v>
      </c>
      <c r="S499" s="785"/>
      <c r="T499" s="784">
        <f>SUM(T494:T498)</f>
        <v>16</v>
      </c>
      <c r="AG499" s="786">
        <f>ROUND($R499*$S$2,2)</f>
        <v>810</v>
      </c>
    </row>
    <row r="500" spans="1:41" s="602" customFormat="1" ht="12" customHeight="1">
      <c r="A500" s="769"/>
      <c r="B500" s="874"/>
      <c r="C500" s="875"/>
      <c r="D500" s="876" t="str">
        <f>$F$3</f>
        <v>ECA (Technician)</v>
      </c>
      <c r="E500" s="876">
        <f>ROUND(($R503*$S$3 + ($T503*$T$3)), 2)</f>
        <v>6677.48</v>
      </c>
      <c r="F500" s="877">
        <f>$E500*$C$12</f>
        <v>6502.4781699189398</v>
      </c>
      <c r="G500" s="601"/>
      <c r="H500" s="601"/>
      <c r="I500" s="601"/>
      <c r="J500" s="601"/>
      <c r="K500" s="774" t="s">
        <v>5</v>
      </c>
      <c r="L500" s="775" t="s">
        <v>688</v>
      </c>
      <c r="M500" s="601"/>
      <c r="N500" s="601"/>
      <c r="O500" s="601"/>
      <c r="P500" s="601"/>
      <c r="Q500" s="601"/>
      <c r="R500" s="791"/>
      <c r="S500" s="601"/>
      <c r="T500" s="791"/>
    </row>
    <row r="501" spans="1:41" s="730" customFormat="1" ht="13.2">
      <c r="A501">
        <v>1</v>
      </c>
      <c r="B501" s="730" t="s">
        <v>141</v>
      </c>
      <c r="D501" s="730" t="s">
        <v>932</v>
      </c>
      <c r="E501" s="730" t="s">
        <v>675</v>
      </c>
      <c r="F501" s="1290" t="s">
        <v>1404</v>
      </c>
      <c r="G501" s="731" t="s">
        <v>933</v>
      </c>
      <c r="H501" s="732">
        <v>570</v>
      </c>
      <c r="I501" s="730" t="s">
        <v>674</v>
      </c>
      <c r="O501" s="733">
        <v>2</v>
      </c>
      <c r="P501" s="734"/>
      <c r="Q501" s="735">
        <v>4136.76</v>
      </c>
      <c r="R501" s="736">
        <f>$A501*Q501</f>
        <v>4136.76</v>
      </c>
      <c r="S501" s="735">
        <v>24</v>
      </c>
      <c r="T501" s="737">
        <f>$A501*S501*$T$1</f>
        <v>24</v>
      </c>
    </row>
    <row r="502" spans="1:41" s="602" customFormat="1" ht="15.6" customHeight="1">
      <c r="A502" s="70"/>
      <c r="B502" s="610"/>
      <c r="C502" s="610"/>
      <c r="D502" s="3"/>
      <c r="E502" s="610"/>
      <c r="F502" s="610"/>
      <c r="G502" s="610"/>
      <c r="H502" s="610"/>
      <c r="I502" s="610"/>
      <c r="J502" s="610"/>
      <c r="K502" s="610"/>
      <c r="L502" s="777"/>
      <c r="M502" s="610"/>
      <c r="N502" s="610"/>
      <c r="O502" s="610"/>
      <c r="P502" s="610"/>
      <c r="Q502" s="610"/>
      <c r="R502" s="725">
        <f>$A502*Q502</f>
        <v>0</v>
      </c>
      <c r="S502" s="610"/>
      <c r="T502" s="681">
        <f>$A502*S502*$T$1</f>
        <v>0</v>
      </c>
    </row>
    <row r="503" spans="1:41" s="602" customFormat="1" ht="12">
      <c r="A503" s="792" t="s">
        <v>145</v>
      </c>
      <c r="B503" s="793">
        <f>(R502+T502)</f>
        <v>0</v>
      </c>
      <c r="C503" s="762"/>
      <c r="G503" s="780"/>
      <c r="H503" s="780"/>
      <c r="I503" s="780"/>
      <c r="J503" s="780"/>
      <c r="K503" s="795" t="s">
        <v>5</v>
      </c>
      <c r="L503" s="782" t="s">
        <v>688</v>
      </c>
      <c r="M503" s="780"/>
      <c r="N503" s="780"/>
      <c r="O503" s="780"/>
      <c r="P503" s="780"/>
      <c r="Q503" s="783"/>
      <c r="R503" s="784">
        <f>SUM(R500:R502)</f>
        <v>4136.76</v>
      </c>
      <c r="S503" s="785"/>
      <c r="T503" s="784">
        <f>SUM(T500:T502)</f>
        <v>24</v>
      </c>
      <c r="AG503" s="797">
        <f>ROUND($R503*$S$3,2)</f>
        <v>5584.63</v>
      </c>
    </row>
    <row r="504" spans="1:41" s="602" customFormat="1" ht="12" customHeight="1">
      <c r="A504" s="787"/>
      <c r="B504" s="878"/>
      <c r="C504" s="879"/>
      <c r="D504" s="880" t="str">
        <f>$F$4</f>
        <v>ECA (Engineer)</v>
      </c>
      <c r="E504" s="880">
        <f>ROUND(($R507*$S$4 + ($T507*$T$4)), 2)</f>
        <v>648</v>
      </c>
      <c r="F504" s="881">
        <f ca="1">$F491-SUMIF($L493:$P501,"SUBI",$F493:$F501)</f>
        <v>631.01499418786989</v>
      </c>
      <c r="G504" s="601"/>
      <c r="H504" s="601"/>
      <c r="I504" s="601"/>
      <c r="J504" s="601"/>
      <c r="K504" s="882" t="s">
        <v>8</v>
      </c>
      <c r="L504" s="775" t="s">
        <v>688</v>
      </c>
      <c r="M504" s="601"/>
      <c r="N504" s="601"/>
      <c r="O504" s="601"/>
      <c r="P504" s="601"/>
      <c r="Q504" s="601"/>
      <c r="R504" s="791"/>
      <c r="S504" s="601"/>
      <c r="T504" s="791"/>
    </row>
    <row r="505" spans="1:41" s="730" customFormat="1" ht="13.2">
      <c r="A505">
        <v>1</v>
      </c>
      <c r="B505" s="730" t="s">
        <v>141</v>
      </c>
      <c r="D505" s="730" t="s">
        <v>932</v>
      </c>
      <c r="F505" s="1290" t="s">
        <v>1404</v>
      </c>
      <c r="G505" s="731" t="s">
        <v>933</v>
      </c>
      <c r="H505" s="732">
        <v>570</v>
      </c>
      <c r="I505" s="730" t="s">
        <v>674</v>
      </c>
      <c r="O505" s="733">
        <v>2</v>
      </c>
      <c r="P505" s="734"/>
      <c r="Q505" s="735"/>
      <c r="R505" s="736">
        <f>$A505*Q505</f>
        <v>0</v>
      </c>
      <c r="S505" s="735">
        <v>16</v>
      </c>
      <c r="T505" s="737">
        <f>$A505*S505*$T$1</f>
        <v>16</v>
      </c>
    </row>
    <row r="506" spans="1:41" s="602" customFormat="1" ht="12">
      <c r="A506" s="63"/>
      <c r="B506" s="663"/>
      <c r="C506" s="663"/>
      <c r="D506" s="883"/>
      <c r="E506" s="800"/>
      <c r="F506" s="601"/>
      <c r="G506" s="601"/>
      <c r="H506" s="601"/>
      <c r="I506" s="601"/>
      <c r="J506" s="601"/>
      <c r="K506" s="601"/>
      <c r="L506" s="884"/>
      <c r="M506" s="601"/>
      <c r="N506" s="601"/>
      <c r="O506" s="601"/>
      <c r="P506" s="601"/>
      <c r="Q506" s="601"/>
      <c r="R506" s="666">
        <f>$A506*Q506</f>
        <v>0</v>
      </c>
      <c r="S506" s="601"/>
      <c r="T506" s="681">
        <f>$A506*S506*$T$1</f>
        <v>0</v>
      </c>
    </row>
    <row r="507" spans="1:41" s="602" customFormat="1" ht="12.75" customHeight="1">
      <c r="A507" s="792" t="s">
        <v>145</v>
      </c>
      <c r="B507" s="793">
        <f>(R506+T506)</f>
        <v>0</v>
      </c>
      <c r="C507" s="794"/>
      <c r="D507" s="794"/>
      <c r="E507" s="794"/>
      <c r="F507" s="794"/>
      <c r="G507" s="783"/>
      <c r="H507" s="783"/>
      <c r="I507" s="783"/>
      <c r="J507" s="783"/>
      <c r="K507" s="795" t="s">
        <v>8</v>
      </c>
      <c r="L507" s="796" t="s">
        <v>688</v>
      </c>
      <c r="M507" s="783"/>
      <c r="N507" s="783"/>
      <c r="O507" s="783"/>
      <c r="P507" s="783"/>
      <c r="Q507" s="783"/>
      <c r="R507" s="784">
        <f>SUM(R504:R506)</f>
        <v>0</v>
      </c>
      <c r="S507" s="785"/>
      <c r="T507" s="784">
        <f>SUM(T504:T506)</f>
        <v>16</v>
      </c>
      <c r="AG507" s="885">
        <f>ROUND($R507*$S$4,2)</f>
        <v>0</v>
      </c>
    </row>
    <row r="508" spans="1:41" s="602" customFormat="1" ht="12.75" customHeight="1">
      <c r="A508" s="798"/>
      <c r="B508" s="799"/>
      <c r="E508" s="663"/>
      <c r="F508" s="800"/>
      <c r="G508" s="663"/>
      <c r="H508" s="663"/>
      <c r="I508" s="601"/>
      <c r="J508" s="663"/>
      <c r="K508" s="663"/>
      <c r="L508" s="801"/>
      <c r="M508" s="802"/>
      <c r="N508" s="802"/>
      <c r="O508" s="802"/>
      <c r="P508" s="802"/>
      <c r="Q508" s="665"/>
      <c r="R508" s="791"/>
      <c r="S508" s="663"/>
      <c r="T508" s="791"/>
    </row>
    <row r="509" spans="1:41" s="602" customFormat="1" ht="13.5" customHeight="1" thickBot="1">
      <c r="A509" s="803"/>
      <c r="B509" s="804"/>
      <c r="C509" s="611"/>
      <c r="D509" s="611"/>
      <c r="E509" s="684"/>
      <c r="F509" s="685"/>
      <c r="G509" s="684" t="s">
        <v>146</v>
      </c>
      <c r="H509" s="684"/>
      <c r="I509" s="686"/>
      <c r="J509" s="684"/>
      <c r="K509" s="684"/>
      <c r="L509" s="729" t="s">
        <v>143</v>
      </c>
      <c r="M509" s="687"/>
      <c r="N509" s="687"/>
      <c r="O509" s="687"/>
      <c r="P509" s="687"/>
      <c r="Q509" s="688"/>
      <c r="R509" s="805">
        <f>SUMIF($L492:$L508,"SUBI",R492:R508)</f>
        <v>4736.76</v>
      </c>
      <c r="S509" s="886"/>
      <c r="T509" s="805">
        <f>SUMIF($L492:$L508,"SUBI",T492:T508)</f>
        <v>56</v>
      </c>
      <c r="U509" s="611"/>
      <c r="V509" s="611"/>
      <c r="W509" s="611"/>
      <c r="X509" s="611"/>
      <c r="Y509" s="611"/>
      <c r="Z509" s="611"/>
      <c r="AA509" s="611"/>
      <c r="AB509" s="611"/>
      <c r="AC509" s="611"/>
      <c r="AD509" s="611"/>
      <c r="AE509" s="611"/>
      <c r="AF509" s="611"/>
      <c r="AG509" s="611"/>
      <c r="AH509" s="611"/>
      <c r="AI509" s="611"/>
      <c r="AJ509" s="611"/>
      <c r="AK509" s="611"/>
      <c r="AL509" s="611"/>
      <c r="AM509" s="611"/>
      <c r="AN509" s="611"/>
      <c r="AO509" s="611"/>
    </row>
    <row r="510" spans="1:41" s="602" customFormat="1" thickTop="1">
      <c r="A510" s="63"/>
      <c r="B510" s="63"/>
      <c r="C510" s="3"/>
      <c r="D510" s="3"/>
      <c r="E510" s="63"/>
      <c r="F510" s="63"/>
      <c r="G510" s="63"/>
      <c r="H510" s="63"/>
      <c r="I510" s="63"/>
      <c r="J510" s="63"/>
      <c r="K510" s="63" t="s">
        <v>134</v>
      </c>
      <c r="L510" s="63"/>
      <c r="M510" s="63"/>
      <c r="N510" s="63"/>
      <c r="O510" s="64"/>
      <c r="P510" s="63"/>
      <c r="Q510" s="63"/>
      <c r="R510" s="63"/>
      <c r="S510" s="63"/>
      <c r="T510" s="63"/>
    </row>
    <row r="511" spans="1:41" s="602" customFormat="1" ht="12">
      <c r="A511" s="63"/>
      <c r="B511" s="63"/>
      <c r="C511" s="63" t="s">
        <v>135</v>
      </c>
      <c r="D511" s="37" t="s">
        <v>136</v>
      </c>
      <c r="E511" s="63"/>
      <c r="F511" s="63"/>
      <c r="G511" s="63"/>
      <c r="H511" s="63"/>
      <c r="I511" s="63"/>
      <c r="J511" s="63"/>
      <c r="K511" s="63"/>
      <c r="L511" s="63"/>
      <c r="M511" s="63"/>
      <c r="N511" s="63"/>
      <c r="O511" s="64"/>
      <c r="P511" s="63"/>
      <c r="Q511" s="63"/>
      <c r="R511" s="63"/>
      <c r="S511" s="63"/>
      <c r="T511" s="63"/>
    </row>
    <row r="512" spans="1:41" s="602" customFormat="1" ht="12">
      <c r="A512" s="63"/>
      <c r="B512" s="63"/>
      <c r="C512" s="63"/>
      <c r="D512" s="37" t="s">
        <v>346</v>
      </c>
      <c r="E512" s="63"/>
      <c r="F512" s="63"/>
      <c r="G512" s="63"/>
      <c r="H512" s="63"/>
      <c r="I512" s="63"/>
      <c r="J512" s="63"/>
      <c r="K512" s="63"/>
      <c r="L512" s="63"/>
      <c r="M512" s="63"/>
      <c r="N512" s="63"/>
      <c r="O512" s="64"/>
      <c r="P512" s="63"/>
      <c r="Q512" s="63"/>
      <c r="R512" s="63"/>
      <c r="S512" s="38"/>
      <c r="T512" s="38"/>
    </row>
    <row r="513" spans="1:41" s="3" customFormat="1" thickBot="1">
      <c r="A513" s="611"/>
      <c r="O513" s="158"/>
    </row>
    <row r="514" spans="1:41" s="602" customFormat="1" thickTop="1">
      <c r="A514" s="63"/>
      <c r="B514" s="63"/>
      <c r="C514" s="3"/>
      <c r="D514" s="3"/>
      <c r="E514" s="63"/>
      <c r="F514" s="63"/>
      <c r="G514" s="63"/>
      <c r="H514" s="63"/>
      <c r="I514" s="63"/>
      <c r="J514" s="63"/>
      <c r="K514" s="63" t="s">
        <v>134</v>
      </c>
      <c r="L514" s="63"/>
      <c r="M514" s="63"/>
      <c r="N514" s="63"/>
      <c r="O514" s="64"/>
      <c r="P514" s="63"/>
      <c r="Q514" s="63"/>
      <c r="R514" s="63"/>
      <c r="S514" s="63"/>
      <c r="T514" s="63"/>
    </row>
    <row r="515" spans="1:41" s="602" customFormat="1" ht="12">
      <c r="A515" s="63"/>
      <c r="B515" s="63"/>
      <c r="C515" s="63" t="s">
        <v>135</v>
      </c>
      <c r="D515" s="37" t="s">
        <v>1206</v>
      </c>
      <c r="E515" s="63"/>
      <c r="F515" s="63"/>
      <c r="G515" s="63"/>
      <c r="H515" s="63"/>
      <c r="I515" s="63"/>
      <c r="J515" s="63"/>
      <c r="K515" s="63"/>
      <c r="L515" s="63"/>
      <c r="M515" s="63"/>
      <c r="N515" s="63"/>
      <c r="O515" s="64"/>
      <c r="P515" s="63"/>
      <c r="Q515" s="63"/>
      <c r="R515" s="63"/>
      <c r="S515" s="63"/>
      <c r="T515" s="63"/>
    </row>
    <row r="516" spans="1:41" s="602" customFormat="1" ht="12">
      <c r="A516" s="63"/>
      <c r="B516" s="63"/>
      <c r="C516" s="63"/>
      <c r="D516" s="37" t="s">
        <v>1233</v>
      </c>
      <c r="E516" s="63"/>
      <c r="F516" s="63"/>
      <c r="G516" s="63"/>
      <c r="H516" s="63"/>
      <c r="I516" s="63"/>
      <c r="J516" s="63"/>
      <c r="K516" s="63"/>
      <c r="L516" s="63"/>
      <c r="M516" s="63"/>
      <c r="N516" s="63"/>
      <c r="O516" s="64"/>
      <c r="P516" s="63"/>
      <c r="Q516" s="63"/>
      <c r="R516" s="63"/>
      <c r="S516" s="38"/>
      <c r="T516" s="38"/>
    </row>
    <row r="517" spans="1:41" s="3" customFormat="1" thickBot="1">
      <c r="A517" s="611"/>
      <c r="O517" s="158"/>
    </row>
    <row r="518" spans="1:41" s="602" customFormat="1" thickTop="1">
      <c r="A518" s="63"/>
      <c r="B518" s="41"/>
      <c r="C518" s="63"/>
      <c r="E518" s="42" t="s">
        <v>138</v>
      </c>
      <c r="F518" s="42" t="s">
        <v>139</v>
      </c>
      <c r="G518" s="63"/>
      <c r="H518" s="63"/>
      <c r="I518" s="63"/>
      <c r="J518" s="63"/>
      <c r="K518" s="63" t="s">
        <v>140</v>
      </c>
      <c r="L518" s="751"/>
      <c r="M518" s="63"/>
      <c r="N518" s="63"/>
      <c r="O518" s="64"/>
      <c r="P518" s="63"/>
      <c r="Q518"/>
      <c r="R518"/>
      <c r="S518"/>
      <c r="T518" s="41"/>
      <c r="AG518" s="667" t="s">
        <v>278</v>
      </c>
      <c r="AH518" s="667" t="s">
        <v>279</v>
      </c>
      <c r="AI518" s="667" t="s">
        <v>280</v>
      </c>
      <c r="AJ518" s="667" t="s">
        <v>281</v>
      </c>
      <c r="AK518" s="667" t="s">
        <v>282</v>
      </c>
      <c r="AM518" s="668" t="s">
        <v>291</v>
      </c>
      <c r="AN518" s="669" t="s">
        <v>292</v>
      </c>
      <c r="AO518" s="603" t="s">
        <v>288</v>
      </c>
    </row>
    <row r="519" spans="1:41" s="602" customFormat="1" ht="13.2">
      <c r="A519" s="670">
        <v>1</v>
      </c>
      <c r="B519" s="838" t="s">
        <v>312</v>
      </c>
      <c r="C519" s="672"/>
      <c r="D519" s="673" t="s">
        <v>1238</v>
      </c>
      <c r="E519" s="752">
        <f ca="1">IF(AND($A519=0,$A$1="DIF"),0, ROUND(ROUND(SUMIF($L521:$L729,"SUBI",$E521:$E729)/$A519,2)*$C$12,2))</f>
        <v>15347.06</v>
      </c>
      <c r="F519" s="753">
        <f ca="1">ROUND($A519*$E519,2)</f>
        <v>15347.06</v>
      </c>
      <c r="G519" s="676" t="s">
        <v>142</v>
      </c>
      <c r="H519" s="664"/>
      <c r="I519" s="677"/>
      <c r="J519" s="664"/>
      <c r="K519" s="754"/>
      <c r="L519" s="709" t="s">
        <v>143</v>
      </c>
      <c r="M519" s="678"/>
      <c r="N519" s="678"/>
      <c r="O519" s="678"/>
      <c r="P519" s="678"/>
      <c r="Q519"/>
      <c r="R519"/>
      <c r="S519"/>
      <c r="T519" s="755" t="str">
        <f ca="1">IF(AND($R735=0,$T735=0),"0.00","mu :" &amp; ROUND($F519/$C$12/($R735+$T735*$D$9),2))</f>
        <v>mu :1.35</v>
      </c>
      <c r="W519" s="604"/>
      <c r="AG519" s="756">
        <f ca="1">IF(A519=0,0,ROUND(SUM(AG521:AG735)/A519,2))</f>
        <v>10597.96</v>
      </c>
      <c r="AH519" s="756">
        <f ca="1">$AG519*$A519</f>
        <v>10597.96</v>
      </c>
      <c r="AI519" s="756">
        <f ca="1">$E519-$AG519</f>
        <v>4749.1000000000004</v>
      </c>
      <c r="AJ519" s="756">
        <f ca="1">$A519*$AI519</f>
        <v>4749.1000000000004</v>
      </c>
      <c r="AK519" s="757">
        <f ca="1">ROUND(($AG519+$AI519)*$A519,2)</f>
        <v>15347.06</v>
      </c>
      <c r="AM519" s="607">
        <f ca="1">ROUND(R735,2)</f>
        <v>7850.34</v>
      </c>
      <c r="AN519" s="608">
        <f ca="1">ROUND(T735,2)</f>
        <v>139.25</v>
      </c>
      <c r="AO519" s="609">
        <f ca="1">ROUND(AM519+AN519,2)*A519</f>
        <v>7989.59</v>
      </c>
    </row>
    <row r="520" spans="1:41" s="602" customFormat="1" ht="46.95" customHeight="1">
      <c r="A520" s="1068"/>
      <c r="B520" s="1069"/>
      <c r="C520" s="672"/>
      <c r="D520" s="1368" t="s">
        <v>1234</v>
      </c>
      <c r="E520" s="1368"/>
      <c r="F520" s="1368"/>
      <c r="G520" s="1368"/>
      <c r="H520" s="1368"/>
      <c r="I520" s="1368"/>
      <c r="J520" s="1368"/>
      <c r="K520" s="1368"/>
      <c r="L520" s="1368"/>
      <c r="M520" s="1368"/>
      <c r="N520" s="1368"/>
      <c r="O520" s="1368"/>
      <c r="P520" s="1368"/>
      <c r="Q520" s="1368"/>
      <c r="R520" s="1368"/>
      <c r="S520" s="1368"/>
      <c r="T520" s="1368"/>
    </row>
    <row r="521" spans="1:41" s="602" customFormat="1" ht="12">
      <c r="A521" s="758"/>
      <c r="B521" s="759"/>
      <c r="C521" s="663"/>
      <c r="D521" s="664"/>
      <c r="E521" s="760">
        <f ca="1">F519/$C$12-SUMIF($L518:$L735,"SUBI",$E518:$E735)</f>
        <v>-3.0752797592867864E-3</v>
      </c>
      <c r="F521" s="761" t="s">
        <v>687</v>
      </c>
      <c r="G521" s="762"/>
      <c r="H521" s="762"/>
      <c r="I521" s="763"/>
      <c r="J521" s="762"/>
      <c r="K521" s="762"/>
      <c r="L521" s="764"/>
      <c r="M521" s="765"/>
      <c r="N521" s="765"/>
      <c r="O521" s="765"/>
      <c r="P521" s="765"/>
      <c r="Q521" s="766"/>
      <c r="R521" s="767"/>
      <c r="S521" s="766"/>
      <c r="T521" s="768"/>
    </row>
    <row r="522" spans="1:41" s="602" customFormat="1" ht="12" customHeight="1">
      <c r="A522" s="769"/>
      <c r="B522" s="770"/>
      <c r="C522" s="771"/>
      <c r="D522" s="771" t="str">
        <f>$F$2</f>
        <v>Electrical</v>
      </c>
      <c r="E522" s="771">
        <f ca="1">ROUND(($R728*$S$2 + ($T728*$T$2)), 2)</f>
        <v>15760.1</v>
      </c>
      <c r="F522" s="772">
        <f ca="1">$E522*$C$12</f>
        <v>15347.062994683547</v>
      </c>
      <c r="G522" s="610"/>
      <c r="H522" s="773"/>
      <c r="I522" s="610"/>
      <c r="J522" s="64"/>
      <c r="K522" s="774" t="s">
        <v>3</v>
      </c>
      <c r="L522" s="775" t="s">
        <v>688</v>
      </c>
      <c r="M522" s="610"/>
      <c r="N522" s="610"/>
      <c r="O522" s="64"/>
      <c r="P522" s="610"/>
      <c r="Q522" s="610"/>
      <c r="R522"/>
      <c r="S522"/>
      <c r="T522"/>
    </row>
    <row r="523" spans="1:41" s="602" customFormat="1" ht="12">
      <c r="A523" s="63"/>
      <c r="B523" s="663"/>
      <c r="C523" s="663"/>
      <c r="D523" s="864" t="s">
        <v>1369</v>
      </c>
      <c r="E523" s="663"/>
      <c r="F523" s="664"/>
      <c r="G523" s="663"/>
      <c r="H523" s="663"/>
      <c r="I523" s="601"/>
      <c r="J523" s="663"/>
      <c r="K523" s="663"/>
      <c r="L523" s="663"/>
      <c r="M523" s="663"/>
      <c r="N523" s="663"/>
      <c r="O523" s="663"/>
      <c r="P523" s="663"/>
      <c r="Q523" s="601"/>
      <c r="R523" s="666">
        <f t="shared" ref="R523:R531" si="38">$A523*Q523</f>
        <v>0</v>
      </c>
      <c r="S523" s="601"/>
      <c r="T523" s="681">
        <f t="shared" ref="T523:T531" si="39">$A523*S523*$T$1</f>
        <v>0</v>
      </c>
    </row>
    <row r="524" spans="1:41" s="730" customFormat="1" ht="13.2">
      <c r="A524">
        <v>32</v>
      </c>
      <c r="B524" s="730" t="s">
        <v>326</v>
      </c>
      <c r="D524" s="730" t="s">
        <v>1441</v>
      </c>
      <c r="F524" s="730" t="s">
        <v>1240</v>
      </c>
      <c r="G524" s="731" t="s">
        <v>973</v>
      </c>
      <c r="H524" s="732">
        <v>616</v>
      </c>
      <c r="I524" s="730" t="s">
        <v>561</v>
      </c>
      <c r="J524" s="730" t="s">
        <v>974</v>
      </c>
      <c r="O524" s="733">
        <v>2</v>
      </c>
      <c r="P524" s="734">
        <v>40767</v>
      </c>
      <c r="Q524" s="735">
        <v>10.5</v>
      </c>
      <c r="R524" s="736">
        <f t="shared" si="38"/>
        <v>336</v>
      </c>
      <c r="S524" s="735">
        <v>0.1</v>
      </c>
      <c r="T524" s="737">
        <f t="shared" si="39"/>
        <v>3.2</v>
      </c>
    </row>
    <row r="525" spans="1:41" s="730" customFormat="1" ht="13.2">
      <c r="A525" s="167">
        <v>32</v>
      </c>
      <c r="B525" s="730" t="s">
        <v>141</v>
      </c>
      <c r="D525" s="730" t="s">
        <v>815</v>
      </c>
      <c r="G525" s="731" t="s">
        <v>816</v>
      </c>
      <c r="H525" s="732">
        <v>875</v>
      </c>
      <c r="I525" s="730" t="s">
        <v>674</v>
      </c>
      <c r="K525" s="730" t="s">
        <v>817</v>
      </c>
      <c r="O525" s="733">
        <v>1</v>
      </c>
      <c r="P525" s="734">
        <v>34669</v>
      </c>
      <c r="Q525" s="735">
        <v>0.05</v>
      </c>
      <c r="R525" s="736">
        <f t="shared" si="38"/>
        <v>1.6</v>
      </c>
      <c r="S525" s="735"/>
      <c r="T525" s="737">
        <f t="shared" si="39"/>
        <v>0</v>
      </c>
    </row>
    <row r="526" spans="1:41" s="730" customFormat="1" ht="13.2">
      <c r="A526">
        <v>2</v>
      </c>
      <c r="B526" s="730" t="s">
        <v>141</v>
      </c>
      <c r="D526" s="730" t="s">
        <v>848</v>
      </c>
      <c r="G526" s="731" t="s">
        <v>849</v>
      </c>
      <c r="H526" s="732">
        <v>620</v>
      </c>
      <c r="I526" s="730" t="s">
        <v>741</v>
      </c>
      <c r="O526" s="733">
        <v>2</v>
      </c>
      <c r="P526" s="734">
        <v>35431</v>
      </c>
      <c r="Q526" s="735">
        <v>7.66</v>
      </c>
      <c r="R526" s="736">
        <f t="shared" si="38"/>
        <v>15.32</v>
      </c>
      <c r="S526" s="735">
        <v>0.4</v>
      </c>
      <c r="T526" s="737">
        <f t="shared" si="39"/>
        <v>0.8</v>
      </c>
    </row>
    <row r="527" spans="1:41" s="730" customFormat="1" ht="13.2">
      <c r="A527">
        <v>2</v>
      </c>
      <c r="B527" s="730" t="s">
        <v>326</v>
      </c>
      <c r="D527" s="730" t="s">
        <v>703</v>
      </c>
      <c r="G527" s="731" t="s">
        <v>704</v>
      </c>
      <c r="H527" s="732">
        <v>620</v>
      </c>
      <c r="I527" s="730" t="s">
        <v>674</v>
      </c>
      <c r="O527" s="733">
        <v>2</v>
      </c>
      <c r="P527" s="734">
        <v>38148</v>
      </c>
      <c r="Q527" s="735">
        <v>1.5</v>
      </c>
      <c r="R527" s="736">
        <f t="shared" si="38"/>
        <v>3</v>
      </c>
      <c r="S527" s="735">
        <v>0.08</v>
      </c>
      <c r="T527" s="737">
        <f t="shared" si="39"/>
        <v>0.16</v>
      </c>
    </row>
    <row r="528" spans="1:41" s="730" customFormat="1" ht="13.2">
      <c r="A528">
        <v>10</v>
      </c>
      <c r="B528" s="730" t="s">
        <v>141</v>
      </c>
      <c r="D528" s="730" t="s">
        <v>975</v>
      </c>
      <c r="G528" s="731" t="s">
        <v>976</v>
      </c>
      <c r="H528" s="732">
        <v>620</v>
      </c>
      <c r="I528" s="730" t="s">
        <v>702</v>
      </c>
      <c r="O528" s="733">
        <v>2</v>
      </c>
      <c r="P528" s="734">
        <v>34669</v>
      </c>
      <c r="Q528" s="735">
        <v>0.14000000000000001</v>
      </c>
      <c r="R528" s="736">
        <f t="shared" si="38"/>
        <v>1.4000000000000001</v>
      </c>
      <c r="S528" s="735">
        <v>0.06</v>
      </c>
      <c r="T528" s="737">
        <f t="shared" si="39"/>
        <v>0.6</v>
      </c>
    </row>
    <row r="529" spans="1:20" s="730" customFormat="1" ht="13.2">
      <c r="A529">
        <v>1</v>
      </c>
      <c r="B529" s="730" t="s">
        <v>141</v>
      </c>
      <c r="D529" s="730" t="s">
        <v>977</v>
      </c>
      <c r="G529" s="731" t="s">
        <v>978</v>
      </c>
      <c r="H529" s="732">
        <v>510</v>
      </c>
      <c r="I529" s="730" t="s">
        <v>979</v>
      </c>
      <c r="J529" s="730" t="s">
        <v>980</v>
      </c>
      <c r="K529" s="730" t="s">
        <v>981</v>
      </c>
      <c r="O529" s="733">
        <v>2</v>
      </c>
      <c r="P529" s="734">
        <v>36880</v>
      </c>
      <c r="Q529" s="735">
        <v>63.82</v>
      </c>
      <c r="R529" s="736">
        <f t="shared" si="38"/>
        <v>63.82</v>
      </c>
      <c r="S529" s="735">
        <v>1</v>
      </c>
      <c r="T529" s="737">
        <f t="shared" si="39"/>
        <v>1</v>
      </c>
    </row>
    <row r="530" spans="1:20" s="730" customFormat="1" ht="13.2">
      <c r="A530">
        <v>1</v>
      </c>
      <c r="B530" s="730" t="s">
        <v>141</v>
      </c>
      <c r="D530" s="730" t="s">
        <v>731</v>
      </c>
      <c r="G530" s="731" t="s">
        <v>732</v>
      </c>
      <c r="H530" s="732">
        <v>875</v>
      </c>
      <c r="I530" s="730" t="s">
        <v>674</v>
      </c>
      <c r="K530" s="730" t="s">
        <v>733</v>
      </c>
      <c r="O530" s="733">
        <v>3</v>
      </c>
      <c r="P530" s="734">
        <v>34820</v>
      </c>
      <c r="Q530" s="735">
        <v>3.49</v>
      </c>
      <c r="R530" s="736">
        <f t="shared" si="38"/>
        <v>3.49</v>
      </c>
      <c r="S530" s="735">
        <v>0.05</v>
      </c>
      <c r="T530" s="737">
        <f t="shared" si="39"/>
        <v>0.05</v>
      </c>
    </row>
    <row r="531" spans="1:20" s="730" customFormat="1" ht="13.2">
      <c r="A531">
        <v>1</v>
      </c>
      <c r="B531" s="730" t="s">
        <v>141</v>
      </c>
      <c r="D531" s="730" t="s">
        <v>982</v>
      </c>
      <c r="G531" s="731" t="s">
        <v>983</v>
      </c>
      <c r="H531" s="732">
        <v>501</v>
      </c>
      <c r="I531" s="730" t="s">
        <v>674</v>
      </c>
      <c r="K531" s="730" t="s">
        <v>984</v>
      </c>
      <c r="O531" s="733">
        <v>1</v>
      </c>
      <c r="P531" s="734">
        <v>38136</v>
      </c>
      <c r="Q531" s="735">
        <v>10</v>
      </c>
      <c r="R531" s="736">
        <f t="shared" si="38"/>
        <v>10</v>
      </c>
      <c r="S531" s="735">
        <v>0.25</v>
      </c>
      <c r="T531" s="737">
        <f t="shared" si="39"/>
        <v>0.25</v>
      </c>
    </row>
    <row r="532" spans="1:20" s="602" customFormat="1" ht="12">
      <c r="A532" s="63"/>
      <c r="B532" s="663"/>
      <c r="C532" s="663"/>
      <c r="D532" s="864" t="s">
        <v>1370</v>
      </c>
      <c r="E532" s="663"/>
      <c r="F532" s="664"/>
      <c r="G532" s="663"/>
      <c r="H532" s="663"/>
      <c r="I532" s="601"/>
      <c r="J532" s="663"/>
      <c r="K532" s="663"/>
      <c r="L532" s="663"/>
      <c r="M532" s="663"/>
      <c r="N532" s="663"/>
      <c r="O532" s="663"/>
      <c r="P532" s="663"/>
      <c r="Q532" s="601"/>
      <c r="R532" s="666">
        <f t="shared" ref="R532:R549" si="40">$A532*Q532</f>
        <v>0</v>
      </c>
      <c r="S532" s="601"/>
      <c r="T532" s="681">
        <f t="shared" ref="T532:T549" si="41">$A532*S532*$T$1</f>
        <v>0</v>
      </c>
    </row>
    <row r="533" spans="1:20" s="730" customFormat="1" ht="13.2">
      <c r="A533">
        <v>35</v>
      </c>
      <c r="B533" s="730" t="s">
        <v>326</v>
      </c>
      <c r="D533" s="730" t="s">
        <v>1441</v>
      </c>
      <c r="F533" s="730" t="s">
        <v>1240</v>
      </c>
      <c r="G533" s="731" t="s">
        <v>973</v>
      </c>
      <c r="H533" s="732">
        <v>616</v>
      </c>
      <c r="I533" s="730" t="s">
        <v>561</v>
      </c>
      <c r="J533" s="730" t="s">
        <v>974</v>
      </c>
      <c r="O533" s="733">
        <v>2</v>
      </c>
      <c r="P533" s="734">
        <v>40767</v>
      </c>
      <c r="Q533" s="735">
        <v>10.5</v>
      </c>
      <c r="R533" s="736">
        <f t="shared" si="40"/>
        <v>367.5</v>
      </c>
      <c r="S533" s="735">
        <v>0.1</v>
      </c>
      <c r="T533" s="737">
        <f t="shared" si="41"/>
        <v>3.5</v>
      </c>
    </row>
    <row r="534" spans="1:20" s="730" customFormat="1" ht="13.2">
      <c r="A534" s="167">
        <v>35</v>
      </c>
      <c r="B534" s="730" t="s">
        <v>141</v>
      </c>
      <c r="D534" s="730" t="s">
        <v>815</v>
      </c>
      <c r="G534" s="731" t="s">
        <v>816</v>
      </c>
      <c r="H534" s="732">
        <v>875</v>
      </c>
      <c r="I534" s="730" t="s">
        <v>674</v>
      </c>
      <c r="K534" s="730" t="s">
        <v>817</v>
      </c>
      <c r="O534" s="733">
        <v>1</v>
      </c>
      <c r="P534" s="734">
        <v>34669</v>
      </c>
      <c r="Q534" s="735">
        <v>0.05</v>
      </c>
      <c r="R534" s="736">
        <f t="shared" si="40"/>
        <v>1.75</v>
      </c>
      <c r="S534" s="735"/>
      <c r="T534" s="737">
        <f t="shared" si="41"/>
        <v>0</v>
      </c>
    </row>
    <row r="535" spans="1:20" s="730" customFormat="1" ht="13.2">
      <c r="A535">
        <v>2</v>
      </c>
      <c r="B535" s="730" t="s">
        <v>141</v>
      </c>
      <c r="D535" s="730" t="s">
        <v>848</v>
      </c>
      <c r="G535" s="731" t="s">
        <v>849</v>
      </c>
      <c r="H535" s="732">
        <v>620</v>
      </c>
      <c r="I535" s="730" t="s">
        <v>741</v>
      </c>
      <c r="O535" s="733">
        <v>2</v>
      </c>
      <c r="P535" s="734">
        <v>35431</v>
      </c>
      <c r="Q535" s="735">
        <v>7.66</v>
      </c>
      <c r="R535" s="736">
        <f t="shared" si="40"/>
        <v>15.32</v>
      </c>
      <c r="S535" s="735">
        <v>0.4</v>
      </c>
      <c r="T535" s="737">
        <f t="shared" si="41"/>
        <v>0.8</v>
      </c>
    </row>
    <row r="536" spans="1:20" s="730" customFormat="1" ht="13.2">
      <c r="A536">
        <v>2</v>
      </c>
      <c r="B536" s="730" t="s">
        <v>326</v>
      </c>
      <c r="D536" s="730" t="s">
        <v>703</v>
      </c>
      <c r="G536" s="731" t="s">
        <v>704</v>
      </c>
      <c r="H536" s="732">
        <v>620</v>
      </c>
      <c r="I536" s="730" t="s">
        <v>674</v>
      </c>
      <c r="O536" s="733">
        <v>2</v>
      </c>
      <c r="P536" s="734">
        <v>38148</v>
      </c>
      <c r="Q536" s="735">
        <v>1.5</v>
      </c>
      <c r="R536" s="736">
        <f t="shared" si="40"/>
        <v>3</v>
      </c>
      <c r="S536" s="735">
        <v>0.08</v>
      </c>
      <c r="T536" s="737">
        <f t="shared" si="41"/>
        <v>0.16</v>
      </c>
    </row>
    <row r="537" spans="1:20" s="730" customFormat="1" ht="13.2">
      <c r="A537">
        <v>10</v>
      </c>
      <c r="B537" s="730" t="s">
        <v>141</v>
      </c>
      <c r="D537" s="730" t="s">
        <v>975</v>
      </c>
      <c r="G537" s="731" t="s">
        <v>976</v>
      </c>
      <c r="H537" s="732">
        <v>620</v>
      </c>
      <c r="I537" s="730" t="s">
        <v>702</v>
      </c>
      <c r="O537" s="733">
        <v>2</v>
      </c>
      <c r="P537" s="734">
        <v>34669</v>
      </c>
      <c r="Q537" s="735">
        <v>0.14000000000000001</v>
      </c>
      <c r="R537" s="736">
        <f t="shared" si="40"/>
        <v>1.4000000000000001</v>
      </c>
      <c r="S537" s="735">
        <v>0.06</v>
      </c>
      <c r="T537" s="737">
        <f t="shared" si="41"/>
        <v>0.6</v>
      </c>
    </row>
    <row r="538" spans="1:20" s="730" customFormat="1" ht="13.2">
      <c r="A538">
        <v>1</v>
      </c>
      <c r="B538" s="730" t="s">
        <v>141</v>
      </c>
      <c r="D538" s="730" t="s">
        <v>977</v>
      </c>
      <c r="G538" s="731" t="s">
        <v>978</v>
      </c>
      <c r="H538" s="732">
        <v>510</v>
      </c>
      <c r="I538" s="730" t="s">
        <v>979</v>
      </c>
      <c r="J538" s="730" t="s">
        <v>980</v>
      </c>
      <c r="K538" s="730" t="s">
        <v>981</v>
      </c>
      <c r="O538" s="733">
        <v>2</v>
      </c>
      <c r="P538" s="734">
        <v>36880</v>
      </c>
      <c r="Q538" s="735">
        <v>63.82</v>
      </c>
      <c r="R538" s="736">
        <f t="shared" si="40"/>
        <v>63.82</v>
      </c>
      <c r="S538" s="735">
        <v>1</v>
      </c>
      <c r="T538" s="737">
        <f t="shared" si="41"/>
        <v>1</v>
      </c>
    </row>
    <row r="539" spans="1:20" s="730" customFormat="1" ht="13.2">
      <c r="A539">
        <v>1</v>
      </c>
      <c r="B539" s="730" t="s">
        <v>141</v>
      </c>
      <c r="D539" s="730" t="s">
        <v>731</v>
      </c>
      <c r="G539" s="731" t="s">
        <v>732</v>
      </c>
      <c r="H539" s="732">
        <v>875</v>
      </c>
      <c r="I539" s="730" t="s">
        <v>674</v>
      </c>
      <c r="K539" s="730" t="s">
        <v>733</v>
      </c>
      <c r="O539" s="733">
        <v>3</v>
      </c>
      <c r="P539" s="734">
        <v>34820</v>
      </c>
      <c r="Q539" s="735">
        <v>3.49</v>
      </c>
      <c r="R539" s="736">
        <f t="shared" si="40"/>
        <v>3.49</v>
      </c>
      <c r="S539" s="735">
        <v>0.05</v>
      </c>
      <c r="T539" s="737">
        <f t="shared" si="41"/>
        <v>0.05</v>
      </c>
    </row>
    <row r="540" spans="1:20" s="730" customFormat="1" ht="13.2">
      <c r="A540">
        <v>1</v>
      </c>
      <c r="B540" s="730" t="s">
        <v>141</v>
      </c>
      <c r="D540" s="730" t="s">
        <v>982</v>
      </c>
      <c r="G540" s="731" t="s">
        <v>983</v>
      </c>
      <c r="H540" s="732">
        <v>501</v>
      </c>
      <c r="I540" s="730" t="s">
        <v>674</v>
      </c>
      <c r="K540" s="730" t="s">
        <v>984</v>
      </c>
      <c r="O540" s="733">
        <v>1</v>
      </c>
      <c r="P540" s="734">
        <v>38136</v>
      </c>
      <c r="Q540" s="735">
        <v>10</v>
      </c>
      <c r="R540" s="736">
        <f t="shared" si="40"/>
        <v>10</v>
      </c>
      <c r="S540" s="735">
        <v>0.25</v>
      </c>
      <c r="T540" s="737">
        <f t="shared" si="41"/>
        <v>0.25</v>
      </c>
    </row>
    <row r="541" spans="1:20" s="602" customFormat="1" ht="12">
      <c r="A541" s="63"/>
      <c r="B541" s="663"/>
      <c r="C541" s="663"/>
      <c r="D541" s="864" t="s">
        <v>1371</v>
      </c>
      <c r="E541" s="663"/>
      <c r="F541" s="664"/>
      <c r="G541" s="663"/>
      <c r="H541" s="663"/>
      <c r="I541" s="601"/>
      <c r="J541" s="663"/>
      <c r="K541" s="663"/>
      <c r="L541" s="663"/>
      <c r="M541" s="663"/>
      <c r="N541" s="663"/>
      <c r="O541" s="663"/>
      <c r="P541" s="663"/>
      <c r="Q541" s="601"/>
      <c r="R541" s="666">
        <f t="shared" si="40"/>
        <v>0</v>
      </c>
      <c r="S541" s="601"/>
      <c r="T541" s="681">
        <f t="shared" si="41"/>
        <v>0</v>
      </c>
    </row>
    <row r="542" spans="1:20" s="730" customFormat="1" ht="13.2">
      <c r="A542">
        <v>42</v>
      </c>
      <c r="B542" s="730" t="s">
        <v>326</v>
      </c>
      <c r="D542" s="730" t="s">
        <v>1441</v>
      </c>
      <c r="F542" s="730" t="s">
        <v>1240</v>
      </c>
      <c r="G542" s="731" t="s">
        <v>973</v>
      </c>
      <c r="H542" s="732">
        <v>616</v>
      </c>
      <c r="I542" s="730" t="s">
        <v>561</v>
      </c>
      <c r="J542" s="730" t="s">
        <v>974</v>
      </c>
      <c r="O542" s="733">
        <v>2</v>
      </c>
      <c r="P542" s="734">
        <v>40767</v>
      </c>
      <c r="Q542" s="735">
        <v>10.5</v>
      </c>
      <c r="R542" s="736">
        <f t="shared" si="40"/>
        <v>441</v>
      </c>
      <c r="S542" s="735">
        <v>0.1</v>
      </c>
      <c r="T542" s="737">
        <f t="shared" si="41"/>
        <v>4.2</v>
      </c>
    </row>
    <row r="543" spans="1:20" s="730" customFormat="1" ht="13.2">
      <c r="A543" s="167">
        <v>42</v>
      </c>
      <c r="B543" s="730" t="s">
        <v>141</v>
      </c>
      <c r="D543" s="730" t="s">
        <v>815</v>
      </c>
      <c r="G543" s="731" t="s">
        <v>816</v>
      </c>
      <c r="H543" s="732">
        <v>875</v>
      </c>
      <c r="I543" s="730" t="s">
        <v>674</v>
      </c>
      <c r="K543" s="730" t="s">
        <v>817</v>
      </c>
      <c r="O543" s="733">
        <v>1</v>
      </c>
      <c r="P543" s="734">
        <v>34669</v>
      </c>
      <c r="Q543" s="735">
        <v>0.05</v>
      </c>
      <c r="R543" s="736">
        <f t="shared" si="40"/>
        <v>2.1</v>
      </c>
      <c r="S543" s="735"/>
      <c r="T543" s="737">
        <f t="shared" si="41"/>
        <v>0</v>
      </c>
    </row>
    <row r="544" spans="1:20" s="730" customFormat="1" ht="13.2">
      <c r="A544">
        <v>2</v>
      </c>
      <c r="B544" s="730" t="s">
        <v>141</v>
      </c>
      <c r="D544" s="730" t="s">
        <v>848</v>
      </c>
      <c r="G544" s="731" t="s">
        <v>849</v>
      </c>
      <c r="H544" s="732">
        <v>620</v>
      </c>
      <c r="I544" s="730" t="s">
        <v>741</v>
      </c>
      <c r="O544" s="733">
        <v>2</v>
      </c>
      <c r="P544" s="734">
        <v>35431</v>
      </c>
      <c r="Q544" s="735">
        <v>7.66</v>
      </c>
      <c r="R544" s="736">
        <f t="shared" si="40"/>
        <v>15.32</v>
      </c>
      <c r="S544" s="735">
        <v>0.4</v>
      </c>
      <c r="T544" s="737">
        <f t="shared" si="41"/>
        <v>0.8</v>
      </c>
    </row>
    <row r="545" spans="1:20" s="730" customFormat="1" ht="13.2">
      <c r="A545">
        <v>2</v>
      </c>
      <c r="B545" s="730" t="s">
        <v>326</v>
      </c>
      <c r="D545" s="730" t="s">
        <v>703</v>
      </c>
      <c r="G545" s="731" t="s">
        <v>704</v>
      </c>
      <c r="H545" s="732">
        <v>620</v>
      </c>
      <c r="I545" s="730" t="s">
        <v>674</v>
      </c>
      <c r="O545" s="733">
        <v>2</v>
      </c>
      <c r="P545" s="734">
        <v>38148</v>
      </c>
      <c r="Q545" s="735">
        <v>1.5</v>
      </c>
      <c r="R545" s="736">
        <f t="shared" si="40"/>
        <v>3</v>
      </c>
      <c r="S545" s="735">
        <v>0.08</v>
      </c>
      <c r="T545" s="737">
        <f t="shared" si="41"/>
        <v>0.16</v>
      </c>
    </row>
    <row r="546" spans="1:20" s="730" customFormat="1" ht="13.2">
      <c r="A546">
        <v>10</v>
      </c>
      <c r="B546" s="730" t="s">
        <v>141</v>
      </c>
      <c r="D546" s="730" t="s">
        <v>975</v>
      </c>
      <c r="G546" s="731" t="s">
        <v>976</v>
      </c>
      <c r="H546" s="732">
        <v>620</v>
      </c>
      <c r="I546" s="730" t="s">
        <v>702</v>
      </c>
      <c r="O546" s="733">
        <v>2</v>
      </c>
      <c r="P546" s="734">
        <v>34669</v>
      </c>
      <c r="Q546" s="735">
        <v>0.14000000000000001</v>
      </c>
      <c r="R546" s="736">
        <f t="shared" si="40"/>
        <v>1.4000000000000001</v>
      </c>
      <c r="S546" s="735">
        <v>0.06</v>
      </c>
      <c r="T546" s="737">
        <f t="shared" si="41"/>
        <v>0.6</v>
      </c>
    </row>
    <row r="547" spans="1:20" s="730" customFormat="1" ht="13.2">
      <c r="A547">
        <v>1</v>
      </c>
      <c r="B547" s="730" t="s">
        <v>141</v>
      </c>
      <c r="D547" s="730" t="s">
        <v>977</v>
      </c>
      <c r="G547" s="731" t="s">
        <v>978</v>
      </c>
      <c r="H547" s="732">
        <v>510</v>
      </c>
      <c r="I547" s="730" t="s">
        <v>979</v>
      </c>
      <c r="J547" s="730" t="s">
        <v>980</v>
      </c>
      <c r="K547" s="730" t="s">
        <v>981</v>
      </c>
      <c r="O547" s="733">
        <v>2</v>
      </c>
      <c r="P547" s="734">
        <v>36880</v>
      </c>
      <c r="Q547" s="735">
        <v>63.82</v>
      </c>
      <c r="R547" s="736">
        <f t="shared" si="40"/>
        <v>63.82</v>
      </c>
      <c r="S547" s="735">
        <v>1</v>
      </c>
      <c r="T547" s="737">
        <f t="shared" si="41"/>
        <v>1</v>
      </c>
    </row>
    <row r="548" spans="1:20" s="730" customFormat="1" ht="13.2">
      <c r="A548">
        <v>1</v>
      </c>
      <c r="B548" s="730" t="s">
        <v>141</v>
      </c>
      <c r="D548" s="730" t="s">
        <v>731</v>
      </c>
      <c r="G548" s="731" t="s">
        <v>732</v>
      </c>
      <c r="H548" s="732">
        <v>875</v>
      </c>
      <c r="I548" s="730" t="s">
        <v>674</v>
      </c>
      <c r="K548" s="730" t="s">
        <v>733</v>
      </c>
      <c r="O548" s="733">
        <v>3</v>
      </c>
      <c r="P548" s="734">
        <v>34820</v>
      </c>
      <c r="Q548" s="735">
        <v>3.49</v>
      </c>
      <c r="R548" s="736">
        <f t="shared" si="40"/>
        <v>3.49</v>
      </c>
      <c r="S548" s="735">
        <v>0.05</v>
      </c>
      <c r="T548" s="737">
        <f t="shared" si="41"/>
        <v>0.05</v>
      </c>
    </row>
    <row r="549" spans="1:20" s="730" customFormat="1" ht="13.2">
      <c r="A549">
        <v>1</v>
      </c>
      <c r="B549" s="730" t="s">
        <v>141</v>
      </c>
      <c r="D549" s="730" t="s">
        <v>982</v>
      </c>
      <c r="G549" s="731" t="s">
        <v>983</v>
      </c>
      <c r="H549" s="732">
        <v>501</v>
      </c>
      <c r="I549" s="730" t="s">
        <v>674</v>
      </c>
      <c r="K549" s="730" t="s">
        <v>984</v>
      </c>
      <c r="O549" s="733">
        <v>1</v>
      </c>
      <c r="P549" s="734">
        <v>38136</v>
      </c>
      <c r="Q549" s="735">
        <v>10</v>
      </c>
      <c r="R549" s="736">
        <f t="shared" si="40"/>
        <v>10</v>
      </c>
      <c r="S549" s="735">
        <v>0.25</v>
      </c>
      <c r="T549" s="737">
        <f t="shared" si="41"/>
        <v>0.25</v>
      </c>
    </row>
    <row r="550" spans="1:20" s="602" customFormat="1" ht="12">
      <c r="A550" s="63"/>
      <c r="B550" s="663"/>
      <c r="C550" s="663"/>
      <c r="D550" s="864" t="s">
        <v>1372</v>
      </c>
      <c r="E550" s="663"/>
      <c r="F550" s="664"/>
      <c r="G550" s="663"/>
      <c r="H550" s="663"/>
      <c r="I550" s="601"/>
      <c r="J550" s="663"/>
      <c r="K550" s="663"/>
      <c r="L550" s="663"/>
      <c r="M550" s="663"/>
      <c r="N550" s="663"/>
      <c r="O550" s="663"/>
      <c r="P550" s="663"/>
      <c r="Q550" s="601"/>
      <c r="R550" s="666">
        <f t="shared" ref="R550:R558" si="42">$A550*Q550</f>
        <v>0</v>
      </c>
      <c r="S550" s="601"/>
      <c r="T550" s="681">
        <f t="shared" ref="T550:T558" si="43">$A550*S550*$T$1</f>
        <v>0</v>
      </c>
    </row>
    <row r="551" spans="1:20" s="730" customFormat="1" ht="13.2">
      <c r="A551">
        <v>60</v>
      </c>
      <c r="B551" s="730" t="s">
        <v>326</v>
      </c>
      <c r="D551" s="730" t="s">
        <v>1441</v>
      </c>
      <c r="F551" s="730" t="s">
        <v>1240</v>
      </c>
      <c r="G551" s="731" t="s">
        <v>973</v>
      </c>
      <c r="H551" s="732">
        <v>616</v>
      </c>
      <c r="I551" s="730" t="s">
        <v>561</v>
      </c>
      <c r="J551" s="730" t="s">
        <v>974</v>
      </c>
      <c r="O551" s="733">
        <v>2</v>
      </c>
      <c r="P551" s="734">
        <v>40767</v>
      </c>
      <c r="Q551" s="735">
        <v>10.5</v>
      </c>
      <c r="R551" s="736">
        <f t="shared" si="42"/>
        <v>630</v>
      </c>
      <c r="S551" s="735">
        <v>0.1</v>
      </c>
      <c r="T551" s="737">
        <f t="shared" si="43"/>
        <v>6</v>
      </c>
    </row>
    <row r="552" spans="1:20" s="730" customFormat="1" ht="13.2">
      <c r="A552" s="167">
        <v>60</v>
      </c>
      <c r="B552" s="730" t="s">
        <v>141</v>
      </c>
      <c r="D552" s="730" t="s">
        <v>815</v>
      </c>
      <c r="G552" s="731" t="s">
        <v>816</v>
      </c>
      <c r="H552" s="732">
        <v>875</v>
      </c>
      <c r="I552" s="730" t="s">
        <v>674</v>
      </c>
      <c r="K552" s="730" t="s">
        <v>817</v>
      </c>
      <c r="O552" s="733">
        <v>1</v>
      </c>
      <c r="P552" s="734">
        <v>34669</v>
      </c>
      <c r="Q552" s="735">
        <v>0.05</v>
      </c>
      <c r="R552" s="736">
        <f t="shared" si="42"/>
        <v>3</v>
      </c>
      <c r="S552" s="735"/>
      <c r="T552" s="737">
        <f t="shared" si="43"/>
        <v>0</v>
      </c>
    </row>
    <row r="553" spans="1:20" s="730" customFormat="1" ht="13.2">
      <c r="A553">
        <v>2</v>
      </c>
      <c r="B553" s="730" t="s">
        <v>141</v>
      </c>
      <c r="D553" s="730" t="s">
        <v>848</v>
      </c>
      <c r="G553" s="731" t="s">
        <v>849</v>
      </c>
      <c r="H553" s="732">
        <v>620</v>
      </c>
      <c r="I553" s="730" t="s">
        <v>741</v>
      </c>
      <c r="O553" s="733">
        <v>2</v>
      </c>
      <c r="P553" s="734">
        <v>35431</v>
      </c>
      <c r="Q553" s="735">
        <v>7.66</v>
      </c>
      <c r="R553" s="736">
        <f t="shared" si="42"/>
        <v>15.32</v>
      </c>
      <c r="S553" s="735">
        <v>0.4</v>
      </c>
      <c r="T553" s="737">
        <f t="shared" si="43"/>
        <v>0.8</v>
      </c>
    </row>
    <row r="554" spans="1:20" s="730" customFormat="1" ht="13.2">
      <c r="A554">
        <v>2</v>
      </c>
      <c r="B554" s="730" t="s">
        <v>326</v>
      </c>
      <c r="D554" s="730" t="s">
        <v>703</v>
      </c>
      <c r="G554" s="731" t="s">
        <v>704</v>
      </c>
      <c r="H554" s="732">
        <v>620</v>
      </c>
      <c r="I554" s="730" t="s">
        <v>674</v>
      </c>
      <c r="O554" s="733">
        <v>2</v>
      </c>
      <c r="P554" s="734">
        <v>38148</v>
      </c>
      <c r="Q554" s="735">
        <v>1.5</v>
      </c>
      <c r="R554" s="736">
        <f t="shared" si="42"/>
        <v>3</v>
      </c>
      <c r="S554" s="735">
        <v>0.08</v>
      </c>
      <c r="T554" s="737">
        <f t="shared" si="43"/>
        <v>0.16</v>
      </c>
    </row>
    <row r="555" spans="1:20" s="730" customFormat="1" ht="13.2">
      <c r="A555">
        <v>10</v>
      </c>
      <c r="B555" s="730" t="s">
        <v>141</v>
      </c>
      <c r="D555" s="730" t="s">
        <v>975</v>
      </c>
      <c r="G555" s="731" t="s">
        <v>976</v>
      </c>
      <c r="H555" s="732">
        <v>620</v>
      </c>
      <c r="I555" s="730" t="s">
        <v>702</v>
      </c>
      <c r="O555" s="733">
        <v>2</v>
      </c>
      <c r="P555" s="734">
        <v>34669</v>
      </c>
      <c r="Q555" s="735">
        <v>0.14000000000000001</v>
      </c>
      <c r="R555" s="736">
        <f t="shared" si="42"/>
        <v>1.4000000000000001</v>
      </c>
      <c r="S555" s="735">
        <v>0.06</v>
      </c>
      <c r="T555" s="737">
        <f t="shared" si="43"/>
        <v>0.6</v>
      </c>
    </row>
    <row r="556" spans="1:20" s="730" customFormat="1" ht="13.2">
      <c r="A556">
        <v>1</v>
      </c>
      <c r="B556" s="730" t="s">
        <v>141</v>
      </c>
      <c r="D556" s="730" t="s">
        <v>977</v>
      </c>
      <c r="G556" s="731" t="s">
        <v>978</v>
      </c>
      <c r="H556" s="732">
        <v>510</v>
      </c>
      <c r="I556" s="730" t="s">
        <v>979</v>
      </c>
      <c r="J556" s="730" t="s">
        <v>980</v>
      </c>
      <c r="K556" s="730" t="s">
        <v>981</v>
      </c>
      <c r="O556" s="733">
        <v>2</v>
      </c>
      <c r="P556" s="734">
        <v>36880</v>
      </c>
      <c r="Q556" s="735">
        <v>63.82</v>
      </c>
      <c r="R556" s="736">
        <f t="shared" si="42"/>
        <v>63.82</v>
      </c>
      <c r="S556" s="735">
        <v>1</v>
      </c>
      <c r="T556" s="737">
        <f t="shared" si="43"/>
        <v>1</v>
      </c>
    </row>
    <row r="557" spans="1:20" s="730" customFormat="1" ht="13.2">
      <c r="A557">
        <v>1</v>
      </c>
      <c r="B557" s="730" t="s">
        <v>141</v>
      </c>
      <c r="D557" s="730" t="s">
        <v>731</v>
      </c>
      <c r="G557" s="731" t="s">
        <v>732</v>
      </c>
      <c r="H557" s="732">
        <v>875</v>
      </c>
      <c r="I557" s="730" t="s">
        <v>674</v>
      </c>
      <c r="K557" s="730" t="s">
        <v>733</v>
      </c>
      <c r="O557" s="733">
        <v>3</v>
      </c>
      <c r="P557" s="734">
        <v>34820</v>
      </c>
      <c r="Q557" s="735">
        <v>3.49</v>
      </c>
      <c r="R557" s="736">
        <f t="shared" si="42"/>
        <v>3.49</v>
      </c>
      <c r="S557" s="735">
        <v>0.05</v>
      </c>
      <c r="T557" s="737">
        <f t="shared" si="43"/>
        <v>0.05</v>
      </c>
    </row>
    <row r="558" spans="1:20" s="730" customFormat="1" ht="13.2">
      <c r="A558">
        <v>1</v>
      </c>
      <c r="B558" s="730" t="s">
        <v>141</v>
      </c>
      <c r="D558" s="730" t="s">
        <v>982</v>
      </c>
      <c r="G558" s="731" t="s">
        <v>983</v>
      </c>
      <c r="H558" s="732">
        <v>501</v>
      </c>
      <c r="I558" s="730" t="s">
        <v>674</v>
      </c>
      <c r="K558" s="730" t="s">
        <v>984</v>
      </c>
      <c r="O558" s="733">
        <v>1</v>
      </c>
      <c r="P558" s="734">
        <v>38136</v>
      </c>
      <c r="Q558" s="735">
        <v>10</v>
      </c>
      <c r="R558" s="736">
        <f t="shared" si="42"/>
        <v>10</v>
      </c>
      <c r="S558" s="735">
        <v>0.25</v>
      </c>
      <c r="T558" s="737">
        <f t="shared" si="43"/>
        <v>0.25</v>
      </c>
    </row>
    <row r="559" spans="1:20" s="602" customFormat="1" ht="12">
      <c r="A559" s="63"/>
      <c r="B559" s="663"/>
      <c r="C559" s="663"/>
      <c r="D559" s="864" t="s">
        <v>1373</v>
      </c>
      <c r="E559" s="663"/>
      <c r="F559" s="664"/>
      <c r="G559" s="663"/>
      <c r="H559" s="663"/>
      <c r="I559" s="601"/>
      <c r="J559" s="663"/>
      <c r="K559" s="663"/>
      <c r="L559" s="663"/>
      <c r="M559" s="663"/>
      <c r="N559" s="663"/>
      <c r="O559" s="663"/>
      <c r="P559" s="663"/>
      <c r="Q559" s="601"/>
      <c r="R559" s="666">
        <f t="shared" ref="R559:R567" si="44">$A559*Q559</f>
        <v>0</v>
      </c>
      <c r="S559" s="601"/>
      <c r="T559" s="681">
        <f t="shared" ref="T559:T567" si="45">$A559*S559*$T$1</f>
        <v>0</v>
      </c>
    </row>
    <row r="560" spans="1:20" s="730" customFormat="1" ht="13.2">
      <c r="A560">
        <v>62</v>
      </c>
      <c r="B560" s="730" t="s">
        <v>326</v>
      </c>
      <c r="D560" s="730" t="s">
        <v>1441</v>
      </c>
      <c r="F560" s="730" t="s">
        <v>1240</v>
      </c>
      <c r="G560" s="731" t="s">
        <v>973</v>
      </c>
      <c r="H560" s="732">
        <v>616</v>
      </c>
      <c r="I560" s="730" t="s">
        <v>561</v>
      </c>
      <c r="J560" s="730" t="s">
        <v>974</v>
      </c>
      <c r="O560" s="733">
        <v>2</v>
      </c>
      <c r="P560" s="734">
        <v>40767</v>
      </c>
      <c r="Q560" s="735">
        <v>10.5</v>
      </c>
      <c r="R560" s="736">
        <f t="shared" si="44"/>
        <v>651</v>
      </c>
      <c r="S560" s="735">
        <v>0.1</v>
      </c>
      <c r="T560" s="737">
        <f t="shared" si="45"/>
        <v>6.2</v>
      </c>
    </row>
    <row r="561" spans="1:20" s="730" customFormat="1" ht="13.2">
      <c r="A561" s="167">
        <v>62</v>
      </c>
      <c r="B561" s="730" t="s">
        <v>141</v>
      </c>
      <c r="D561" s="730" t="s">
        <v>815</v>
      </c>
      <c r="G561" s="731" t="s">
        <v>816</v>
      </c>
      <c r="H561" s="732">
        <v>875</v>
      </c>
      <c r="I561" s="730" t="s">
        <v>674</v>
      </c>
      <c r="K561" s="730" t="s">
        <v>817</v>
      </c>
      <c r="O561" s="733">
        <v>1</v>
      </c>
      <c r="P561" s="734">
        <v>34669</v>
      </c>
      <c r="Q561" s="735">
        <v>0.05</v>
      </c>
      <c r="R561" s="736">
        <f t="shared" si="44"/>
        <v>3.1</v>
      </c>
      <c r="S561" s="735"/>
      <c r="T561" s="737">
        <f t="shared" si="45"/>
        <v>0</v>
      </c>
    </row>
    <row r="562" spans="1:20" s="730" customFormat="1" ht="13.2">
      <c r="A562">
        <v>2</v>
      </c>
      <c r="B562" s="730" t="s">
        <v>141</v>
      </c>
      <c r="D562" s="730" t="s">
        <v>848</v>
      </c>
      <c r="G562" s="731" t="s">
        <v>849</v>
      </c>
      <c r="H562" s="732">
        <v>620</v>
      </c>
      <c r="I562" s="730" t="s">
        <v>741</v>
      </c>
      <c r="O562" s="733">
        <v>2</v>
      </c>
      <c r="P562" s="734">
        <v>35431</v>
      </c>
      <c r="Q562" s="735">
        <v>7.66</v>
      </c>
      <c r="R562" s="736">
        <f t="shared" si="44"/>
        <v>15.32</v>
      </c>
      <c r="S562" s="735">
        <v>0.4</v>
      </c>
      <c r="T562" s="737">
        <f t="shared" si="45"/>
        <v>0.8</v>
      </c>
    </row>
    <row r="563" spans="1:20" s="730" customFormat="1" ht="13.2">
      <c r="A563">
        <v>2</v>
      </c>
      <c r="B563" s="730" t="s">
        <v>326</v>
      </c>
      <c r="D563" s="730" t="s">
        <v>703</v>
      </c>
      <c r="G563" s="731" t="s">
        <v>704</v>
      </c>
      <c r="H563" s="732">
        <v>620</v>
      </c>
      <c r="I563" s="730" t="s">
        <v>674</v>
      </c>
      <c r="O563" s="733">
        <v>2</v>
      </c>
      <c r="P563" s="734">
        <v>38148</v>
      </c>
      <c r="Q563" s="735">
        <v>1.5</v>
      </c>
      <c r="R563" s="736">
        <f t="shared" si="44"/>
        <v>3</v>
      </c>
      <c r="S563" s="735">
        <v>0.08</v>
      </c>
      <c r="T563" s="737">
        <f t="shared" si="45"/>
        <v>0.16</v>
      </c>
    </row>
    <row r="564" spans="1:20" s="730" customFormat="1" ht="13.2">
      <c r="A564">
        <v>10</v>
      </c>
      <c r="B564" s="730" t="s">
        <v>141</v>
      </c>
      <c r="D564" s="730" t="s">
        <v>975</v>
      </c>
      <c r="G564" s="731" t="s">
        <v>976</v>
      </c>
      <c r="H564" s="732">
        <v>620</v>
      </c>
      <c r="I564" s="730" t="s">
        <v>702</v>
      </c>
      <c r="O564" s="733">
        <v>2</v>
      </c>
      <c r="P564" s="734">
        <v>34669</v>
      </c>
      <c r="Q564" s="735">
        <v>0.14000000000000001</v>
      </c>
      <c r="R564" s="736">
        <f t="shared" si="44"/>
        <v>1.4000000000000001</v>
      </c>
      <c r="S564" s="735">
        <v>0.06</v>
      </c>
      <c r="T564" s="737">
        <f t="shared" si="45"/>
        <v>0.6</v>
      </c>
    </row>
    <row r="565" spans="1:20" s="730" customFormat="1" ht="13.2">
      <c r="A565">
        <v>1</v>
      </c>
      <c r="B565" s="730" t="s">
        <v>141</v>
      </c>
      <c r="D565" s="730" t="s">
        <v>977</v>
      </c>
      <c r="G565" s="731" t="s">
        <v>978</v>
      </c>
      <c r="H565" s="732">
        <v>510</v>
      </c>
      <c r="I565" s="730" t="s">
        <v>979</v>
      </c>
      <c r="J565" s="730" t="s">
        <v>980</v>
      </c>
      <c r="K565" s="730" t="s">
        <v>981</v>
      </c>
      <c r="O565" s="733">
        <v>2</v>
      </c>
      <c r="P565" s="734">
        <v>36880</v>
      </c>
      <c r="Q565" s="735">
        <v>63.82</v>
      </c>
      <c r="R565" s="736">
        <f t="shared" si="44"/>
        <v>63.82</v>
      </c>
      <c r="S565" s="735">
        <v>1</v>
      </c>
      <c r="T565" s="737">
        <f t="shared" si="45"/>
        <v>1</v>
      </c>
    </row>
    <row r="566" spans="1:20" s="730" customFormat="1" ht="13.2">
      <c r="A566">
        <v>1</v>
      </c>
      <c r="B566" s="730" t="s">
        <v>141</v>
      </c>
      <c r="D566" s="730" t="s">
        <v>731</v>
      </c>
      <c r="G566" s="731" t="s">
        <v>732</v>
      </c>
      <c r="H566" s="732">
        <v>875</v>
      </c>
      <c r="I566" s="730" t="s">
        <v>674</v>
      </c>
      <c r="K566" s="730" t="s">
        <v>733</v>
      </c>
      <c r="O566" s="733">
        <v>3</v>
      </c>
      <c r="P566" s="734">
        <v>34820</v>
      </c>
      <c r="Q566" s="735">
        <v>3.49</v>
      </c>
      <c r="R566" s="736">
        <f t="shared" si="44"/>
        <v>3.49</v>
      </c>
      <c r="S566" s="735">
        <v>0.05</v>
      </c>
      <c r="T566" s="737">
        <f t="shared" si="45"/>
        <v>0.05</v>
      </c>
    </row>
    <row r="567" spans="1:20" s="730" customFormat="1" ht="13.2">
      <c r="A567">
        <v>1</v>
      </c>
      <c r="B567" s="730" t="s">
        <v>141</v>
      </c>
      <c r="D567" s="730" t="s">
        <v>982</v>
      </c>
      <c r="G567" s="731" t="s">
        <v>983</v>
      </c>
      <c r="H567" s="732">
        <v>501</v>
      </c>
      <c r="I567" s="730" t="s">
        <v>674</v>
      </c>
      <c r="K567" s="730" t="s">
        <v>984</v>
      </c>
      <c r="O567" s="733">
        <v>1</v>
      </c>
      <c r="P567" s="734">
        <v>38136</v>
      </c>
      <c r="Q567" s="735">
        <v>10</v>
      </c>
      <c r="R567" s="736">
        <f t="shared" si="44"/>
        <v>10</v>
      </c>
      <c r="S567" s="735">
        <v>0.25</v>
      </c>
      <c r="T567" s="737">
        <f t="shared" si="45"/>
        <v>0.25</v>
      </c>
    </row>
    <row r="568" spans="1:20" s="602" customFormat="1" ht="12">
      <c r="A568" s="63"/>
      <c r="B568" s="663"/>
      <c r="C568" s="663"/>
      <c r="D568" s="864" t="s">
        <v>971</v>
      </c>
      <c r="E568" s="663"/>
      <c r="F568" s="664"/>
      <c r="G568" s="663"/>
      <c r="H568" s="663"/>
      <c r="I568" s="601"/>
      <c r="J568" s="663"/>
      <c r="K568" s="663"/>
      <c r="L568" s="663"/>
      <c r="M568" s="663"/>
      <c r="N568" s="663"/>
      <c r="O568" s="663"/>
      <c r="P568" s="663"/>
      <c r="Q568" s="601"/>
      <c r="R568" s="666">
        <f t="shared" ref="R568:R613" si="46">$A568*Q568</f>
        <v>0</v>
      </c>
      <c r="S568" s="601"/>
      <c r="T568" s="681">
        <f t="shared" ref="T568:T613" si="47">$A568*S568*$T$1</f>
        <v>0</v>
      </c>
    </row>
    <row r="569" spans="1:20" s="730" customFormat="1" ht="13.2">
      <c r="A569">
        <v>26</v>
      </c>
      <c r="B569" s="730" t="s">
        <v>326</v>
      </c>
      <c r="D569" s="730" t="s">
        <v>1441</v>
      </c>
      <c r="F569" s="730" t="s">
        <v>1240</v>
      </c>
      <c r="G569" s="731" t="s">
        <v>973</v>
      </c>
      <c r="H569" s="732">
        <v>616</v>
      </c>
      <c r="I569" s="730" t="s">
        <v>561</v>
      </c>
      <c r="J569" s="730" t="s">
        <v>974</v>
      </c>
      <c r="O569" s="733">
        <v>2</v>
      </c>
      <c r="P569" s="734">
        <v>40767</v>
      </c>
      <c r="Q569" s="735">
        <v>10.5</v>
      </c>
      <c r="R569" s="736">
        <f t="shared" si="46"/>
        <v>273</v>
      </c>
      <c r="S569" s="735">
        <v>0.1</v>
      </c>
      <c r="T569" s="737">
        <f t="shared" si="47"/>
        <v>2.6</v>
      </c>
    </row>
    <row r="570" spans="1:20" s="730" customFormat="1" ht="13.2">
      <c r="A570" s="167">
        <v>26</v>
      </c>
      <c r="B570" s="730" t="s">
        <v>141</v>
      </c>
      <c r="D570" s="730" t="s">
        <v>815</v>
      </c>
      <c r="G570" s="731" t="s">
        <v>816</v>
      </c>
      <c r="H570" s="732">
        <v>875</v>
      </c>
      <c r="I570" s="730" t="s">
        <v>674</v>
      </c>
      <c r="K570" s="730" t="s">
        <v>817</v>
      </c>
      <c r="O570" s="733">
        <v>1</v>
      </c>
      <c r="P570" s="734">
        <v>34669</v>
      </c>
      <c r="Q570" s="735">
        <v>0.05</v>
      </c>
      <c r="R570" s="736">
        <f t="shared" si="46"/>
        <v>1.3</v>
      </c>
      <c r="S570" s="735"/>
      <c r="T570" s="737">
        <f t="shared" si="47"/>
        <v>0</v>
      </c>
    </row>
    <row r="571" spans="1:20" s="730" customFormat="1" ht="13.2">
      <c r="A571">
        <v>2</v>
      </c>
      <c r="B571" s="730" t="s">
        <v>141</v>
      </c>
      <c r="D571" s="730" t="s">
        <v>848</v>
      </c>
      <c r="G571" s="731" t="s">
        <v>849</v>
      </c>
      <c r="H571" s="732">
        <v>620</v>
      </c>
      <c r="I571" s="730" t="s">
        <v>741</v>
      </c>
      <c r="O571" s="733">
        <v>2</v>
      </c>
      <c r="P571" s="734">
        <v>35431</v>
      </c>
      <c r="Q571" s="735">
        <v>7.66</v>
      </c>
      <c r="R571" s="736">
        <f t="shared" si="46"/>
        <v>15.32</v>
      </c>
      <c r="S571" s="735">
        <v>0.4</v>
      </c>
      <c r="T571" s="737">
        <f t="shared" si="47"/>
        <v>0.8</v>
      </c>
    </row>
    <row r="572" spans="1:20" s="730" customFormat="1" ht="13.2">
      <c r="A572">
        <v>2</v>
      </c>
      <c r="B572" s="730" t="s">
        <v>326</v>
      </c>
      <c r="D572" s="730" t="s">
        <v>703</v>
      </c>
      <c r="G572" s="731" t="s">
        <v>704</v>
      </c>
      <c r="H572" s="732">
        <v>620</v>
      </c>
      <c r="I572" s="730" t="s">
        <v>674</v>
      </c>
      <c r="O572" s="733">
        <v>2</v>
      </c>
      <c r="P572" s="734">
        <v>38148</v>
      </c>
      <c r="Q572" s="735">
        <v>1.5</v>
      </c>
      <c r="R572" s="736">
        <f t="shared" si="46"/>
        <v>3</v>
      </c>
      <c r="S572" s="735">
        <v>0.08</v>
      </c>
      <c r="T572" s="737">
        <f t="shared" si="47"/>
        <v>0.16</v>
      </c>
    </row>
    <row r="573" spans="1:20" s="730" customFormat="1" ht="13.2">
      <c r="A573">
        <v>10</v>
      </c>
      <c r="B573" s="730" t="s">
        <v>141</v>
      </c>
      <c r="D573" s="730" t="s">
        <v>975</v>
      </c>
      <c r="G573" s="731" t="s">
        <v>976</v>
      </c>
      <c r="H573" s="732">
        <v>620</v>
      </c>
      <c r="I573" s="730" t="s">
        <v>702</v>
      </c>
      <c r="O573" s="733">
        <v>2</v>
      </c>
      <c r="P573" s="734">
        <v>34669</v>
      </c>
      <c r="Q573" s="735">
        <v>0.14000000000000001</v>
      </c>
      <c r="R573" s="736">
        <f t="shared" si="46"/>
        <v>1.4000000000000001</v>
      </c>
      <c r="S573" s="735">
        <v>0.06</v>
      </c>
      <c r="T573" s="737">
        <f t="shared" si="47"/>
        <v>0.6</v>
      </c>
    </row>
    <row r="574" spans="1:20" s="730" customFormat="1" ht="13.2">
      <c r="A574">
        <v>1</v>
      </c>
      <c r="B574" s="730" t="s">
        <v>141</v>
      </c>
      <c r="D574" s="730" t="s">
        <v>977</v>
      </c>
      <c r="G574" s="731" t="s">
        <v>978</v>
      </c>
      <c r="H574" s="732">
        <v>510</v>
      </c>
      <c r="I574" s="730" t="s">
        <v>979</v>
      </c>
      <c r="J574" s="730" t="s">
        <v>980</v>
      </c>
      <c r="K574" s="730" t="s">
        <v>981</v>
      </c>
      <c r="O574" s="733">
        <v>2</v>
      </c>
      <c r="P574" s="734">
        <v>36880</v>
      </c>
      <c r="Q574" s="735">
        <v>63.82</v>
      </c>
      <c r="R574" s="736">
        <f t="shared" si="46"/>
        <v>63.82</v>
      </c>
      <c r="S574" s="735">
        <v>1</v>
      </c>
      <c r="T574" s="737">
        <f t="shared" si="47"/>
        <v>1</v>
      </c>
    </row>
    <row r="575" spans="1:20" s="730" customFormat="1" ht="13.2">
      <c r="A575">
        <v>1</v>
      </c>
      <c r="B575" s="730" t="s">
        <v>141</v>
      </c>
      <c r="D575" s="730" t="s">
        <v>731</v>
      </c>
      <c r="G575" s="731" t="s">
        <v>732</v>
      </c>
      <c r="H575" s="732">
        <v>875</v>
      </c>
      <c r="I575" s="730" t="s">
        <v>674</v>
      </c>
      <c r="K575" s="730" t="s">
        <v>733</v>
      </c>
      <c r="O575" s="733">
        <v>3</v>
      </c>
      <c r="P575" s="734">
        <v>34820</v>
      </c>
      <c r="Q575" s="735">
        <v>3.49</v>
      </c>
      <c r="R575" s="736">
        <f t="shared" si="46"/>
        <v>3.49</v>
      </c>
      <c r="S575" s="735">
        <v>0.05</v>
      </c>
      <c r="T575" s="737">
        <f t="shared" si="47"/>
        <v>0.05</v>
      </c>
    </row>
    <row r="576" spans="1:20" s="730" customFormat="1" ht="13.2">
      <c r="A576">
        <v>1</v>
      </c>
      <c r="B576" s="730" t="s">
        <v>141</v>
      </c>
      <c r="D576" s="730" t="s">
        <v>982</v>
      </c>
      <c r="G576" s="731" t="s">
        <v>983</v>
      </c>
      <c r="H576" s="732">
        <v>501</v>
      </c>
      <c r="I576" s="730" t="s">
        <v>674</v>
      </c>
      <c r="K576" s="730" t="s">
        <v>984</v>
      </c>
      <c r="O576" s="733">
        <v>1</v>
      </c>
      <c r="P576" s="734">
        <v>38136</v>
      </c>
      <c r="Q576" s="735">
        <v>10</v>
      </c>
      <c r="R576" s="736">
        <f t="shared" si="46"/>
        <v>10</v>
      </c>
      <c r="S576" s="735">
        <v>0.25</v>
      </c>
      <c r="T576" s="737">
        <f t="shared" si="47"/>
        <v>0.25</v>
      </c>
    </row>
    <row r="577" spans="1:20" s="602" customFormat="1" ht="12">
      <c r="A577" s="63"/>
      <c r="B577" s="663"/>
      <c r="C577" s="663"/>
      <c r="D577" s="864" t="s">
        <v>985</v>
      </c>
      <c r="E577" s="663"/>
      <c r="F577" s="664"/>
      <c r="G577" s="663"/>
      <c r="H577" s="663"/>
      <c r="I577" s="601"/>
      <c r="J577" s="663"/>
      <c r="K577" s="663"/>
      <c r="L577" s="663"/>
      <c r="M577" s="663"/>
      <c r="N577" s="663"/>
      <c r="O577" s="663"/>
      <c r="P577" s="663"/>
      <c r="Q577" s="601"/>
      <c r="R577" s="666">
        <f t="shared" si="46"/>
        <v>0</v>
      </c>
      <c r="S577" s="601"/>
      <c r="T577" s="681">
        <f t="shared" si="47"/>
        <v>0</v>
      </c>
    </row>
    <row r="578" spans="1:20" s="730" customFormat="1" ht="13.2">
      <c r="A578">
        <v>27</v>
      </c>
      <c r="B578" s="730" t="s">
        <v>326</v>
      </c>
      <c r="D578" s="730" t="s">
        <v>1441</v>
      </c>
      <c r="F578" s="730" t="s">
        <v>1240</v>
      </c>
      <c r="G578" s="731" t="s">
        <v>973</v>
      </c>
      <c r="H578" s="732">
        <v>616</v>
      </c>
      <c r="I578" s="730" t="s">
        <v>561</v>
      </c>
      <c r="J578" s="730" t="s">
        <v>974</v>
      </c>
      <c r="O578" s="733">
        <v>2</v>
      </c>
      <c r="P578" s="734">
        <v>40767</v>
      </c>
      <c r="Q578" s="735">
        <v>10.5</v>
      </c>
      <c r="R578" s="736">
        <f t="shared" si="46"/>
        <v>283.5</v>
      </c>
      <c r="S578" s="735">
        <v>0.1</v>
      </c>
      <c r="T578" s="737">
        <f t="shared" si="47"/>
        <v>2.7</v>
      </c>
    </row>
    <row r="579" spans="1:20" s="730" customFormat="1" ht="13.2">
      <c r="A579" s="167">
        <v>27</v>
      </c>
      <c r="B579" s="730" t="s">
        <v>141</v>
      </c>
      <c r="D579" s="730" t="s">
        <v>815</v>
      </c>
      <c r="G579" s="731" t="s">
        <v>816</v>
      </c>
      <c r="H579" s="732">
        <v>875</v>
      </c>
      <c r="I579" s="730" t="s">
        <v>674</v>
      </c>
      <c r="K579" s="730" t="s">
        <v>817</v>
      </c>
      <c r="O579" s="733">
        <v>1</v>
      </c>
      <c r="P579" s="734">
        <v>34669</v>
      </c>
      <c r="Q579" s="735">
        <v>0.05</v>
      </c>
      <c r="R579" s="736">
        <f t="shared" si="46"/>
        <v>1.35</v>
      </c>
      <c r="S579" s="735"/>
      <c r="T579" s="737">
        <f t="shared" si="47"/>
        <v>0</v>
      </c>
    </row>
    <row r="580" spans="1:20" s="730" customFormat="1" ht="13.2">
      <c r="A580">
        <v>2</v>
      </c>
      <c r="B580" s="730" t="s">
        <v>141</v>
      </c>
      <c r="D580" s="730" t="s">
        <v>848</v>
      </c>
      <c r="G580" s="731" t="s">
        <v>849</v>
      </c>
      <c r="H580" s="732">
        <v>620</v>
      </c>
      <c r="I580" s="730" t="s">
        <v>741</v>
      </c>
      <c r="O580" s="733">
        <v>2</v>
      </c>
      <c r="P580" s="734">
        <v>35431</v>
      </c>
      <c r="Q580" s="735">
        <v>7.66</v>
      </c>
      <c r="R580" s="736">
        <f t="shared" si="46"/>
        <v>15.32</v>
      </c>
      <c r="S580" s="735">
        <v>0.4</v>
      </c>
      <c r="T580" s="737">
        <f t="shared" si="47"/>
        <v>0.8</v>
      </c>
    </row>
    <row r="581" spans="1:20" s="730" customFormat="1" ht="13.2">
      <c r="A581">
        <v>2</v>
      </c>
      <c r="B581" s="730" t="s">
        <v>326</v>
      </c>
      <c r="D581" s="730" t="s">
        <v>703</v>
      </c>
      <c r="G581" s="731" t="s">
        <v>704</v>
      </c>
      <c r="H581" s="732">
        <v>620</v>
      </c>
      <c r="I581" s="730" t="s">
        <v>674</v>
      </c>
      <c r="O581" s="733">
        <v>2</v>
      </c>
      <c r="P581" s="734">
        <v>38148</v>
      </c>
      <c r="Q581" s="735">
        <v>1.5</v>
      </c>
      <c r="R581" s="736">
        <f t="shared" si="46"/>
        <v>3</v>
      </c>
      <c r="S581" s="735">
        <v>0.08</v>
      </c>
      <c r="T581" s="737">
        <f t="shared" si="47"/>
        <v>0.16</v>
      </c>
    </row>
    <row r="582" spans="1:20" s="730" customFormat="1" ht="13.2">
      <c r="A582">
        <v>10</v>
      </c>
      <c r="B582" s="730" t="s">
        <v>141</v>
      </c>
      <c r="D582" s="730" t="s">
        <v>975</v>
      </c>
      <c r="G582" s="731" t="s">
        <v>976</v>
      </c>
      <c r="H582" s="732">
        <v>620</v>
      </c>
      <c r="I582" s="730" t="s">
        <v>702</v>
      </c>
      <c r="O582" s="733">
        <v>2</v>
      </c>
      <c r="P582" s="734">
        <v>34669</v>
      </c>
      <c r="Q582" s="735">
        <v>0.14000000000000001</v>
      </c>
      <c r="R582" s="736">
        <f t="shared" si="46"/>
        <v>1.4000000000000001</v>
      </c>
      <c r="S582" s="735">
        <v>0.06</v>
      </c>
      <c r="T582" s="737">
        <f t="shared" si="47"/>
        <v>0.6</v>
      </c>
    </row>
    <row r="583" spans="1:20" s="730" customFormat="1" ht="13.2">
      <c r="A583">
        <v>1</v>
      </c>
      <c r="B583" s="730" t="s">
        <v>141</v>
      </c>
      <c r="D583" s="730" t="s">
        <v>977</v>
      </c>
      <c r="G583" s="731" t="s">
        <v>978</v>
      </c>
      <c r="H583" s="732">
        <v>510</v>
      </c>
      <c r="I583" s="730" t="s">
        <v>979</v>
      </c>
      <c r="J583" s="730" t="s">
        <v>980</v>
      </c>
      <c r="K583" s="730" t="s">
        <v>981</v>
      </c>
      <c r="O583" s="733">
        <v>2</v>
      </c>
      <c r="P583" s="734">
        <v>36880</v>
      </c>
      <c r="Q583" s="735">
        <v>63.82</v>
      </c>
      <c r="R583" s="736">
        <f t="shared" si="46"/>
        <v>63.82</v>
      </c>
      <c r="S583" s="735">
        <v>1</v>
      </c>
      <c r="T583" s="737">
        <f t="shared" si="47"/>
        <v>1</v>
      </c>
    </row>
    <row r="584" spans="1:20" s="730" customFormat="1" ht="13.2">
      <c r="A584">
        <v>1</v>
      </c>
      <c r="B584" s="730" t="s">
        <v>141</v>
      </c>
      <c r="D584" s="730" t="s">
        <v>731</v>
      </c>
      <c r="G584" s="731" t="s">
        <v>732</v>
      </c>
      <c r="H584" s="732">
        <v>875</v>
      </c>
      <c r="I584" s="730" t="s">
        <v>674</v>
      </c>
      <c r="K584" s="730" t="s">
        <v>733</v>
      </c>
      <c r="O584" s="733">
        <v>3</v>
      </c>
      <c r="P584" s="734">
        <v>34820</v>
      </c>
      <c r="Q584" s="735">
        <v>3.49</v>
      </c>
      <c r="R584" s="736">
        <f t="shared" si="46"/>
        <v>3.49</v>
      </c>
      <c r="S584" s="735">
        <v>0.05</v>
      </c>
      <c r="T584" s="737">
        <f t="shared" si="47"/>
        <v>0.05</v>
      </c>
    </row>
    <row r="585" spans="1:20" s="730" customFormat="1" ht="13.2">
      <c r="A585">
        <v>1</v>
      </c>
      <c r="B585" s="730" t="s">
        <v>141</v>
      </c>
      <c r="D585" s="730" t="s">
        <v>982</v>
      </c>
      <c r="G585" s="731" t="s">
        <v>983</v>
      </c>
      <c r="H585" s="732">
        <v>501</v>
      </c>
      <c r="I585" s="730" t="s">
        <v>674</v>
      </c>
      <c r="K585" s="730" t="s">
        <v>984</v>
      </c>
      <c r="O585" s="733">
        <v>1</v>
      </c>
      <c r="P585" s="734">
        <v>38136</v>
      </c>
      <c r="Q585" s="735">
        <v>10</v>
      </c>
      <c r="R585" s="736">
        <f t="shared" si="46"/>
        <v>10</v>
      </c>
      <c r="S585" s="735">
        <v>0.25</v>
      </c>
      <c r="T585" s="737">
        <f t="shared" si="47"/>
        <v>0.25</v>
      </c>
    </row>
    <row r="586" spans="1:20" s="602" customFormat="1" ht="12">
      <c r="A586" s="63"/>
      <c r="B586" s="663"/>
      <c r="C586" s="663"/>
      <c r="D586" s="864" t="s">
        <v>1066</v>
      </c>
      <c r="E586" s="663"/>
      <c r="F586" s="664"/>
      <c r="G586" s="663"/>
      <c r="H586" s="663"/>
      <c r="I586" s="601"/>
      <c r="J586" s="663"/>
      <c r="K586" s="663"/>
      <c r="L586" s="663"/>
      <c r="M586" s="663"/>
      <c r="N586" s="663"/>
      <c r="O586" s="663"/>
      <c r="P586" s="663"/>
      <c r="Q586" s="601"/>
      <c r="R586" s="666">
        <f t="shared" si="46"/>
        <v>0</v>
      </c>
      <c r="S586" s="601"/>
      <c r="T586" s="681">
        <f t="shared" si="47"/>
        <v>0</v>
      </c>
    </row>
    <row r="587" spans="1:20" s="730" customFormat="1" ht="13.2">
      <c r="A587">
        <v>25</v>
      </c>
      <c r="B587" s="730" t="s">
        <v>326</v>
      </c>
      <c r="D587" s="730" t="s">
        <v>1441</v>
      </c>
      <c r="F587" s="730" t="s">
        <v>1240</v>
      </c>
      <c r="G587" s="731" t="s">
        <v>973</v>
      </c>
      <c r="H587" s="732">
        <v>616</v>
      </c>
      <c r="I587" s="730" t="s">
        <v>561</v>
      </c>
      <c r="J587" s="730" t="s">
        <v>974</v>
      </c>
      <c r="O587" s="733">
        <v>2</v>
      </c>
      <c r="P587" s="734">
        <v>40767</v>
      </c>
      <c r="Q587" s="735">
        <v>10.5</v>
      </c>
      <c r="R587" s="736">
        <f t="shared" si="46"/>
        <v>262.5</v>
      </c>
      <c r="S587" s="735">
        <v>0.1</v>
      </c>
      <c r="T587" s="737">
        <f t="shared" si="47"/>
        <v>2.5</v>
      </c>
    </row>
    <row r="588" spans="1:20" s="730" customFormat="1" ht="13.2">
      <c r="A588" s="167">
        <v>25</v>
      </c>
      <c r="B588" s="730" t="s">
        <v>141</v>
      </c>
      <c r="D588" s="730" t="s">
        <v>815</v>
      </c>
      <c r="G588" s="731" t="s">
        <v>816</v>
      </c>
      <c r="H588" s="732">
        <v>875</v>
      </c>
      <c r="I588" s="730" t="s">
        <v>674</v>
      </c>
      <c r="K588" s="730" t="s">
        <v>817</v>
      </c>
      <c r="O588" s="733">
        <v>1</v>
      </c>
      <c r="P588" s="734">
        <v>34669</v>
      </c>
      <c r="Q588" s="735">
        <v>0.05</v>
      </c>
      <c r="R588" s="736">
        <f t="shared" si="46"/>
        <v>1.25</v>
      </c>
      <c r="S588" s="735"/>
      <c r="T588" s="737">
        <f t="shared" si="47"/>
        <v>0</v>
      </c>
    </row>
    <row r="589" spans="1:20" s="730" customFormat="1" ht="13.2">
      <c r="A589">
        <v>2</v>
      </c>
      <c r="B589" s="730" t="s">
        <v>141</v>
      </c>
      <c r="D589" s="730" t="s">
        <v>848</v>
      </c>
      <c r="G589" s="731" t="s">
        <v>849</v>
      </c>
      <c r="H589" s="732">
        <v>620</v>
      </c>
      <c r="I589" s="730" t="s">
        <v>741</v>
      </c>
      <c r="O589" s="733">
        <v>2</v>
      </c>
      <c r="P589" s="734">
        <v>35431</v>
      </c>
      <c r="Q589" s="735">
        <v>7.66</v>
      </c>
      <c r="R589" s="736">
        <f t="shared" si="46"/>
        <v>15.32</v>
      </c>
      <c r="S589" s="735">
        <v>0.4</v>
      </c>
      <c r="T589" s="737">
        <f t="shared" si="47"/>
        <v>0.8</v>
      </c>
    </row>
    <row r="590" spans="1:20" s="730" customFormat="1" ht="13.2">
      <c r="A590">
        <v>2</v>
      </c>
      <c r="B590" s="730" t="s">
        <v>326</v>
      </c>
      <c r="D590" s="730" t="s">
        <v>703</v>
      </c>
      <c r="G590" s="731" t="s">
        <v>704</v>
      </c>
      <c r="H590" s="732">
        <v>620</v>
      </c>
      <c r="I590" s="730" t="s">
        <v>674</v>
      </c>
      <c r="O590" s="733">
        <v>2</v>
      </c>
      <c r="P590" s="734">
        <v>38148</v>
      </c>
      <c r="Q590" s="735">
        <v>1.5</v>
      </c>
      <c r="R590" s="736">
        <f t="shared" si="46"/>
        <v>3</v>
      </c>
      <c r="S590" s="735">
        <v>0.08</v>
      </c>
      <c r="T590" s="737">
        <f t="shared" si="47"/>
        <v>0.16</v>
      </c>
    </row>
    <row r="591" spans="1:20" s="730" customFormat="1" ht="13.2">
      <c r="A591">
        <v>10</v>
      </c>
      <c r="B591" s="730" t="s">
        <v>141</v>
      </c>
      <c r="D591" s="730" t="s">
        <v>975</v>
      </c>
      <c r="G591" s="731" t="s">
        <v>976</v>
      </c>
      <c r="H591" s="732">
        <v>620</v>
      </c>
      <c r="I591" s="730" t="s">
        <v>702</v>
      </c>
      <c r="O591" s="733">
        <v>2</v>
      </c>
      <c r="P591" s="734">
        <v>34669</v>
      </c>
      <c r="Q591" s="735">
        <v>0.14000000000000001</v>
      </c>
      <c r="R591" s="736">
        <f t="shared" si="46"/>
        <v>1.4000000000000001</v>
      </c>
      <c r="S591" s="735">
        <v>0.06</v>
      </c>
      <c r="T591" s="737">
        <f t="shared" si="47"/>
        <v>0.6</v>
      </c>
    </row>
    <row r="592" spans="1:20" s="730" customFormat="1" ht="13.2">
      <c r="A592">
        <v>1</v>
      </c>
      <c r="B592" s="730" t="s">
        <v>141</v>
      </c>
      <c r="D592" s="730" t="s">
        <v>977</v>
      </c>
      <c r="G592" s="731" t="s">
        <v>978</v>
      </c>
      <c r="H592" s="732">
        <v>510</v>
      </c>
      <c r="I592" s="730" t="s">
        <v>979</v>
      </c>
      <c r="J592" s="730" t="s">
        <v>980</v>
      </c>
      <c r="K592" s="730" t="s">
        <v>981</v>
      </c>
      <c r="O592" s="733">
        <v>2</v>
      </c>
      <c r="P592" s="734">
        <v>36880</v>
      </c>
      <c r="Q592" s="735">
        <v>63.82</v>
      </c>
      <c r="R592" s="736">
        <f t="shared" si="46"/>
        <v>63.82</v>
      </c>
      <c r="S592" s="735">
        <v>1</v>
      </c>
      <c r="T592" s="737">
        <f t="shared" si="47"/>
        <v>1</v>
      </c>
    </row>
    <row r="593" spans="1:20" s="730" customFormat="1" ht="13.2">
      <c r="A593">
        <v>1</v>
      </c>
      <c r="B593" s="730" t="s">
        <v>141</v>
      </c>
      <c r="D593" s="730" t="s">
        <v>731</v>
      </c>
      <c r="G593" s="731" t="s">
        <v>732</v>
      </c>
      <c r="H593" s="732">
        <v>875</v>
      </c>
      <c r="I593" s="730" t="s">
        <v>674</v>
      </c>
      <c r="K593" s="730" t="s">
        <v>733</v>
      </c>
      <c r="O593" s="733">
        <v>3</v>
      </c>
      <c r="P593" s="734">
        <v>34820</v>
      </c>
      <c r="Q593" s="735">
        <v>3.49</v>
      </c>
      <c r="R593" s="736">
        <f t="shared" si="46"/>
        <v>3.49</v>
      </c>
      <c r="S593" s="735">
        <v>0.05</v>
      </c>
      <c r="T593" s="737">
        <f t="shared" si="47"/>
        <v>0.05</v>
      </c>
    </row>
    <row r="594" spans="1:20" s="730" customFormat="1" ht="13.2">
      <c r="A594">
        <v>1</v>
      </c>
      <c r="B594" s="730" t="s">
        <v>141</v>
      </c>
      <c r="D594" s="730" t="s">
        <v>982</v>
      </c>
      <c r="G594" s="731" t="s">
        <v>983</v>
      </c>
      <c r="H594" s="732">
        <v>501</v>
      </c>
      <c r="I594" s="730" t="s">
        <v>674</v>
      </c>
      <c r="K594" s="730" t="s">
        <v>984</v>
      </c>
      <c r="O594" s="733">
        <v>1</v>
      </c>
      <c r="P594" s="734">
        <v>38136</v>
      </c>
      <c r="Q594" s="735">
        <v>10</v>
      </c>
      <c r="R594" s="736">
        <f t="shared" si="46"/>
        <v>10</v>
      </c>
      <c r="S594" s="735">
        <v>0.25</v>
      </c>
      <c r="T594" s="737">
        <f t="shared" si="47"/>
        <v>0.25</v>
      </c>
    </row>
    <row r="595" spans="1:20" s="602" customFormat="1" ht="12">
      <c r="A595" s="63"/>
      <c r="B595" s="663"/>
      <c r="C595" s="663"/>
      <c r="D595" s="864" t="s">
        <v>986</v>
      </c>
      <c r="E595" s="663"/>
      <c r="F595" s="664"/>
      <c r="G595" s="663"/>
      <c r="H595" s="663"/>
      <c r="I595" s="601"/>
      <c r="J595" s="663"/>
      <c r="K595" s="663"/>
      <c r="L595" s="663"/>
      <c r="M595" s="663"/>
      <c r="N595" s="663"/>
      <c r="O595" s="663"/>
      <c r="P595" s="663"/>
      <c r="Q595" s="601"/>
      <c r="R595" s="666">
        <f t="shared" si="46"/>
        <v>0</v>
      </c>
      <c r="S595" s="601"/>
      <c r="T595" s="681">
        <f t="shared" si="47"/>
        <v>0</v>
      </c>
    </row>
    <row r="596" spans="1:20" s="730" customFormat="1" ht="13.2">
      <c r="A596">
        <v>66</v>
      </c>
      <c r="B596" s="730" t="s">
        <v>326</v>
      </c>
      <c r="D596" s="730" t="s">
        <v>1441</v>
      </c>
      <c r="F596" s="730" t="s">
        <v>1240</v>
      </c>
      <c r="G596" s="731" t="s">
        <v>973</v>
      </c>
      <c r="H596" s="732">
        <v>616</v>
      </c>
      <c r="I596" s="730" t="s">
        <v>561</v>
      </c>
      <c r="J596" s="730" t="s">
        <v>974</v>
      </c>
      <c r="O596" s="733">
        <v>2</v>
      </c>
      <c r="P596" s="734">
        <v>40767</v>
      </c>
      <c r="Q596" s="735">
        <v>10.5</v>
      </c>
      <c r="R596" s="736">
        <f t="shared" si="46"/>
        <v>693</v>
      </c>
      <c r="S596" s="735">
        <v>0.1</v>
      </c>
      <c r="T596" s="737">
        <f t="shared" si="47"/>
        <v>6.6000000000000005</v>
      </c>
    </row>
    <row r="597" spans="1:20" s="730" customFormat="1" ht="13.2">
      <c r="A597" s="167">
        <v>66</v>
      </c>
      <c r="B597" s="730" t="s">
        <v>141</v>
      </c>
      <c r="D597" s="730" t="s">
        <v>815</v>
      </c>
      <c r="G597" s="731" t="s">
        <v>816</v>
      </c>
      <c r="H597" s="732">
        <v>875</v>
      </c>
      <c r="I597" s="730" t="s">
        <v>674</v>
      </c>
      <c r="K597" s="730" t="s">
        <v>817</v>
      </c>
      <c r="O597" s="733">
        <v>1</v>
      </c>
      <c r="P597" s="734">
        <v>34669</v>
      </c>
      <c r="Q597" s="735">
        <v>0.05</v>
      </c>
      <c r="R597" s="736">
        <f t="shared" si="46"/>
        <v>3.3000000000000003</v>
      </c>
      <c r="S597" s="735"/>
      <c r="T597" s="737">
        <f t="shared" si="47"/>
        <v>0</v>
      </c>
    </row>
    <row r="598" spans="1:20" s="730" customFormat="1" ht="13.2">
      <c r="A598">
        <v>2</v>
      </c>
      <c r="B598" s="730" t="s">
        <v>141</v>
      </c>
      <c r="D598" s="730" t="s">
        <v>848</v>
      </c>
      <c r="G598" s="731" t="s">
        <v>849</v>
      </c>
      <c r="H598" s="732">
        <v>620</v>
      </c>
      <c r="I598" s="730" t="s">
        <v>741</v>
      </c>
      <c r="O598" s="733">
        <v>2</v>
      </c>
      <c r="P598" s="734">
        <v>35431</v>
      </c>
      <c r="Q598" s="735">
        <v>7.66</v>
      </c>
      <c r="R598" s="736">
        <f t="shared" si="46"/>
        <v>15.32</v>
      </c>
      <c r="S598" s="735">
        <v>0.4</v>
      </c>
      <c r="T598" s="737">
        <f t="shared" si="47"/>
        <v>0.8</v>
      </c>
    </row>
    <row r="599" spans="1:20" s="730" customFormat="1" ht="13.2">
      <c r="A599">
        <v>2</v>
      </c>
      <c r="B599" s="730" t="s">
        <v>326</v>
      </c>
      <c r="D599" s="730" t="s">
        <v>703</v>
      </c>
      <c r="G599" s="731" t="s">
        <v>704</v>
      </c>
      <c r="H599" s="732">
        <v>620</v>
      </c>
      <c r="I599" s="730" t="s">
        <v>674</v>
      </c>
      <c r="O599" s="733">
        <v>2</v>
      </c>
      <c r="P599" s="734">
        <v>38148</v>
      </c>
      <c r="Q599" s="735">
        <v>1.5</v>
      </c>
      <c r="R599" s="736">
        <f t="shared" si="46"/>
        <v>3</v>
      </c>
      <c r="S599" s="735">
        <v>0.08</v>
      </c>
      <c r="T599" s="737">
        <f t="shared" si="47"/>
        <v>0.16</v>
      </c>
    </row>
    <row r="600" spans="1:20" s="730" customFormat="1" ht="13.2">
      <c r="A600">
        <v>10</v>
      </c>
      <c r="B600" s="730" t="s">
        <v>141</v>
      </c>
      <c r="D600" s="730" t="s">
        <v>975</v>
      </c>
      <c r="G600" s="731" t="s">
        <v>976</v>
      </c>
      <c r="H600" s="732">
        <v>620</v>
      </c>
      <c r="I600" s="730" t="s">
        <v>702</v>
      </c>
      <c r="O600" s="733">
        <v>2</v>
      </c>
      <c r="P600" s="734">
        <v>34669</v>
      </c>
      <c r="Q600" s="735">
        <v>0.14000000000000001</v>
      </c>
      <c r="R600" s="736">
        <f t="shared" si="46"/>
        <v>1.4000000000000001</v>
      </c>
      <c r="S600" s="735">
        <v>0.06</v>
      </c>
      <c r="T600" s="737">
        <f t="shared" si="47"/>
        <v>0.6</v>
      </c>
    </row>
    <row r="601" spans="1:20" s="730" customFormat="1" ht="13.2">
      <c r="A601">
        <v>1</v>
      </c>
      <c r="B601" s="730" t="s">
        <v>141</v>
      </c>
      <c r="D601" s="730" t="s">
        <v>977</v>
      </c>
      <c r="G601" s="731" t="s">
        <v>978</v>
      </c>
      <c r="H601" s="732">
        <v>510</v>
      </c>
      <c r="I601" s="730" t="s">
        <v>979</v>
      </c>
      <c r="J601" s="730" t="s">
        <v>980</v>
      </c>
      <c r="K601" s="730" t="s">
        <v>981</v>
      </c>
      <c r="O601" s="733">
        <v>2</v>
      </c>
      <c r="P601" s="734">
        <v>36880</v>
      </c>
      <c r="Q601" s="735">
        <v>63.82</v>
      </c>
      <c r="R601" s="736">
        <f t="shared" si="46"/>
        <v>63.82</v>
      </c>
      <c r="S601" s="735">
        <v>1</v>
      </c>
      <c r="T601" s="737">
        <f t="shared" si="47"/>
        <v>1</v>
      </c>
    </row>
    <row r="602" spans="1:20" s="730" customFormat="1" ht="13.2">
      <c r="A602">
        <v>1</v>
      </c>
      <c r="B602" s="730" t="s">
        <v>141</v>
      </c>
      <c r="D602" s="730" t="s">
        <v>731</v>
      </c>
      <c r="G602" s="731" t="s">
        <v>732</v>
      </c>
      <c r="H602" s="732">
        <v>875</v>
      </c>
      <c r="I602" s="730" t="s">
        <v>674</v>
      </c>
      <c r="K602" s="730" t="s">
        <v>733</v>
      </c>
      <c r="O602" s="733">
        <v>3</v>
      </c>
      <c r="P602" s="734">
        <v>34820</v>
      </c>
      <c r="Q602" s="735">
        <v>3.49</v>
      </c>
      <c r="R602" s="736">
        <f t="shared" si="46"/>
        <v>3.49</v>
      </c>
      <c r="S602" s="735">
        <v>0.05</v>
      </c>
      <c r="T602" s="737">
        <f t="shared" si="47"/>
        <v>0.05</v>
      </c>
    </row>
    <row r="603" spans="1:20" s="730" customFormat="1" ht="13.2">
      <c r="A603">
        <v>1</v>
      </c>
      <c r="B603" s="730" t="s">
        <v>141</v>
      </c>
      <c r="D603" s="730" t="s">
        <v>982</v>
      </c>
      <c r="G603" s="731" t="s">
        <v>983</v>
      </c>
      <c r="H603" s="732">
        <v>501</v>
      </c>
      <c r="I603" s="730" t="s">
        <v>674</v>
      </c>
      <c r="K603" s="730" t="s">
        <v>984</v>
      </c>
      <c r="O603" s="733">
        <v>1</v>
      </c>
      <c r="P603" s="734">
        <v>38136</v>
      </c>
      <c r="Q603" s="735">
        <v>10</v>
      </c>
      <c r="R603" s="736">
        <f t="shared" si="46"/>
        <v>10</v>
      </c>
      <c r="S603" s="735">
        <v>0.25</v>
      </c>
      <c r="T603" s="737">
        <f t="shared" si="47"/>
        <v>0.25</v>
      </c>
    </row>
    <row r="604" spans="1:20" s="602" customFormat="1" ht="12">
      <c r="A604" s="63"/>
      <c r="B604" s="663"/>
      <c r="C604" s="663"/>
      <c r="D604" s="864" t="s">
        <v>987</v>
      </c>
      <c r="E604" s="663"/>
      <c r="F604" s="664"/>
      <c r="G604" s="663"/>
      <c r="H604" s="663"/>
      <c r="I604" s="601"/>
      <c r="J604" s="663"/>
      <c r="K604" s="663"/>
      <c r="L604" s="663"/>
      <c r="M604" s="663"/>
      <c r="N604" s="663"/>
      <c r="O604" s="663"/>
      <c r="P604" s="663"/>
      <c r="Q604" s="601"/>
      <c r="R604" s="666">
        <f t="shared" si="46"/>
        <v>0</v>
      </c>
      <c r="S604" s="601"/>
      <c r="T604" s="681">
        <f t="shared" si="47"/>
        <v>0</v>
      </c>
    </row>
    <row r="605" spans="1:20" s="730" customFormat="1" ht="13.2">
      <c r="A605">
        <v>67</v>
      </c>
      <c r="B605" s="730" t="s">
        <v>326</v>
      </c>
      <c r="D605" s="730" t="s">
        <v>1441</v>
      </c>
      <c r="F605" s="730" t="s">
        <v>1240</v>
      </c>
      <c r="G605" s="731" t="s">
        <v>973</v>
      </c>
      <c r="H605" s="732">
        <v>616</v>
      </c>
      <c r="I605" s="730" t="s">
        <v>561</v>
      </c>
      <c r="J605" s="730" t="s">
        <v>974</v>
      </c>
      <c r="O605" s="733">
        <v>2</v>
      </c>
      <c r="P605" s="734">
        <v>40767</v>
      </c>
      <c r="Q605" s="735">
        <v>10.5</v>
      </c>
      <c r="R605" s="736">
        <f t="shared" si="46"/>
        <v>703.5</v>
      </c>
      <c r="S605" s="735">
        <v>0.1</v>
      </c>
      <c r="T605" s="737">
        <f t="shared" si="47"/>
        <v>6.7</v>
      </c>
    </row>
    <row r="606" spans="1:20" s="730" customFormat="1" ht="13.2">
      <c r="A606" s="167">
        <v>67</v>
      </c>
      <c r="B606" s="730" t="s">
        <v>141</v>
      </c>
      <c r="D606" s="730" t="s">
        <v>815</v>
      </c>
      <c r="G606" s="731" t="s">
        <v>816</v>
      </c>
      <c r="H606" s="732">
        <v>875</v>
      </c>
      <c r="I606" s="730" t="s">
        <v>674</v>
      </c>
      <c r="K606" s="730" t="s">
        <v>817</v>
      </c>
      <c r="O606" s="733">
        <v>1</v>
      </c>
      <c r="P606" s="734">
        <v>34669</v>
      </c>
      <c r="Q606" s="735">
        <v>0.05</v>
      </c>
      <c r="R606" s="736">
        <f t="shared" si="46"/>
        <v>3.35</v>
      </c>
      <c r="S606" s="735"/>
      <c r="T606" s="737">
        <f t="shared" si="47"/>
        <v>0</v>
      </c>
    </row>
    <row r="607" spans="1:20" s="730" customFormat="1" ht="13.2">
      <c r="A607">
        <v>2</v>
      </c>
      <c r="B607" s="730" t="s">
        <v>141</v>
      </c>
      <c r="D607" s="730" t="s">
        <v>848</v>
      </c>
      <c r="G607" s="731" t="s">
        <v>849</v>
      </c>
      <c r="H607" s="732">
        <v>620</v>
      </c>
      <c r="I607" s="730" t="s">
        <v>741</v>
      </c>
      <c r="O607" s="733">
        <v>2</v>
      </c>
      <c r="P607" s="734">
        <v>35431</v>
      </c>
      <c r="Q607" s="735">
        <v>7.66</v>
      </c>
      <c r="R607" s="736">
        <f t="shared" si="46"/>
        <v>15.32</v>
      </c>
      <c r="S607" s="735">
        <v>0.4</v>
      </c>
      <c r="T607" s="737">
        <f t="shared" si="47"/>
        <v>0.8</v>
      </c>
    </row>
    <row r="608" spans="1:20" s="730" customFormat="1" ht="13.2">
      <c r="A608">
        <v>2</v>
      </c>
      <c r="B608" s="730" t="s">
        <v>326</v>
      </c>
      <c r="D608" s="730" t="s">
        <v>703</v>
      </c>
      <c r="G608" s="731" t="s">
        <v>704</v>
      </c>
      <c r="H608" s="732">
        <v>620</v>
      </c>
      <c r="I608" s="730" t="s">
        <v>674</v>
      </c>
      <c r="O608" s="733">
        <v>2</v>
      </c>
      <c r="P608" s="734">
        <v>38148</v>
      </c>
      <c r="Q608" s="735">
        <v>1.5</v>
      </c>
      <c r="R608" s="736">
        <f t="shared" si="46"/>
        <v>3</v>
      </c>
      <c r="S608" s="735">
        <v>0.08</v>
      </c>
      <c r="T608" s="737">
        <f t="shared" si="47"/>
        <v>0.16</v>
      </c>
    </row>
    <row r="609" spans="1:20" s="730" customFormat="1" ht="13.2">
      <c r="A609">
        <v>10</v>
      </c>
      <c r="B609" s="730" t="s">
        <v>141</v>
      </c>
      <c r="D609" s="730" t="s">
        <v>975</v>
      </c>
      <c r="G609" s="731" t="s">
        <v>976</v>
      </c>
      <c r="H609" s="732">
        <v>620</v>
      </c>
      <c r="I609" s="730" t="s">
        <v>702</v>
      </c>
      <c r="O609" s="733">
        <v>2</v>
      </c>
      <c r="P609" s="734">
        <v>34669</v>
      </c>
      <c r="Q609" s="735">
        <v>0.14000000000000001</v>
      </c>
      <c r="R609" s="736">
        <f t="shared" si="46"/>
        <v>1.4000000000000001</v>
      </c>
      <c r="S609" s="735">
        <v>0.06</v>
      </c>
      <c r="T609" s="737">
        <f t="shared" si="47"/>
        <v>0.6</v>
      </c>
    </row>
    <row r="610" spans="1:20" s="730" customFormat="1" ht="13.2">
      <c r="A610">
        <v>1</v>
      </c>
      <c r="B610" s="730" t="s">
        <v>141</v>
      </c>
      <c r="D610" s="730" t="s">
        <v>977</v>
      </c>
      <c r="G610" s="731" t="s">
        <v>978</v>
      </c>
      <c r="H610" s="732">
        <v>510</v>
      </c>
      <c r="I610" s="730" t="s">
        <v>979</v>
      </c>
      <c r="J610" s="730" t="s">
        <v>980</v>
      </c>
      <c r="K610" s="730" t="s">
        <v>981</v>
      </c>
      <c r="O610" s="733">
        <v>2</v>
      </c>
      <c r="P610" s="734">
        <v>36880</v>
      </c>
      <c r="Q610" s="735">
        <v>63.82</v>
      </c>
      <c r="R610" s="736">
        <f t="shared" si="46"/>
        <v>63.82</v>
      </c>
      <c r="S610" s="735">
        <v>1</v>
      </c>
      <c r="T610" s="737">
        <f t="shared" si="47"/>
        <v>1</v>
      </c>
    </row>
    <row r="611" spans="1:20" s="730" customFormat="1" ht="13.2">
      <c r="A611">
        <v>1</v>
      </c>
      <c r="B611" s="730" t="s">
        <v>141</v>
      </c>
      <c r="D611" s="730" t="s">
        <v>731</v>
      </c>
      <c r="G611" s="731" t="s">
        <v>732</v>
      </c>
      <c r="H611" s="732">
        <v>875</v>
      </c>
      <c r="I611" s="730" t="s">
        <v>674</v>
      </c>
      <c r="K611" s="730" t="s">
        <v>733</v>
      </c>
      <c r="O611" s="733">
        <v>3</v>
      </c>
      <c r="P611" s="734">
        <v>34820</v>
      </c>
      <c r="Q611" s="735">
        <v>3.49</v>
      </c>
      <c r="R611" s="736">
        <f t="shared" si="46"/>
        <v>3.49</v>
      </c>
      <c r="S611" s="735">
        <v>0.05</v>
      </c>
      <c r="T611" s="737">
        <f t="shared" si="47"/>
        <v>0.05</v>
      </c>
    </row>
    <row r="612" spans="1:20" s="730" customFormat="1" ht="13.2">
      <c r="A612">
        <v>1</v>
      </c>
      <c r="B612" s="730" t="s">
        <v>141</v>
      </c>
      <c r="D612" s="730" t="s">
        <v>982</v>
      </c>
      <c r="G612" s="731" t="s">
        <v>983</v>
      </c>
      <c r="H612" s="732">
        <v>501</v>
      </c>
      <c r="I612" s="730" t="s">
        <v>674</v>
      </c>
      <c r="K612" s="730" t="s">
        <v>984</v>
      </c>
      <c r="O612" s="733">
        <v>1</v>
      </c>
      <c r="P612" s="734">
        <v>38136</v>
      </c>
      <c r="Q612" s="735">
        <v>10</v>
      </c>
      <c r="R612" s="736">
        <f t="shared" si="46"/>
        <v>10</v>
      </c>
      <c r="S612" s="735">
        <v>0.25</v>
      </c>
      <c r="T612" s="737">
        <f t="shared" si="47"/>
        <v>0.25</v>
      </c>
    </row>
    <row r="613" spans="1:20" s="730" customFormat="1" ht="13.2">
      <c r="A613"/>
      <c r="D613" s="864" t="s">
        <v>988</v>
      </c>
      <c r="G613" s="731"/>
      <c r="H613" s="732"/>
      <c r="O613" s="733"/>
      <c r="P613" s="734"/>
      <c r="Q613" s="735"/>
      <c r="R613" s="736">
        <f t="shared" si="46"/>
        <v>0</v>
      </c>
      <c r="S613" s="735"/>
      <c r="T613" s="737">
        <f t="shared" si="47"/>
        <v>0</v>
      </c>
    </row>
    <row r="614" spans="1:20" s="730" customFormat="1" ht="13.2">
      <c r="A614">
        <v>15</v>
      </c>
      <c r="B614" s="730" t="s">
        <v>326</v>
      </c>
      <c r="D614" s="730" t="s">
        <v>989</v>
      </c>
      <c r="F614" s="730" t="s">
        <v>1240</v>
      </c>
      <c r="G614" s="731" t="s">
        <v>990</v>
      </c>
      <c r="H614" s="732">
        <v>616</v>
      </c>
      <c r="I614" s="730" t="s">
        <v>561</v>
      </c>
      <c r="J614" s="730" t="s">
        <v>991</v>
      </c>
      <c r="O614" s="733">
        <v>2</v>
      </c>
      <c r="P614" s="734"/>
      <c r="Q614" s="735">
        <v>1.5</v>
      </c>
      <c r="R614" s="736">
        <f t="shared" ref="R614:R645" si="48">$A614*Q614</f>
        <v>22.5</v>
      </c>
      <c r="S614" s="735">
        <v>0.05</v>
      </c>
      <c r="T614" s="737">
        <f t="shared" ref="T614:T645" si="49">$A614*S614*$T$1</f>
        <v>0.75</v>
      </c>
    </row>
    <row r="615" spans="1:20" s="730" customFormat="1" ht="13.2">
      <c r="A615" s="167">
        <v>15</v>
      </c>
      <c r="B615" s="730" t="s">
        <v>141</v>
      </c>
      <c r="D615" s="730" t="s">
        <v>815</v>
      </c>
      <c r="G615" s="731" t="s">
        <v>816</v>
      </c>
      <c r="H615" s="732">
        <v>875</v>
      </c>
      <c r="I615" s="730" t="s">
        <v>674</v>
      </c>
      <c r="K615" s="730" t="s">
        <v>817</v>
      </c>
      <c r="O615" s="733">
        <v>1</v>
      </c>
      <c r="P615" s="734">
        <v>34669</v>
      </c>
      <c r="Q615" s="735">
        <v>0.05</v>
      </c>
      <c r="R615" s="736">
        <f t="shared" si="48"/>
        <v>0.75</v>
      </c>
      <c r="S615" s="735"/>
      <c r="T615" s="737">
        <f t="shared" si="49"/>
        <v>0</v>
      </c>
    </row>
    <row r="616" spans="1:20" s="730" customFormat="1" ht="13.2">
      <c r="A616">
        <v>2</v>
      </c>
      <c r="B616" s="730" t="s">
        <v>141</v>
      </c>
      <c r="D616" s="730" t="s">
        <v>992</v>
      </c>
      <c r="G616" s="731" t="s">
        <v>993</v>
      </c>
      <c r="H616" s="732">
        <v>620</v>
      </c>
      <c r="I616" s="730" t="s">
        <v>741</v>
      </c>
      <c r="O616" s="733">
        <v>2</v>
      </c>
      <c r="P616" s="734">
        <v>35431</v>
      </c>
      <c r="Q616" s="735">
        <v>3.8</v>
      </c>
      <c r="R616" s="736">
        <f t="shared" si="48"/>
        <v>7.6</v>
      </c>
      <c r="S616" s="735">
        <v>0.3</v>
      </c>
      <c r="T616" s="737">
        <f t="shared" si="49"/>
        <v>0.6</v>
      </c>
    </row>
    <row r="617" spans="1:20" s="730" customFormat="1" ht="13.2">
      <c r="A617">
        <v>1</v>
      </c>
      <c r="B617" s="730" t="s">
        <v>141</v>
      </c>
      <c r="D617" s="730" t="s">
        <v>994</v>
      </c>
      <c r="G617" s="731" t="s">
        <v>995</v>
      </c>
      <c r="H617" s="732">
        <v>510</v>
      </c>
      <c r="I617" s="730" t="s">
        <v>979</v>
      </c>
      <c r="J617" s="730" t="s">
        <v>996</v>
      </c>
      <c r="K617" s="730" t="s">
        <v>997</v>
      </c>
      <c r="O617" s="733">
        <v>2</v>
      </c>
      <c r="P617" s="734">
        <v>36880</v>
      </c>
      <c r="Q617" s="735">
        <v>20</v>
      </c>
      <c r="R617" s="736">
        <f t="shared" si="48"/>
        <v>20</v>
      </c>
      <c r="S617" s="735">
        <v>0.5</v>
      </c>
      <c r="T617" s="737">
        <f t="shared" si="49"/>
        <v>0.5</v>
      </c>
    </row>
    <row r="618" spans="1:20" s="730" customFormat="1" ht="13.2">
      <c r="A618">
        <v>1</v>
      </c>
      <c r="B618" s="730" t="s">
        <v>141</v>
      </c>
      <c r="D618" s="730" t="s">
        <v>731</v>
      </c>
      <c r="G618" s="731" t="s">
        <v>732</v>
      </c>
      <c r="H618" s="732">
        <v>875</v>
      </c>
      <c r="I618" s="730" t="s">
        <v>674</v>
      </c>
      <c r="K618" s="730" t="s">
        <v>733</v>
      </c>
      <c r="O618" s="733">
        <v>3</v>
      </c>
      <c r="P618" s="734">
        <v>34820</v>
      </c>
      <c r="Q618" s="735">
        <v>3.49</v>
      </c>
      <c r="R618" s="736">
        <f t="shared" si="48"/>
        <v>3.49</v>
      </c>
      <c r="S618" s="735">
        <v>0.05</v>
      </c>
      <c r="T618" s="737">
        <f t="shared" si="49"/>
        <v>0.05</v>
      </c>
    </row>
    <row r="619" spans="1:20" s="730" customFormat="1" ht="13.2">
      <c r="A619">
        <v>1</v>
      </c>
      <c r="B619" s="730" t="s">
        <v>141</v>
      </c>
      <c r="D619" s="730" t="s">
        <v>982</v>
      </c>
      <c r="G619" s="731" t="s">
        <v>983</v>
      </c>
      <c r="H619" s="732">
        <v>501</v>
      </c>
      <c r="I619" s="730" t="s">
        <v>674</v>
      </c>
      <c r="K619" s="730" t="s">
        <v>984</v>
      </c>
      <c r="O619" s="733">
        <v>1</v>
      </c>
      <c r="P619" s="734">
        <v>38136</v>
      </c>
      <c r="Q619" s="735">
        <v>10</v>
      </c>
      <c r="R619" s="736">
        <f t="shared" si="48"/>
        <v>10</v>
      </c>
      <c r="S619" s="735">
        <v>0.25</v>
      </c>
      <c r="T619" s="737">
        <f t="shared" si="49"/>
        <v>0.25</v>
      </c>
    </row>
    <row r="620" spans="1:20" s="730" customFormat="1" ht="13.2">
      <c r="A620"/>
      <c r="D620" s="864" t="s">
        <v>998</v>
      </c>
      <c r="G620" s="731"/>
      <c r="H620" s="732"/>
      <c r="O620" s="733"/>
      <c r="P620" s="734"/>
      <c r="Q620" s="735"/>
      <c r="R620" s="736">
        <f t="shared" si="48"/>
        <v>0</v>
      </c>
      <c r="S620" s="735"/>
      <c r="T620" s="737">
        <f t="shared" si="49"/>
        <v>0</v>
      </c>
    </row>
    <row r="621" spans="1:20" s="730" customFormat="1" ht="13.2">
      <c r="A621">
        <v>15</v>
      </c>
      <c r="B621" s="730" t="s">
        <v>326</v>
      </c>
      <c r="D621" s="730" t="s">
        <v>989</v>
      </c>
      <c r="F621" s="730" t="s">
        <v>1240</v>
      </c>
      <c r="G621" s="731" t="s">
        <v>990</v>
      </c>
      <c r="H621" s="732">
        <v>616</v>
      </c>
      <c r="I621" s="730" t="s">
        <v>561</v>
      </c>
      <c r="J621" s="730" t="s">
        <v>991</v>
      </c>
      <c r="O621" s="733">
        <v>2</v>
      </c>
      <c r="P621" s="734"/>
      <c r="Q621" s="735">
        <v>1.5</v>
      </c>
      <c r="R621" s="736">
        <f t="shared" si="48"/>
        <v>22.5</v>
      </c>
      <c r="S621" s="735">
        <v>0.05</v>
      </c>
      <c r="T621" s="737">
        <f t="shared" si="49"/>
        <v>0.75</v>
      </c>
    </row>
    <row r="622" spans="1:20" s="730" customFormat="1" ht="13.2">
      <c r="A622" s="167">
        <v>15</v>
      </c>
      <c r="B622" s="730" t="s">
        <v>141</v>
      </c>
      <c r="D622" s="730" t="s">
        <v>815</v>
      </c>
      <c r="G622" s="731" t="s">
        <v>816</v>
      </c>
      <c r="H622" s="732">
        <v>875</v>
      </c>
      <c r="I622" s="730" t="s">
        <v>674</v>
      </c>
      <c r="K622" s="730" t="s">
        <v>817</v>
      </c>
      <c r="O622" s="733">
        <v>1</v>
      </c>
      <c r="P622" s="734">
        <v>34669</v>
      </c>
      <c r="Q622" s="735">
        <v>0.05</v>
      </c>
      <c r="R622" s="736">
        <f t="shared" si="48"/>
        <v>0.75</v>
      </c>
      <c r="S622" s="735"/>
      <c r="T622" s="737">
        <f t="shared" si="49"/>
        <v>0</v>
      </c>
    </row>
    <row r="623" spans="1:20" s="730" customFormat="1" ht="13.2">
      <c r="A623">
        <v>2</v>
      </c>
      <c r="B623" s="730" t="s">
        <v>141</v>
      </c>
      <c r="D623" s="730" t="s">
        <v>992</v>
      </c>
      <c r="G623" s="731" t="s">
        <v>993</v>
      </c>
      <c r="H623" s="732">
        <v>620</v>
      </c>
      <c r="I623" s="730" t="s">
        <v>741</v>
      </c>
      <c r="O623" s="733">
        <v>2</v>
      </c>
      <c r="P623" s="734">
        <v>35431</v>
      </c>
      <c r="Q623" s="735">
        <v>3.8</v>
      </c>
      <c r="R623" s="736">
        <f t="shared" si="48"/>
        <v>7.6</v>
      </c>
      <c r="S623" s="735">
        <v>0.3</v>
      </c>
      <c r="T623" s="737">
        <f t="shared" si="49"/>
        <v>0.6</v>
      </c>
    </row>
    <row r="624" spans="1:20" s="730" customFormat="1" ht="13.2">
      <c r="A624">
        <v>1</v>
      </c>
      <c r="B624" s="730" t="s">
        <v>141</v>
      </c>
      <c r="D624" s="730" t="s">
        <v>994</v>
      </c>
      <c r="G624" s="731" t="s">
        <v>995</v>
      </c>
      <c r="H624" s="732">
        <v>510</v>
      </c>
      <c r="I624" s="730" t="s">
        <v>979</v>
      </c>
      <c r="J624" s="730" t="s">
        <v>996</v>
      </c>
      <c r="K624" s="730" t="s">
        <v>997</v>
      </c>
      <c r="O624" s="733">
        <v>2</v>
      </c>
      <c r="P624" s="734">
        <v>36880</v>
      </c>
      <c r="Q624" s="735">
        <v>20</v>
      </c>
      <c r="R624" s="736">
        <f t="shared" si="48"/>
        <v>20</v>
      </c>
      <c r="S624" s="735">
        <v>0.5</v>
      </c>
      <c r="T624" s="737">
        <f t="shared" si="49"/>
        <v>0.5</v>
      </c>
    </row>
    <row r="625" spans="1:20" s="730" customFormat="1" ht="13.2">
      <c r="A625">
        <v>1</v>
      </c>
      <c r="B625" s="730" t="s">
        <v>141</v>
      </c>
      <c r="D625" s="730" t="s">
        <v>731</v>
      </c>
      <c r="G625" s="731" t="s">
        <v>732</v>
      </c>
      <c r="H625" s="732">
        <v>875</v>
      </c>
      <c r="I625" s="730" t="s">
        <v>674</v>
      </c>
      <c r="K625" s="730" t="s">
        <v>733</v>
      </c>
      <c r="O625" s="733">
        <v>3</v>
      </c>
      <c r="P625" s="734">
        <v>34820</v>
      </c>
      <c r="Q625" s="735">
        <v>3.49</v>
      </c>
      <c r="R625" s="736">
        <f t="shared" si="48"/>
        <v>3.49</v>
      </c>
      <c r="S625" s="735">
        <v>0.05</v>
      </c>
      <c r="T625" s="737">
        <f t="shared" si="49"/>
        <v>0.05</v>
      </c>
    </row>
    <row r="626" spans="1:20" s="730" customFormat="1" ht="13.2">
      <c r="A626">
        <v>1</v>
      </c>
      <c r="B626" s="730" t="s">
        <v>141</v>
      </c>
      <c r="D626" s="730" t="s">
        <v>982</v>
      </c>
      <c r="G626" s="731" t="s">
        <v>983</v>
      </c>
      <c r="H626" s="732">
        <v>501</v>
      </c>
      <c r="I626" s="730" t="s">
        <v>674</v>
      </c>
      <c r="K626" s="730" t="s">
        <v>984</v>
      </c>
      <c r="O626" s="733">
        <v>1</v>
      </c>
      <c r="P626" s="734">
        <v>38136</v>
      </c>
      <c r="Q626" s="735">
        <v>10</v>
      </c>
      <c r="R626" s="736">
        <f t="shared" si="48"/>
        <v>10</v>
      </c>
      <c r="S626" s="735">
        <v>0.25</v>
      </c>
      <c r="T626" s="737">
        <f t="shared" si="49"/>
        <v>0.25</v>
      </c>
    </row>
    <row r="627" spans="1:20" s="730" customFormat="1" ht="13.2">
      <c r="A627"/>
      <c r="D627" s="864" t="s">
        <v>999</v>
      </c>
      <c r="G627" s="731"/>
      <c r="H627" s="732"/>
      <c r="O627" s="733"/>
      <c r="P627" s="734"/>
      <c r="Q627" s="735"/>
      <c r="R627" s="736">
        <f t="shared" si="48"/>
        <v>0</v>
      </c>
      <c r="S627" s="735"/>
      <c r="T627" s="737">
        <f t="shared" si="49"/>
        <v>0</v>
      </c>
    </row>
    <row r="628" spans="1:20" s="730" customFormat="1" ht="13.2">
      <c r="A628">
        <v>15</v>
      </c>
      <c r="B628" s="730" t="s">
        <v>326</v>
      </c>
      <c r="D628" s="730" t="s">
        <v>989</v>
      </c>
      <c r="F628" s="730" t="s">
        <v>1240</v>
      </c>
      <c r="G628" s="731" t="s">
        <v>990</v>
      </c>
      <c r="H628" s="732">
        <v>616</v>
      </c>
      <c r="I628" s="730" t="s">
        <v>561</v>
      </c>
      <c r="J628" s="730" t="s">
        <v>991</v>
      </c>
      <c r="O628" s="733">
        <v>2</v>
      </c>
      <c r="P628" s="734"/>
      <c r="Q628" s="735">
        <v>1.5</v>
      </c>
      <c r="R628" s="736">
        <f t="shared" si="48"/>
        <v>22.5</v>
      </c>
      <c r="S628" s="735">
        <v>0.05</v>
      </c>
      <c r="T628" s="737">
        <f t="shared" si="49"/>
        <v>0.75</v>
      </c>
    </row>
    <row r="629" spans="1:20" s="730" customFormat="1" ht="13.2">
      <c r="A629" s="167">
        <v>15</v>
      </c>
      <c r="B629" s="730" t="s">
        <v>141</v>
      </c>
      <c r="D629" s="730" t="s">
        <v>815</v>
      </c>
      <c r="G629" s="731" t="s">
        <v>816</v>
      </c>
      <c r="H629" s="732">
        <v>875</v>
      </c>
      <c r="I629" s="730" t="s">
        <v>674</v>
      </c>
      <c r="K629" s="730" t="s">
        <v>817</v>
      </c>
      <c r="O629" s="733">
        <v>1</v>
      </c>
      <c r="P629" s="734">
        <v>34669</v>
      </c>
      <c r="Q629" s="735">
        <v>0.05</v>
      </c>
      <c r="R629" s="736">
        <f t="shared" si="48"/>
        <v>0.75</v>
      </c>
      <c r="S629" s="735"/>
      <c r="T629" s="737">
        <f t="shared" si="49"/>
        <v>0</v>
      </c>
    </row>
    <row r="630" spans="1:20" s="730" customFormat="1" ht="13.2">
      <c r="A630">
        <v>2</v>
      </c>
      <c r="B630" s="730" t="s">
        <v>141</v>
      </c>
      <c r="D630" s="730" t="s">
        <v>992</v>
      </c>
      <c r="G630" s="731" t="s">
        <v>993</v>
      </c>
      <c r="H630" s="732">
        <v>620</v>
      </c>
      <c r="I630" s="730" t="s">
        <v>741</v>
      </c>
      <c r="O630" s="733">
        <v>2</v>
      </c>
      <c r="P630" s="734">
        <v>35431</v>
      </c>
      <c r="Q630" s="735">
        <v>3.8</v>
      </c>
      <c r="R630" s="736">
        <f t="shared" si="48"/>
        <v>7.6</v>
      </c>
      <c r="S630" s="735">
        <v>0.3</v>
      </c>
      <c r="T630" s="737">
        <f t="shared" si="49"/>
        <v>0.6</v>
      </c>
    </row>
    <row r="631" spans="1:20" s="730" customFormat="1" ht="13.2">
      <c r="A631">
        <v>1</v>
      </c>
      <c r="B631" s="730" t="s">
        <v>141</v>
      </c>
      <c r="D631" s="730" t="s">
        <v>994</v>
      </c>
      <c r="G631" s="731" t="s">
        <v>995</v>
      </c>
      <c r="H631" s="732">
        <v>510</v>
      </c>
      <c r="I631" s="730" t="s">
        <v>979</v>
      </c>
      <c r="J631" s="730" t="s">
        <v>996</v>
      </c>
      <c r="K631" s="730" t="s">
        <v>997</v>
      </c>
      <c r="O631" s="733">
        <v>2</v>
      </c>
      <c r="P631" s="734">
        <v>36880</v>
      </c>
      <c r="Q631" s="735">
        <v>20</v>
      </c>
      <c r="R631" s="736">
        <f t="shared" si="48"/>
        <v>20</v>
      </c>
      <c r="S631" s="735">
        <v>0.5</v>
      </c>
      <c r="T631" s="737">
        <f t="shared" si="49"/>
        <v>0.5</v>
      </c>
    </row>
    <row r="632" spans="1:20" s="730" customFormat="1" ht="13.2">
      <c r="A632">
        <v>1</v>
      </c>
      <c r="B632" s="730" t="s">
        <v>141</v>
      </c>
      <c r="D632" s="730" t="s">
        <v>731</v>
      </c>
      <c r="G632" s="731" t="s">
        <v>732</v>
      </c>
      <c r="H632" s="732">
        <v>875</v>
      </c>
      <c r="I632" s="730" t="s">
        <v>674</v>
      </c>
      <c r="K632" s="730" t="s">
        <v>733</v>
      </c>
      <c r="O632" s="733">
        <v>3</v>
      </c>
      <c r="P632" s="734">
        <v>34820</v>
      </c>
      <c r="Q632" s="735">
        <v>3.49</v>
      </c>
      <c r="R632" s="736">
        <f t="shared" si="48"/>
        <v>3.49</v>
      </c>
      <c r="S632" s="735">
        <v>0.05</v>
      </c>
      <c r="T632" s="737">
        <f t="shared" si="49"/>
        <v>0.05</v>
      </c>
    </row>
    <row r="633" spans="1:20" s="730" customFormat="1" ht="13.2">
      <c r="A633">
        <v>1</v>
      </c>
      <c r="B633" s="730" t="s">
        <v>141</v>
      </c>
      <c r="D633" s="730" t="s">
        <v>982</v>
      </c>
      <c r="G633" s="731" t="s">
        <v>983</v>
      </c>
      <c r="H633" s="732">
        <v>501</v>
      </c>
      <c r="I633" s="730" t="s">
        <v>674</v>
      </c>
      <c r="K633" s="730" t="s">
        <v>984</v>
      </c>
      <c r="O633" s="733">
        <v>1</v>
      </c>
      <c r="P633" s="734">
        <v>38136</v>
      </c>
      <c r="Q633" s="735">
        <v>10</v>
      </c>
      <c r="R633" s="736">
        <f t="shared" si="48"/>
        <v>10</v>
      </c>
      <c r="S633" s="735">
        <v>0.25</v>
      </c>
      <c r="T633" s="737">
        <f t="shared" si="49"/>
        <v>0.25</v>
      </c>
    </row>
    <row r="634" spans="1:20" s="730" customFormat="1" ht="13.2">
      <c r="A634"/>
      <c r="D634" s="864" t="s">
        <v>1041</v>
      </c>
      <c r="E634" s="738" t="s">
        <v>1386</v>
      </c>
      <c r="G634" s="731"/>
      <c r="H634" s="732"/>
      <c r="O634" s="733"/>
      <c r="P634" s="734"/>
      <c r="Q634" s="735"/>
      <c r="R634" s="736">
        <f t="shared" si="48"/>
        <v>0</v>
      </c>
      <c r="S634" s="735"/>
      <c r="T634" s="737">
        <f t="shared" si="49"/>
        <v>0</v>
      </c>
    </row>
    <row r="635" spans="1:20" s="730" customFormat="1" ht="13.2">
      <c r="A635" s="863">
        <v>0</v>
      </c>
      <c r="B635" s="861" t="s">
        <v>326</v>
      </c>
      <c r="C635" s="861"/>
      <c r="D635" s="861" t="s">
        <v>1005</v>
      </c>
      <c r="E635" s="861"/>
      <c r="F635" s="861" t="s">
        <v>1240</v>
      </c>
      <c r="G635" s="1229" t="s">
        <v>1000</v>
      </c>
      <c r="H635" s="1230">
        <v>616</v>
      </c>
      <c r="I635" s="861" t="s">
        <v>561</v>
      </c>
      <c r="J635" s="861" t="s">
        <v>991</v>
      </c>
      <c r="K635" s="861"/>
      <c r="L635" s="861"/>
      <c r="M635" s="861"/>
      <c r="N635" s="861"/>
      <c r="O635" s="1231">
        <v>2</v>
      </c>
      <c r="P635" s="1232">
        <v>40767</v>
      </c>
      <c r="Q635" s="1233">
        <v>2.2000000000000002</v>
      </c>
      <c r="R635" s="1234">
        <f t="shared" si="48"/>
        <v>0</v>
      </c>
      <c r="S635" s="1233">
        <v>0.06</v>
      </c>
      <c r="T635" s="1235">
        <f t="shared" si="49"/>
        <v>0</v>
      </c>
    </row>
    <row r="636" spans="1:20" s="730" customFormat="1" ht="13.2">
      <c r="A636" s="1236">
        <v>0</v>
      </c>
      <c r="B636" s="861" t="s">
        <v>141</v>
      </c>
      <c r="C636" s="861"/>
      <c r="D636" s="861" t="s">
        <v>815</v>
      </c>
      <c r="E636" s="861"/>
      <c r="F636" s="861"/>
      <c r="G636" s="1229" t="s">
        <v>816</v>
      </c>
      <c r="H636" s="1230">
        <v>875</v>
      </c>
      <c r="I636" s="861" t="s">
        <v>674</v>
      </c>
      <c r="J636" s="861"/>
      <c r="K636" s="861" t="s">
        <v>817</v>
      </c>
      <c r="L636" s="861"/>
      <c r="M636" s="861"/>
      <c r="N636" s="861"/>
      <c r="O636" s="1231">
        <v>1</v>
      </c>
      <c r="P636" s="1232">
        <v>34669</v>
      </c>
      <c r="Q636" s="1233">
        <v>0.05</v>
      </c>
      <c r="R636" s="1234">
        <f t="shared" si="48"/>
        <v>0</v>
      </c>
      <c r="S636" s="1233"/>
      <c r="T636" s="1235">
        <f t="shared" si="49"/>
        <v>0</v>
      </c>
    </row>
    <row r="637" spans="1:20" s="730" customFormat="1" ht="13.2">
      <c r="A637" s="863">
        <v>0</v>
      </c>
      <c r="B637" s="861" t="s">
        <v>141</v>
      </c>
      <c r="C637" s="861"/>
      <c r="D637" s="861" t="s">
        <v>992</v>
      </c>
      <c r="E637" s="861"/>
      <c r="F637" s="861"/>
      <c r="G637" s="1229" t="s">
        <v>993</v>
      </c>
      <c r="H637" s="1230">
        <v>620</v>
      </c>
      <c r="I637" s="861" t="s">
        <v>741</v>
      </c>
      <c r="J637" s="861"/>
      <c r="K637" s="861"/>
      <c r="L637" s="861"/>
      <c r="M637" s="861"/>
      <c r="N637" s="861"/>
      <c r="O637" s="1231">
        <v>2</v>
      </c>
      <c r="P637" s="1232">
        <v>35431</v>
      </c>
      <c r="Q637" s="1233">
        <v>3.8</v>
      </c>
      <c r="R637" s="1234">
        <f t="shared" si="48"/>
        <v>0</v>
      </c>
      <c r="S637" s="1233">
        <v>0.3</v>
      </c>
      <c r="T637" s="1235">
        <f t="shared" si="49"/>
        <v>0</v>
      </c>
    </row>
    <row r="638" spans="1:20" s="730" customFormat="1" ht="13.2">
      <c r="A638" s="863">
        <v>0</v>
      </c>
      <c r="B638" s="861" t="s">
        <v>141</v>
      </c>
      <c r="C638" s="861"/>
      <c r="D638" s="861" t="s">
        <v>994</v>
      </c>
      <c r="E638" s="861"/>
      <c r="F638" s="861"/>
      <c r="G638" s="1229" t="s">
        <v>995</v>
      </c>
      <c r="H638" s="1230">
        <v>510</v>
      </c>
      <c r="I638" s="861" t="s">
        <v>979</v>
      </c>
      <c r="J638" s="861" t="s">
        <v>996</v>
      </c>
      <c r="K638" s="861" t="s">
        <v>997</v>
      </c>
      <c r="L638" s="861"/>
      <c r="M638" s="861"/>
      <c r="N638" s="861"/>
      <c r="O638" s="1231">
        <v>2</v>
      </c>
      <c r="P638" s="1232">
        <v>36880</v>
      </c>
      <c r="Q638" s="1233">
        <v>20</v>
      </c>
      <c r="R638" s="1234">
        <f t="shared" si="48"/>
        <v>0</v>
      </c>
      <c r="S638" s="1233">
        <v>0.5</v>
      </c>
      <c r="T638" s="1235">
        <f t="shared" si="49"/>
        <v>0</v>
      </c>
    </row>
    <row r="639" spans="1:20" s="730" customFormat="1" ht="13.2">
      <c r="A639" s="863">
        <v>0</v>
      </c>
      <c r="B639" s="861" t="s">
        <v>141</v>
      </c>
      <c r="C639" s="861"/>
      <c r="D639" s="861" t="s">
        <v>731</v>
      </c>
      <c r="E639" s="861"/>
      <c r="F639" s="861"/>
      <c r="G639" s="1229" t="s">
        <v>732</v>
      </c>
      <c r="H639" s="1230">
        <v>875</v>
      </c>
      <c r="I639" s="861" t="s">
        <v>674</v>
      </c>
      <c r="J639" s="861"/>
      <c r="K639" s="861" t="s">
        <v>733</v>
      </c>
      <c r="L639" s="861"/>
      <c r="M639" s="861"/>
      <c r="N639" s="861"/>
      <c r="O639" s="1231">
        <v>3</v>
      </c>
      <c r="P639" s="1232">
        <v>34820</v>
      </c>
      <c r="Q639" s="1233">
        <v>3.49</v>
      </c>
      <c r="R639" s="1234">
        <f t="shared" si="48"/>
        <v>0</v>
      </c>
      <c r="S639" s="1233">
        <v>0.05</v>
      </c>
      <c r="T639" s="1235">
        <f t="shared" si="49"/>
        <v>0</v>
      </c>
    </row>
    <row r="640" spans="1:20" s="730" customFormat="1" ht="13.2">
      <c r="A640" s="863">
        <v>0</v>
      </c>
      <c r="B640" s="861" t="s">
        <v>141</v>
      </c>
      <c r="C640" s="861"/>
      <c r="D640" s="861" t="s">
        <v>982</v>
      </c>
      <c r="E640" s="861"/>
      <c r="F640" s="861"/>
      <c r="G640" s="1229" t="s">
        <v>983</v>
      </c>
      <c r="H640" s="1230">
        <v>501</v>
      </c>
      <c r="I640" s="861" t="s">
        <v>674</v>
      </c>
      <c r="J640" s="861"/>
      <c r="K640" s="861" t="s">
        <v>984</v>
      </c>
      <c r="L640" s="861"/>
      <c r="M640" s="861"/>
      <c r="N640" s="861"/>
      <c r="O640" s="1231">
        <v>1</v>
      </c>
      <c r="P640" s="1232">
        <v>38136</v>
      </c>
      <c r="Q640" s="1233">
        <v>10</v>
      </c>
      <c r="R640" s="1234">
        <f t="shared" si="48"/>
        <v>0</v>
      </c>
      <c r="S640" s="1233">
        <v>0.25</v>
      </c>
      <c r="T640" s="1235">
        <f t="shared" si="49"/>
        <v>0</v>
      </c>
    </row>
    <row r="641" spans="1:20" s="730" customFormat="1" ht="13.2">
      <c r="A641"/>
      <c r="D641" s="864" t="s">
        <v>1043</v>
      </c>
      <c r="G641" s="731"/>
      <c r="H641" s="732"/>
      <c r="O641" s="733"/>
      <c r="P641" s="734"/>
      <c r="Q641" s="735"/>
      <c r="R641" s="736">
        <f t="shared" si="48"/>
        <v>0</v>
      </c>
      <c r="S641" s="735"/>
      <c r="T641" s="737">
        <f t="shared" si="49"/>
        <v>0</v>
      </c>
    </row>
    <row r="642" spans="1:20" s="730" customFormat="1" ht="13.2">
      <c r="A642">
        <v>15</v>
      </c>
      <c r="B642" s="730" t="s">
        <v>326</v>
      </c>
      <c r="D642" s="730" t="s">
        <v>1004</v>
      </c>
      <c r="F642" s="730" t="s">
        <v>1240</v>
      </c>
      <c r="G642" s="731" t="s">
        <v>1000</v>
      </c>
      <c r="H642" s="732">
        <v>616</v>
      </c>
      <c r="I642" s="730" t="s">
        <v>561</v>
      </c>
      <c r="J642" s="730" t="s">
        <v>991</v>
      </c>
      <c r="O642" s="733">
        <v>2</v>
      </c>
      <c r="P642" s="734">
        <v>40767</v>
      </c>
      <c r="Q642" s="735">
        <v>2.2000000000000002</v>
      </c>
      <c r="R642" s="736">
        <f t="shared" si="48"/>
        <v>33</v>
      </c>
      <c r="S642" s="735">
        <v>0.06</v>
      </c>
      <c r="T642" s="737">
        <f t="shared" si="49"/>
        <v>0.89999999999999991</v>
      </c>
    </row>
    <row r="643" spans="1:20" s="730" customFormat="1" ht="13.2">
      <c r="A643" s="167">
        <v>15</v>
      </c>
      <c r="B643" s="730" t="s">
        <v>141</v>
      </c>
      <c r="D643" s="730" t="s">
        <v>815</v>
      </c>
      <c r="G643" s="731" t="s">
        <v>816</v>
      </c>
      <c r="H643" s="732">
        <v>875</v>
      </c>
      <c r="I643" s="730" t="s">
        <v>674</v>
      </c>
      <c r="K643" s="730" t="s">
        <v>817</v>
      </c>
      <c r="O643" s="733">
        <v>1</v>
      </c>
      <c r="P643" s="734">
        <v>34669</v>
      </c>
      <c r="Q643" s="735">
        <v>0.05</v>
      </c>
      <c r="R643" s="736">
        <f t="shared" si="48"/>
        <v>0.75</v>
      </c>
      <c r="S643" s="735"/>
      <c r="T643" s="737">
        <f t="shared" si="49"/>
        <v>0</v>
      </c>
    </row>
    <row r="644" spans="1:20" s="730" customFormat="1" ht="13.2">
      <c r="A644">
        <v>2</v>
      </c>
      <c r="B644" s="730" t="s">
        <v>141</v>
      </c>
      <c r="D644" s="730" t="s">
        <v>992</v>
      </c>
      <c r="G644" s="731" t="s">
        <v>993</v>
      </c>
      <c r="H644" s="732">
        <v>620</v>
      </c>
      <c r="I644" s="730" t="s">
        <v>741</v>
      </c>
      <c r="O644" s="733">
        <v>2</v>
      </c>
      <c r="P644" s="734">
        <v>35431</v>
      </c>
      <c r="Q644" s="735">
        <v>3.8</v>
      </c>
      <c r="R644" s="736">
        <f t="shared" si="48"/>
        <v>7.6</v>
      </c>
      <c r="S644" s="735">
        <v>0.3</v>
      </c>
      <c r="T644" s="737">
        <f t="shared" si="49"/>
        <v>0.6</v>
      </c>
    </row>
    <row r="645" spans="1:20" s="730" customFormat="1" ht="13.2">
      <c r="A645">
        <v>1</v>
      </c>
      <c r="B645" s="730" t="s">
        <v>141</v>
      </c>
      <c r="D645" s="730" t="s">
        <v>994</v>
      </c>
      <c r="G645" s="731" t="s">
        <v>995</v>
      </c>
      <c r="H645" s="732">
        <v>510</v>
      </c>
      <c r="I645" s="730" t="s">
        <v>979</v>
      </c>
      <c r="J645" s="730" t="s">
        <v>996</v>
      </c>
      <c r="K645" s="730" t="s">
        <v>997</v>
      </c>
      <c r="O645" s="733">
        <v>2</v>
      </c>
      <c r="P645" s="734">
        <v>36880</v>
      </c>
      <c r="Q645" s="735">
        <v>20</v>
      </c>
      <c r="R645" s="736">
        <f t="shared" si="48"/>
        <v>20</v>
      </c>
      <c r="S645" s="735">
        <v>0.5</v>
      </c>
      <c r="T645" s="737">
        <f t="shared" si="49"/>
        <v>0.5</v>
      </c>
    </row>
    <row r="646" spans="1:20" s="730" customFormat="1" ht="13.2">
      <c r="A646">
        <v>1</v>
      </c>
      <c r="B646" s="730" t="s">
        <v>141</v>
      </c>
      <c r="D646" s="730" t="s">
        <v>731</v>
      </c>
      <c r="G646" s="731" t="s">
        <v>732</v>
      </c>
      <c r="H646" s="732">
        <v>875</v>
      </c>
      <c r="I646" s="730" t="s">
        <v>674</v>
      </c>
      <c r="K646" s="730" t="s">
        <v>733</v>
      </c>
      <c r="O646" s="733">
        <v>3</v>
      </c>
      <c r="P646" s="734">
        <v>34820</v>
      </c>
      <c r="Q646" s="735">
        <v>3.49</v>
      </c>
      <c r="R646" s="736">
        <f t="shared" ref="R646:R677" si="50">$A646*Q646</f>
        <v>3.49</v>
      </c>
      <c r="S646" s="735">
        <v>0.05</v>
      </c>
      <c r="T646" s="737">
        <f t="shared" ref="T646:T677" si="51">$A646*S646*$T$1</f>
        <v>0.05</v>
      </c>
    </row>
    <row r="647" spans="1:20" s="730" customFormat="1" ht="13.2">
      <c r="A647">
        <v>1</v>
      </c>
      <c r="B647" s="730" t="s">
        <v>141</v>
      </c>
      <c r="D647" s="730" t="s">
        <v>982</v>
      </c>
      <c r="G647" s="731" t="s">
        <v>983</v>
      </c>
      <c r="H647" s="732">
        <v>501</v>
      </c>
      <c r="I647" s="730" t="s">
        <v>674</v>
      </c>
      <c r="K647" s="730" t="s">
        <v>984</v>
      </c>
      <c r="O647" s="733">
        <v>1</v>
      </c>
      <c r="P647" s="734">
        <v>38136</v>
      </c>
      <c r="Q647" s="735">
        <v>10</v>
      </c>
      <c r="R647" s="736">
        <f t="shared" si="50"/>
        <v>10</v>
      </c>
      <c r="S647" s="735">
        <v>0.25</v>
      </c>
      <c r="T647" s="737">
        <f t="shared" si="51"/>
        <v>0.25</v>
      </c>
    </row>
    <row r="648" spans="1:20" s="730" customFormat="1" ht="13.2">
      <c r="A648"/>
      <c r="D648" s="864" t="s">
        <v>1042</v>
      </c>
      <c r="G648" s="731"/>
      <c r="H648" s="732"/>
      <c r="O648" s="733"/>
      <c r="P648" s="734"/>
      <c r="Q648" s="735"/>
      <c r="R648" s="736">
        <f t="shared" si="50"/>
        <v>0</v>
      </c>
      <c r="S648" s="735"/>
      <c r="T648" s="737">
        <f t="shared" si="51"/>
        <v>0</v>
      </c>
    </row>
    <row r="649" spans="1:20" s="730" customFormat="1" ht="13.2">
      <c r="A649">
        <v>16</v>
      </c>
      <c r="B649" s="730" t="s">
        <v>326</v>
      </c>
      <c r="D649" s="730" t="s">
        <v>1004</v>
      </c>
      <c r="F649" s="730" t="s">
        <v>1240</v>
      </c>
      <c r="G649" s="731" t="s">
        <v>1000</v>
      </c>
      <c r="H649" s="732">
        <v>616</v>
      </c>
      <c r="I649" s="730" t="s">
        <v>561</v>
      </c>
      <c r="J649" s="730" t="s">
        <v>991</v>
      </c>
      <c r="O649" s="733">
        <v>2</v>
      </c>
      <c r="P649" s="734">
        <v>40767</v>
      </c>
      <c r="Q649" s="735">
        <v>2.2000000000000002</v>
      </c>
      <c r="R649" s="736">
        <f t="shared" si="50"/>
        <v>35.200000000000003</v>
      </c>
      <c r="S649" s="735">
        <v>0.06</v>
      </c>
      <c r="T649" s="737">
        <f t="shared" si="51"/>
        <v>0.96</v>
      </c>
    </row>
    <row r="650" spans="1:20" s="730" customFormat="1" ht="13.2">
      <c r="A650" s="167">
        <v>16</v>
      </c>
      <c r="B650" s="730" t="s">
        <v>141</v>
      </c>
      <c r="D650" s="730" t="s">
        <v>815</v>
      </c>
      <c r="G650" s="731" t="s">
        <v>816</v>
      </c>
      <c r="H650" s="732">
        <v>875</v>
      </c>
      <c r="I650" s="730" t="s">
        <v>674</v>
      </c>
      <c r="K650" s="730" t="s">
        <v>817</v>
      </c>
      <c r="O650" s="733">
        <v>1</v>
      </c>
      <c r="P650" s="734">
        <v>34669</v>
      </c>
      <c r="Q650" s="735">
        <v>0.05</v>
      </c>
      <c r="R650" s="736">
        <f t="shared" si="50"/>
        <v>0.8</v>
      </c>
      <c r="S650" s="735"/>
      <c r="T650" s="737">
        <f t="shared" si="51"/>
        <v>0</v>
      </c>
    </row>
    <row r="651" spans="1:20" s="730" customFormat="1" ht="13.2">
      <c r="A651">
        <v>2</v>
      </c>
      <c r="B651" s="730" t="s">
        <v>141</v>
      </c>
      <c r="D651" s="730" t="s">
        <v>992</v>
      </c>
      <c r="G651" s="731" t="s">
        <v>993</v>
      </c>
      <c r="H651" s="732">
        <v>620</v>
      </c>
      <c r="I651" s="730" t="s">
        <v>741</v>
      </c>
      <c r="O651" s="733">
        <v>2</v>
      </c>
      <c r="P651" s="734">
        <v>35431</v>
      </c>
      <c r="Q651" s="735">
        <v>3.8</v>
      </c>
      <c r="R651" s="736">
        <f t="shared" si="50"/>
        <v>7.6</v>
      </c>
      <c r="S651" s="735">
        <v>0.3</v>
      </c>
      <c r="T651" s="737">
        <f t="shared" si="51"/>
        <v>0.6</v>
      </c>
    </row>
    <row r="652" spans="1:20" s="730" customFormat="1" ht="13.2">
      <c r="A652">
        <v>1</v>
      </c>
      <c r="B652" s="730" t="s">
        <v>141</v>
      </c>
      <c r="D652" s="730" t="s">
        <v>994</v>
      </c>
      <c r="G652" s="731" t="s">
        <v>995</v>
      </c>
      <c r="H652" s="732">
        <v>510</v>
      </c>
      <c r="I652" s="730" t="s">
        <v>979</v>
      </c>
      <c r="J652" s="730" t="s">
        <v>996</v>
      </c>
      <c r="K652" s="730" t="s">
        <v>997</v>
      </c>
      <c r="O652" s="733">
        <v>2</v>
      </c>
      <c r="P652" s="734">
        <v>36880</v>
      </c>
      <c r="Q652" s="735">
        <v>20</v>
      </c>
      <c r="R652" s="736">
        <f t="shared" si="50"/>
        <v>20</v>
      </c>
      <c r="S652" s="735">
        <v>0.5</v>
      </c>
      <c r="T652" s="737">
        <f t="shared" si="51"/>
        <v>0.5</v>
      </c>
    </row>
    <row r="653" spans="1:20" s="730" customFormat="1" ht="13.2">
      <c r="A653">
        <v>1</v>
      </c>
      <c r="B653" s="730" t="s">
        <v>141</v>
      </c>
      <c r="D653" s="730" t="s">
        <v>731</v>
      </c>
      <c r="G653" s="731" t="s">
        <v>732</v>
      </c>
      <c r="H653" s="732">
        <v>875</v>
      </c>
      <c r="I653" s="730" t="s">
        <v>674</v>
      </c>
      <c r="K653" s="730" t="s">
        <v>733</v>
      </c>
      <c r="O653" s="733">
        <v>3</v>
      </c>
      <c r="P653" s="734">
        <v>34820</v>
      </c>
      <c r="Q653" s="735">
        <v>3.49</v>
      </c>
      <c r="R653" s="736">
        <f t="shared" si="50"/>
        <v>3.49</v>
      </c>
      <c r="S653" s="735">
        <v>0.05</v>
      </c>
      <c r="T653" s="737">
        <f t="shared" si="51"/>
        <v>0.05</v>
      </c>
    </row>
    <row r="654" spans="1:20" s="730" customFormat="1" ht="13.2">
      <c r="A654">
        <v>1</v>
      </c>
      <c r="B654" s="730" t="s">
        <v>141</v>
      </c>
      <c r="D654" s="730" t="s">
        <v>982</v>
      </c>
      <c r="G654" s="731" t="s">
        <v>983</v>
      </c>
      <c r="H654" s="732">
        <v>501</v>
      </c>
      <c r="I654" s="730" t="s">
        <v>674</v>
      </c>
      <c r="K654" s="730" t="s">
        <v>984</v>
      </c>
      <c r="O654" s="733">
        <v>1</v>
      </c>
      <c r="P654" s="734">
        <v>38136</v>
      </c>
      <c r="Q654" s="735">
        <v>10</v>
      </c>
      <c r="R654" s="736">
        <f t="shared" si="50"/>
        <v>10</v>
      </c>
      <c r="S654" s="735">
        <v>0.25</v>
      </c>
      <c r="T654" s="737">
        <f t="shared" si="51"/>
        <v>0.25</v>
      </c>
    </row>
    <row r="655" spans="1:20" s="602" customFormat="1" ht="12">
      <c r="A655" s="63"/>
      <c r="B655" s="663"/>
      <c r="C655" s="663"/>
      <c r="D655" s="864" t="s">
        <v>1357</v>
      </c>
      <c r="E655" s="663"/>
      <c r="F655" s="664"/>
      <c r="G655" s="663"/>
      <c r="H655" s="663"/>
      <c r="I655" s="601"/>
      <c r="J655" s="663"/>
      <c r="K655" s="663"/>
      <c r="L655" s="663"/>
      <c r="M655" s="663"/>
      <c r="N655" s="663"/>
      <c r="O655" s="663"/>
      <c r="P655" s="663"/>
      <c r="Q655" s="601"/>
      <c r="R655" s="666">
        <f t="shared" si="50"/>
        <v>0</v>
      </c>
      <c r="S655" s="601"/>
      <c r="T655" s="681">
        <f t="shared" si="51"/>
        <v>0</v>
      </c>
    </row>
    <row r="656" spans="1:20" s="730" customFormat="1" ht="13.2">
      <c r="A656">
        <v>50</v>
      </c>
      <c r="B656" s="730" t="s">
        <v>326</v>
      </c>
      <c r="D656" s="730" t="s">
        <v>852</v>
      </c>
      <c r="F656" s="730" t="s">
        <v>1374</v>
      </c>
      <c r="G656" s="731" t="s">
        <v>846</v>
      </c>
      <c r="H656" s="732">
        <v>616</v>
      </c>
      <c r="I656" s="730" t="s">
        <v>561</v>
      </c>
      <c r="J656" s="730" t="s">
        <v>847</v>
      </c>
      <c r="O656" s="733">
        <v>2</v>
      </c>
      <c r="P656" s="734">
        <v>40767</v>
      </c>
      <c r="Q656" s="735">
        <v>7.15</v>
      </c>
      <c r="R656" s="736">
        <f t="shared" si="50"/>
        <v>357.5</v>
      </c>
      <c r="S656" s="735">
        <v>0.09</v>
      </c>
      <c r="T656" s="737">
        <f t="shared" si="51"/>
        <v>4.5</v>
      </c>
    </row>
    <row r="657" spans="1:20" s="730" customFormat="1" ht="13.2">
      <c r="A657" s="167">
        <v>50</v>
      </c>
      <c r="B657" s="730" t="s">
        <v>141</v>
      </c>
      <c r="D657" s="730" t="s">
        <v>815</v>
      </c>
      <c r="G657" s="731" t="s">
        <v>816</v>
      </c>
      <c r="H657" s="732">
        <v>875</v>
      </c>
      <c r="I657" s="730" t="s">
        <v>674</v>
      </c>
      <c r="K657" s="730" t="s">
        <v>817</v>
      </c>
      <c r="O657" s="733">
        <v>1</v>
      </c>
      <c r="P657" s="734">
        <v>34669</v>
      </c>
      <c r="Q657" s="735">
        <v>0.05</v>
      </c>
      <c r="R657" s="736">
        <f t="shared" si="50"/>
        <v>2.5</v>
      </c>
      <c r="S657" s="735"/>
      <c r="T657" s="737">
        <f t="shared" si="51"/>
        <v>0</v>
      </c>
    </row>
    <row r="658" spans="1:20" s="730" customFormat="1" ht="13.2">
      <c r="A658">
        <v>2</v>
      </c>
      <c r="B658" s="730" t="s">
        <v>141</v>
      </c>
      <c r="D658" s="730" t="s">
        <v>848</v>
      </c>
      <c r="G658" s="731" t="s">
        <v>849</v>
      </c>
      <c r="H658" s="732">
        <v>620</v>
      </c>
      <c r="I658" s="730" t="s">
        <v>741</v>
      </c>
      <c r="O658" s="733">
        <v>2</v>
      </c>
      <c r="P658" s="734">
        <v>35431</v>
      </c>
      <c r="Q658" s="735">
        <v>7.66</v>
      </c>
      <c r="R658" s="736">
        <f t="shared" si="50"/>
        <v>15.32</v>
      </c>
      <c r="S658" s="735">
        <v>0.4</v>
      </c>
      <c r="T658" s="737">
        <f t="shared" si="51"/>
        <v>0.8</v>
      </c>
    </row>
    <row r="659" spans="1:20" s="730" customFormat="1" ht="13.2">
      <c r="A659">
        <v>2</v>
      </c>
      <c r="B659" s="730" t="s">
        <v>326</v>
      </c>
      <c r="D659" s="730" t="s">
        <v>703</v>
      </c>
      <c r="G659" s="731" t="s">
        <v>704</v>
      </c>
      <c r="H659" s="732">
        <v>620</v>
      </c>
      <c r="I659" s="730" t="s">
        <v>674</v>
      </c>
      <c r="O659" s="733">
        <v>2</v>
      </c>
      <c r="P659" s="734">
        <v>38148</v>
      </c>
      <c r="Q659" s="735">
        <v>1.5</v>
      </c>
      <c r="R659" s="736">
        <f t="shared" si="50"/>
        <v>3</v>
      </c>
      <c r="S659" s="735">
        <v>0.08</v>
      </c>
      <c r="T659" s="737">
        <f t="shared" si="51"/>
        <v>0.16</v>
      </c>
    </row>
    <row r="660" spans="1:20" s="730" customFormat="1" ht="13.2">
      <c r="A660">
        <v>10</v>
      </c>
      <c r="B660" s="730" t="s">
        <v>141</v>
      </c>
      <c r="D660" s="730" t="s">
        <v>850</v>
      </c>
      <c r="G660" s="731" t="s">
        <v>851</v>
      </c>
      <c r="H660" s="732">
        <v>620</v>
      </c>
      <c r="I660" s="730" t="s">
        <v>702</v>
      </c>
      <c r="O660" s="733">
        <v>2</v>
      </c>
      <c r="P660" s="734">
        <v>34669</v>
      </c>
      <c r="Q660" s="823">
        <v>0.25</v>
      </c>
      <c r="R660" s="736">
        <f t="shared" si="50"/>
        <v>2.5</v>
      </c>
      <c r="S660" s="735">
        <v>0.06</v>
      </c>
      <c r="T660" s="737">
        <f t="shared" si="51"/>
        <v>0.6</v>
      </c>
    </row>
    <row r="661" spans="1:20" s="730" customFormat="1" ht="13.2">
      <c r="A661">
        <v>1</v>
      </c>
      <c r="B661" s="730" t="s">
        <v>141</v>
      </c>
      <c r="D661" s="730" t="s">
        <v>977</v>
      </c>
      <c r="G661" s="731" t="s">
        <v>978</v>
      </c>
      <c r="H661" s="732">
        <v>510</v>
      </c>
      <c r="I661" s="730" t="s">
        <v>979</v>
      </c>
      <c r="J661" s="730" t="s">
        <v>980</v>
      </c>
      <c r="K661" s="730" t="s">
        <v>981</v>
      </c>
      <c r="O661" s="733">
        <v>2</v>
      </c>
      <c r="P661" s="734">
        <v>36880</v>
      </c>
      <c r="Q661" s="735">
        <v>63.82</v>
      </c>
      <c r="R661" s="736">
        <f t="shared" si="50"/>
        <v>63.82</v>
      </c>
      <c r="S661" s="735">
        <v>1</v>
      </c>
      <c r="T661" s="737">
        <f t="shared" si="51"/>
        <v>1</v>
      </c>
    </row>
    <row r="662" spans="1:20" s="730" customFormat="1" ht="13.2">
      <c r="A662">
        <v>1</v>
      </c>
      <c r="B662" s="730" t="s">
        <v>141</v>
      </c>
      <c r="D662" s="730" t="s">
        <v>731</v>
      </c>
      <c r="G662" s="731" t="s">
        <v>732</v>
      </c>
      <c r="H662" s="732">
        <v>875</v>
      </c>
      <c r="I662" s="730" t="s">
        <v>674</v>
      </c>
      <c r="K662" s="730" t="s">
        <v>733</v>
      </c>
      <c r="O662" s="733">
        <v>3</v>
      </c>
      <c r="P662" s="734">
        <v>34820</v>
      </c>
      <c r="Q662" s="735">
        <v>3.49</v>
      </c>
      <c r="R662" s="736">
        <f t="shared" si="50"/>
        <v>3.49</v>
      </c>
      <c r="S662" s="735">
        <v>0.05</v>
      </c>
      <c r="T662" s="737">
        <f t="shared" si="51"/>
        <v>0.05</v>
      </c>
    </row>
    <row r="663" spans="1:20" s="730" customFormat="1" ht="13.2">
      <c r="A663">
        <v>1</v>
      </c>
      <c r="B663" s="730" t="s">
        <v>141</v>
      </c>
      <c r="D663" s="730" t="s">
        <v>982</v>
      </c>
      <c r="G663" s="731" t="s">
        <v>983</v>
      </c>
      <c r="H663" s="732">
        <v>501</v>
      </c>
      <c r="I663" s="730" t="s">
        <v>674</v>
      </c>
      <c r="K663" s="730" t="s">
        <v>984</v>
      </c>
      <c r="O663" s="733">
        <v>1</v>
      </c>
      <c r="P663" s="734">
        <v>38136</v>
      </c>
      <c r="Q663" s="735">
        <v>10</v>
      </c>
      <c r="R663" s="736">
        <f t="shared" si="50"/>
        <v>10</v>
      </c>
      <c r="S663" s="735">
        <v>0.25</v>
      </c>
      <c r="T663" s="737">
        <f t="shared" si="51"/>
        <v>0.25</v>
      </c>
    </row>
    <row r="664" spans="1:20" s="602" customFormat="1" ht="12">
      <c r="A664" s="63"/>
      <c r="B664" s="663"/>
      <c r="C664" s="663"/>
      <c r="D664" s="864" t="s">
        <v>1361</v>
      </c>
      <c r="E664" s="663"/>
      <c r="F664" s="664"/>
      <c r="G664" s="663"/>
      <c r="H664" s="663"/>
      <c r="I664" s="601"/>
      <c r="J664" s="663"/>
      <c r="K664" s="663"/>
      <c r="L664" s="663"/>
      <c r="M664" s="663"/>
      <c r="N664" s="663"/>
      <c r="O664" s="663"/>
      <c r="P664" s="663"/>
      <c r="Q664" s="601"/>
      <c r="R664" s="666">
        <f t="shared" si="50"/>
        <v>0</v>
      </c>
      <c r="S664" s="601"/>
      <c r="T664" s="681">
        <f t="shared" si="51"/>
        <v>0</v>
      </c>
    </row>
    <row r="665" spans="1:20" s="730" customFormat="1" ht="13.2">
      <c r="A665">
        <v>15</v>
      </c>
      <c r="B665" s="730" t="s">
        <v>326</v>
      </c>
      <c r="D665" s="730" t="s">
        <v>1442</v>
      </c>
      <c r="G665" s="731" t="s">
        <v>1367</v>
      </c>
      <c r="H665" s="732">
        <v>616</v>
      </c>
      <c r="I665" s="730" t="s">
        <v>561</v>
      </c>
      <c r="J665" s="730" t="s">
        <v>1368</v>
      </c>
      <c r="O665" s="733">
        <v>2</v>
      </c>
      <c r="P665" s="734">
        <v>40767</v>
      </c>
      <c r="Q665" s="735">
        <v>5.5</v>
      </c>
      <c r="R665" s="736">
        <f t="shared" si="50"/>
        <v>82.5</v>
      </c>
      <c r="S665" s="735">
        <v>0.08</v>
      </c>
      <c r="T665" s="737">
        <f t="shared" si="51"/>
        <v>1.2</v>
      </c>
    </row>
    <row r="666" spans="1:20" s="730" customFormat="1" ht="13.2">
      <c r="A666" s="167">
        <v>15</v>
      </c>
      <c r="B666" s="730" t="s">
        <v>141</v>
      </c>
      <c r="D666" s="730" t="s">
        <v>815</v>
      </c>
      <c r="G666" s="731" t="s">
        <v>816</v>
      </c>
      <c r="H666" s="732">
        <v>875</v>
      </c>
      <c r="I666" s="730" t="s">
        <v>674</v>
      </c>
      <c r="K666" s="730" t="s">
        <v>817</v>
      </c>
      <c r="O666" s="733">
        <v>1</v>
      </c>
      <c r="P666" s="734">
        <v>34669</v>
      </c>
      <c r="Q666" s="735">
        <v>0.05</v>
      </c>
      <c r="R666" s="736">
        <f t="shared" si="50"/>
        <v>0.75</v>
      </c>
      <c r="S666" s="735"/>
      <c r="T666" s="737">
        <f t="shared" si="51"/>
        <v>0</v>
      </c>
    </row>
    <row r="667" spans="1:20" s="730" customFormat="1" ht="13.2">
      <c r="A667">
        <v>2</v>
      </c>
      <c r="B667" s="730" t="s">
        <v>141</v>
      </c>
      <c r="D667" s="730" t="s">
        <v>739</v>
      </c>
      <c r="G667" s="731" t="s">
        <v>740</v>
      </c>
      <c r="H667" s="732">
        <v>620</v>
      </c>
      <c r="I667" s="730" t="s">
        <v>741</v>
      </c>
      <c r="O667" s="733">
        <v>2</v>
      </c>
      <c r="P667" s="734">
        <v>35431</v>
      </c>
      <c r="Q667" s="823">
        <v>4.71</v>
      </c>
      <c r="R667" s="736">
        <f t="shared" si="50"/>
        <v>9.42</v>
      </c>
      <c r="S667" s="735">
        <v>0.35000000000000003</v>
      </c>
      <c r="T667" s="737">
        <f t="shared" si="51"/>
        <v>0.70000000000000007</v>
      </c>
    </row>
    <row r="668" spans="1:20" s="730" customFormat="1" ht="13.2">
      <c r="A668">
        <v>2</v>
      </c>
      <c r="B668" s="730" t="s">
        <v>326</v>
      </c>
      <c r="D668" s="730" t="s">
        <v>703</v>
      </c>
      <c r="G668" s="731" t="s">
        <v>704</v>
      </c>
      <c r="H668" s="732">
        <v>620</v>
      </c>
      <c r="I668" s="730" t="s">
        <v>674</v>
      </c>
      <c r="O668" s="733">
        <v>2</v>
      </c>
      <c r="P668" s="734">
        <v>38148</v>
      </c>
      <c r="Q668" s="735">
        <v>1.5</v>
      </c>
      <c r="R668" s="736">
        <f t="shared" si="50"/>
        <v>3</v>
      </c>
      <c r="S668" s="735">
        <v>0.08</v>
      </c>
      <c r="T668" s="737">
        <f t="shared" si="51"/>
        <v>0.16</v>
      </c>
    </row>
    <row r="669" spans="1:20" s="730" customFormat="1" ht="13.2">
      <c r="A669">
        <v>10</v>
      </c>
      <c r="B669" s="730" t="s">
        <v>141</v>
      </c>
      <c r="D669" s="730" t="s">
        <v>975</v>
      </c>
      <c r="G669" s="731" t="s">
        <v>976</v>
      </c>
      <c r="H669" s="732">
        <v>620</v>
      </c>
      <c r="I669" s="730" t="s">
        <v>702</v>
      </c>
      <c r="O669" s="733">
        <v>2</v>
      </c>
      <c r="P669" s="734">
        <v>34669</v>
      </c>
      <c r="Q669" s="735">
        <v>0.14000000000000001</v>
      </c>
      <c r="R669" s="736">
        <f t="shared" si="50"/>
        <v>1.4000000000000001</v>
      </c>
      <c r="S669" s="735">
        <v>0.06</v>
      </c>
      <c r="T669" s="737">
        <f t="shared" si="51"/>
        <v>0.6</v>
      </c>
    </row>
    <row r="670" spans="1:20" s="730" customFormat="1" ht="13.2">
      <c r="A670">
        <v>1</v>
      </c>
      <c r="B670" s="730" t="s">
        <v>141</v>
      </c>
      <c r="D670" s="730" t="s">
        <v>1358</v>
      </c>
      <c r="G670" s="731" t="s">
        <v>1359</v>
      </c>
      <c r="H670" s="732">
        <v>510</v>
      </c>
      <c r="I670" s="730" t="s">
        <v>979</v>
      </c>
      <c r="J670" s="730" t="s">
        <v>1360</v>
      </c>
      <c r="K670" s="730" t="s">
        <v>981</v>
      </c>
      <c r="O670" s="733">
        <v>2</v>
      </c>
      <c r="P670" s="734">
        <v>36880</v>
      </c>
      <c r="Q670" s="735">
        <v>35</v>
      </c>
      <c r="R670" s="736">
        <f t="shared" si="50"/>
        <v>35</v>
      </c>
      <c r="S670" s="735">
        <v>0.75</v>
      </c>
      <c r="T670" s="737">
        <f t="shared" si="51"/>
        <v>0.75</v>
      </c>
    </row>
    <row r="671" spans="1:20" s="730" customFormat="1" ht="13.2">
      <c r="A671">
        <v>1</v>
      </c>
      <c r="B671" s="730" t="s">
        <v>141</v>
      </c>
      <c r="D671" s="730" t="s">
        <v>731</v>
      </c>
      <c r="G671" s="731" t="s">
        <v>732</v>
      </c>
      <c r="H671" s="732">
        <v>875</v>
      </c>
      <c r="I671" s="730" t="s">
        <v>674</v>
      </c>
      <c r="K671" s="730" t="s">
        <v>733</v>
      </c>
      <c r="O671" s="733">
        <v>3</v>
      </c>
      <c r="P671" s="734">
        <v>34820</v>
      </c>
      <c r="Q671" s="735">
        <v>3.49</v>
      </c>
      <c r="R671" s="736">
        <f t="shared" si="50"/>
        <v>3.49</v>
      </c>
      <c r="S671" s="735">
        <v>0.05</v>
      </c>
      <c r="T671" s="737">
        <f t="shared" si="51"/>
        <v>0.05</v>
      </c>
    </row>
    <row r="672" spans="1:20" s="730" customFormat="1" ht="13.2">
      <c r="A672">
        <v>1</v>
      </c>
      <c r="B672" s="730" t="s">
        <v>141</v>
      </c>
      <c r="D672" s="730" t="s">
        <v>982</v>
      </c>
      <c r="G672" s="731" t="s">
        <v>983</v>
      </c>
      <c r="H672" s="732">
        <v>501</v>
      </c>
      <c r="I672" s="730" t="s">
        <v>674</v>
      </c>
      <c r="K672" s="730" t="s">
        <v>984</v>
      </c>
      <c r="O672" s="733">
        <v>1</v>
      </c>
      <c r="P672" s="734">
        <v>38136</v>
      </c>
      <c r="Q672" s="735">
        <v>10</v>
      </c>
      <c r="R672" s="736">
        <f t="shared" si="50"/>
        <v>10</v>
      </c>
      <c r="S672" s="735">
        <v>0.25</v>
      </c>
      <c r="T672" s="737">
        <f t="shared" si="51"/>
        <v>0.25</v>
      </c>
    </row>
    <row r="673" spans="1:20" s="602" customFormat="1" ht="12">
      <c r="A673" s="63"/>
      <c r="B673" s="663"/>
      <c r="C673" s="663"/>
      <c r="D673" s="864" t="s">
        <v>1362</v>
      </c>
      <c r="E673" s="663"/>
      <c r="F673" s="664"/>
      <c r="G673" s="663"/>
      <c r="H673" s="663"/>
      <c r="I673" s="601"/>
      <c r="J673" s="663"/>
      <c r="K673" s="663"/>
      <c r="L673" s="663"/>
      <c r="M673" s="663"/>
      <c r="N673" s="663"/>
      <c r="O673" s="663"/>
      <c r="P673" s="663"/>
      <c r="Q673" s="601"/>
      <c r="R673" s="666">
        <f t="shared" si="50"/>
        <v>0</v>
      </c>
      <c r="S673" s="601"/>
      <c r="T673" s="681">
        <f t="shared" si="51"/>
        <v>0</v>
      </c>
    </row>
    <row r="674" spans="1:20" s="730" customFormat="1" ht="13.2">
      <c r="A674">
        <v>16</v>
      </c>
      <c r="B674" s="730" t="s">
        <v>326</v>
      </c>
      <c r="D674" s="730" t="s">
        <v>1442</v>
      </c>
      <c r="G674" s="731" t="s">
        <v>1367</v>
      </c>
      <c r="H674" s="732">
        <v>616</v>
      </c>
      <c r="I674" s="730" t="s">
        <v>561</v>
      </c>
      <c r="J674" s="730" t="s">
        <v>1368</v>
      </c>
      <c r="O674" s="733">
        <v>2</v>
      </c>
      <c r="P674" s="734">
        <v>40767</v>
      </c>
      <c r="Q674" s="735">
        <v>5.5</v>
      </c>
      <c r="R674" s="736">
        <f t="shared" si="50"/>
        <v>88</v>
      </c>
      <c r="S674" s="735">
        <v>0.08</v>
      </c>
      <c r="T674" s="737">
        <f t="shared" si="51"/>
        <v>1.28</v>
      </c>
    </row>
    <row r="675" spans="1:20" s="730" customFormat="1" ht="13.2">
      <c r="A675" s="167">
        <v>16</v>
      </c>
      <c r="B675" s="730" t="s">
        <v>141</v>
      </c>
      <c r="D675" s="730" t="s">
        <v>815</v>
      </c>
      <c r="G675" s="731" t="s">
        <v>816</v>
      </c>
      <c r="H675" s="732">
        <v>875</v>
      </c>
      <c r="I675" s="730" t="s">
        <v>674</v>
      </c>
      <c r="K675" s="730" t="s">
        <v>817</v>
      </c>
      <c r="O675" s="733">
        <v>1</v>
      </c>
      <c r="P675" s="734">
        <v>34669</v>
      </c>
      <c r="Q675" s="735">
        <v>0.05</v>
      </c>
      <c r="R675" s="736">
        <f t="shared" si="50"/>
        <v>0.8</v>
      </c>
      <c r="S675" s="735"/>
      <c r="T675" s="737">
        <f t="shared" si="51"/>
        <v>0</v>
      </c>
    </row>
    <row r="676" spans="1:20" s="730" customFormat="1" ht="13.2">
      <c r="A676">
        <v>2</v>
      </c>
      <c r="B676" s="730" t="s">
        <v>141</v>
      </c>
      <c r="D676" s="730" t="s">
        <v>739</v>
      </c>
      <c r="G676" s="731" t="s">
        <v>740</v>
      </c>
      <c r="H676" s="732">
        <v>620</v>
      </c>
      <c r="I676" s="730" t="s">
        <v>741</v>
      </c>
      <c r="O676" s="733">
        <v>2</v>
      </c>
      <c r="P676" s="734">
        <v>35431</v>
      </c>
      <c r="Q676" s="823">
        <v>4.71</v>
      </c>
      <c r="R676" s="736">
        <f t="shared" si="50"/>
        <v>9.42</v>
      </c>
      <c r="S676" s="735">
        <v>0.35000000000000003</v>
      </c>
      <c r="T676" s="737">
        <f t="shared" si="51"/>
        <v>0.70000000000000007</v>
      </c>
    </row>
    <row r="677" spans="1:20" s="730" customFormat="1" ht="13.2">
      <c r="A677">
        <v>2</v>
      </c>
      <c r="B677" s="730" t="s">
        <v>326</v>
      </c>
      <c r="D677" s="730" t="s">
        <v>703</v>
      </c>
      <c r="G677" s="731" t="s">
        <v>704</v>
      </c>
      <c r="H677" s="732">
        <v>620</v>
      </c>
      <c r="I677" s="730" t="s">
        <v>674</v>
      </c>
      <c r="O677" s="733">
        <v>2</v>
      </c>
      <c r="P677" s="734">
        <v>38148</v>
      </c>
      <c r="Q677" s="735">
        <v>1.5</v>
      </c>
      <c r="R677" s="736">
        <f t="shared" si="50"/>
        <v>3</v>
      </c>
      <c r="S677" s="735">
        <v>0.08</v>
      </c>
      <c r="T677" s="737">
        <f t="shared" si="51"/>
        <v>0.16</v>
      </c>
    </row>
    <row r="678" spans="1:20" s="730" customFormat="1" ht="13.2">
      <c r="A678">
        <v>10</v>
      </c>
      <c r="B678" s="730" t="s">
        <v>141</v>
      </c>
      <c r="D678" s="730" t="s">
        <v>975</v>
      </c>
      <c r="G678" s="731" t="s">
        <v>976</v>
      </c>
      <c r="H678" s="732">
        <v>620</v>
      </c>
      <c r="I678" s="730" t="s">
        <v>702</v>
      </c>
      <c r="O678" s="733">
        <v>2</v>
      </c>
      <c r="P678" s="734">
        <v>34669</v>
      </c>
      <c r="Q678" s="735">
        <v>0.14000000000000001</v>
      </c>
      <c r="R678" s="736">
        <f t="shared" ref="R678:R709" si="52">$A678*Q678</f>
        <v>1.4000000000000001</v>
      </c>
      <c r="S678" s="735">
        <v>0.06</v>
      </c>
      <c r="T678" s="737">
        <f t="shared" ref="T678:T709" si="53">$A678*S678*$T$1</f>
        <v>0.6</v>
      </c>
    </row>
    <row r="679" spans="1:20" s="730" customFormat="1" ht="13.2">
      <c r="A679">
        <v>1</v>
      </c>
      <c r="B679" s="730" t="s">
        <v>141</v>
      </c>
      <c r="D679" s="730" t="s">
        <v>1358</v>
      </c>
      <c r="G679" s="731" t="s">
        <v>1359</v>
      </c>
      <c r="H679" s="732">
        <v>510</v>
      </c>
      <c r="I679" s="730" t="s">
        <v>979</v>
      </c>
      <c r="J679" s="730" t="s">
        <v>1360</v>
      </c>
      <c r="K679" s="730" t="s">
        <v>981</v>
      </c>
      <c r="O679" s="733">
        <v>2</v>
      </c>
      <c r="P679" s="734">
        <v>36880</v>
      </c>
      <c r="Q679" s="735">
        <v>35</v>
      </c>
      <c r="R679" s="736">
        <f t="shared" si="52"/>
        <v>35</v>
      </c>
      <c r="S679" s="735">
        <v>0.75</v>
      </c>
      <c r="T679" s="737">
        <f t="shared" si="53"/>
        <v>0.75</v>
      </c>
    </row>
    <row r="680" spans="1:20" s="730" customFormat="1" ht="13.2">
      <c r="A680">
        <v>1</v>
      </c>
      <c r="B680" s="730" t="s">
        <v>141</v>
      </c>
      <c r="D680" s="730" t="s">
        <v>731</v>
      </c>
      <c r="G680" s="731" t="s">
        <v>732</v>
      </c>
      <c r="H680" s="732">
        <v>875</v>
      </c>
      <c r="I680" s="730" t="s">
        <v>674</v>
      </c>
      <c r="K680" s="730" t="s">
        <v>733</v>
      </c>
      <c r="O680" s="733">
        <v>3</v>
      </c>
      <c r="P680" s="734">
        <v>34820</v>
      </c>
      <c r="Q680" s="735">
        <v>3.49</v>
      </c>
      <c r="R680" s="736">
        <f t="shared" si="52"/>
        <v>3.49</v>
      </c>
      <c r="S680" s="735">
        <v>0.05</v>
      </c>
      <c r="T680" s="737">
        <f t="shared" si="53"/>
        <v>0.05</v>
      </c>
    </row>
    <row r="681" spans="1:20" s="730" customFormat="1" ht="13.2">
      <c r="A681">
        <v>1</v>
      </c>
      <c r="B681" s="730" t="s">
        <v>141</v>
      </c>
      <c r="D681" s="730" t="s">
        <v>982</v>
      </c>
      <c r="G681" s="731" t="s">
        <v>983</v>
      </c>
      <c r="H681" s="732">
        <v>501</v>
      </c>
      <c r="I681" s="730" t="s">
        <v>674</v>
      </c>
      <c r="K681" s="730" t="s">
        <v>984</v>
      </c>
      <c r="O681" s="733">
        <v>1</v>
      </c>
      <c r="P681" s="734">
        <v>38136</v>
      </c>
      <c r="Q681" s="735">
        <v>10</v>
      </c>
      <c r="R681" s="736">
        <f t="shared" si="52"/>
        <v>10</v>
      </c>
      <c r="S681" s="735">
        <v>0.25</v>
      </c>
      <c r="T681" s="737">
        <f t="shared" si="53"/>
        <v>0.25</v>
      </c>
    </row>
    <row r="682" spans="1:20" s="602" customFormat="1" ht="12">
      <c r="A682" s="63"/>
      <c r="B682" s="663"/>
      <c r="C682" s="663"/>
      <c r="D682" s="864" t="s">
        <v>1363</v>
      </c>
      <c r="E682" s="663"/>
      <c r="F682" s="664"/>
      <c r="G682" s="663"/>
      <c r="H682" s="663"/>
      <c r="I682" s="601"/>
      <c r="J682" s="663"/>
      <c r="K682" s="663"/>
      <c r="L682" s="663"/>
      <c r="M682" s="663"/>
      <c r="N682" s="663"/>
      <c r="O682" s="663"/>
      <c r="P682" s="663"/>
      <c r="Q682" s="601"/>
      <c r="R682" s="666">
        <f t="shared" si="52"/>
        <v>0</v>
      </c>
      <c r="S682" s="601"/>
      <c r="T682" s="681">
        <f t="shared" si="53"/>
        <v>0</v>
      </c>
    </row>
    <row r="683" spans="1:20" s="730" customFormat="1" ht="13.2">
      <c r="A683">
        <v>17</v>
      </c>
      <c r="B683" s="730" t="s">
        <v>326</v>
      </c>
      <c r="D683" s="730" t="s">
        <v>1442</v>
      </c>
      <c r="G683" s="731" t="s">
        <v>1367</v>
      </c>
      <c r="H683" s="732">
        <v>616</v>
      </c>
      <c r="I683" s="730" t="s">
        <v>561</v>
      </c>
      <c r="J683" s="730" t="s">
        <v>1368</v>
      </c>
      <c r="O683" s="733">
        <v>2</v>
      </c>
      <c r="P683" s="734">
        <v>40767</v>
      </c>
      <c r="Q683" s="735">
        <v>5.5</v>
      </c>
      <c r="R683" s="736">
        <f t="shared" si="52"/>
        <v>93.5</v>
      </c>
      <c r="S683" s="735">
        <v>0.08</v>
      </c>
      <c r="T683" s="737">
        <f t="shared" si="53"/>
        <v>1.36</v>
      </c>
    </row>
    <row r="684" spans="1:20" s="730" customFormat="1" ht="13.2">
      <c r="A684" s="167">
        <v>17</v>
      </c>
      <c r="B684" s="730" t="s">
        <v>141</v>
      </c>
      <c r="D684" s="730" t="s">
        <v>815</v>
      </c>
      <c r="G684" s="731" t="s">
        <v>816</v>
      </c>
      <c r="H684" s="732">
        <v>875</v>
      </c>
      <c r="I684" s="730" t="s">
        <v>674</v>
      </c>
      <c r="K684" s="730" t="s">
        <v>817</v>
      </c>
      <c r="O684" s="733">
        <v>1</v>
      </c>
      <c r="P684" s="734">
        <v>34669</v>
      </c>
      <c r="Q684" s="735">
        <v>0.05</v>
      </c>
      <c r="R684" s="736">
        <f t="shared" si="52"/>
        <v>0.85000000000000009</v>
      </c>
      <c r="S684" s="735"/>
      <c r="T684" s="737">
        <f t="shared" si="53"/>
        <v>0</v>
      </c>
    </row>
    <row r="685" spans="1:20" s="730" customFormat="1" ht="13.2">
      <c r="A685">
        <v>2</v>
      </c>
      <c r="B685" s="730" t="s">
        <v>141</v>
      </c>
      <c r="D685" s="730" t="s">
        <v>739</v>
      </c>
      <c r="G685" s="731" t="s">
        <v>740</v>
      </c>
      <c r="H685" s="732">
        <v>620</v>
      </c>
      <c r="I685" s="730" t="s">
        <v>741</v>
      </c>
      <c r="O685" s="733">
        <v>2</v>
      </c>
      <c r="P685" s="734">
        <v>35431</v>
      </c>
      <c r="Q685" s="823">
        <v>4.71</v>
      </c>
      <c r="R685" s="736">
        <f t="shared" si="52"/>
        <v>9.42</v>
      </c>
      <c r="S685" s="735">
        <v>0.35000000000000003</v>
      </c>
      <c r="T685" s="737">
        <f t="shared" si="53"/>
        <v>0.70000000000000007</v>
      </c>
    </row>
    <row r="686" spans="1:20" s="730" customFormat="1" ht="13.2">
      <c r="A686">
        <v>2</v>
      </c>
      <c r="B686" s="730" t="s">
        <v>326</v>
      </c>
      <c r="D686" s="730" t="s">
        <v>703</v>
      </c>
      <c r="G686" s="731" t="s">
        <v>704</v>
      </c>
      <c r="H686" s="732">
        <v>620</v>
      </c>
      <c r="I686" s="730" t="s">
        <v>674</v>
      </c>
      <c r="O686" s="733">
        <v>2</v>
      </c>
      <c r="P686" s="734">
        <v>38148</v>
      </c>
      <c r="Q686" s="735">
        <v>1.5</v>
      </c>
      <c r="R686" s="736">
        <f t="shared" si="52"/>
        <v>3</v>
      </c>
      <c r="S686" s="735">
        <v>0.08</v>
      </c>
      <c r="T686" s="737">
        <f t="shared" si="53"/>
        <v>0.16</v>
      </c>
    </row>
    <row r="687" spans="1:20" s="730" customFormat="1" ht="13.2">
      <c r="A687">
        <v>10</v>
      </c>
      <c r="B687" s="730" t="s">
        <v>141</v>
      </c>
      <c r="D687" s="730" t="s">
        <v>975</v>
      </c>
      <c r="G687" s="731" t="s">
        <v>976</v>
      </c>
      <c r="H687" s="732">
        <v>620</v>
      </c>
      <c r="I687" s="730" t="s">
        <v>702</v>
      </c>
      <c r="O687" s="733">
        <v>2</v>
      </c>
      <c r="P687" s="734">
        <v>34669</v>
      </c>
      <c r="Q687" s="735">
        <v>0.14000000000000001</v>
      </c>
      <c r="R687" s="736">
        <f t="shared" si="52"/>
        <v>1.4000000000000001</v>
      </c>
      <c r="S687" s="735">
        <v>0.06</v>
      </c>
      <c r="T687" s="737">
        <f t="shared" si="53"/>
        <v>0.6</v>
      </c>
    </row>
    <row r="688" spans="1:20" s="730" customFormat="1" ht="13.2">
      <c r="A688">
        <v>1</v>
      </c>
      <c r="B688" s="730" t="s">
        <v>141</v>
      </c>
      <c r="D688" s="730" t="s">
        <v>1358</v>
      </c>
      <c r="G688" s="731" t="s">
        <v>1359</v>
      </c>
      <c r="H688" s="732">
        <v>510</v>
      </c>
      <c r="I688" s="730" t="s">
        <v>979</v>
      </c>
      <c r="J688" s="730" t="s">
        <v>1360</v>
      </c>
      <c r="K688" s="730" t="s">
        <v>981</v>
      </c>
      <c r="O688" s="733">
        <v>2</v>
      </c>
      <c r="P688" s="734">
        <v>36880</v>
      </c>
      <c r="Q688" s="735">
        <v>35</v>
      </c>
      <c r="R688" s="736">
        <f t="shared" si="52"/>
        <v>35</v>
      </c>
      <c r="S688" s="735">
        <v>0.75</v>
      </c>
      <c r="T688" s="737">
        <f t="shared" si="53"/>
        <v>0.75</v>
      </c>
    </row>
    <row r="689" spans="1:20" s="730" customFormat="1" ht="13.2">
      <c r="A689">
        <v>1</v>
      </c>
      <c r="B689" s="730" t="s">
        <v>141</v>
      </c>
      <c r="D689" s="730" t="s">
        <v>731</v>
      </c>
      <c r="G689" s="731" t="s">
        <v>732</v>
      </c>
      <c r="H689" s="732">
        <v>875</v>
      </c>
      <c r="I689" s="730" t="s">
        <v>674</v>
      </c>
      <c r="K689" s="730" t="s">
        <v>733</v>
      </c>
      <c r="O689" s="733">
        <v>3</v>
      </c>
      <c r="P689" s="734">
        <v>34820</v>
      </c>
      <c r="Q689" s="735">
        <v>3.49</v>
      </c>
      <c r="R689" s="736">
        <f t="shared" si="52"/>
        <v>3.49</v>
      </c>
      <c r="S689" s="735">
        <v>0.05</v>
      </c>
      <c r="T689" s="737">
        <f t="shared" si="53"/>
        <v>0.05</v>
      </c>
    </row>
    <row r="690" spans="1:20" s="730" customFormat="1" ht="13.2">
      <c r="A690">
        <v>1</v>
      </c>
      <c r="B690" s="730" t="s">
        <v>141</v>
      </c>
      <c r="D690" s="730" t="s">
        <v>982</v>
      </c>
      <c r="G690" s="731" t="s">
        <v>983</v>
      </c>
      <c r="H690" s="732">
        <v>501</v>
      </c>
      <c r="I690" s="730" t="s">
        <v>674</v>
      </c>
      <c r="K690" s="730" t="s">
        <v>984</v>
      </c>
      <c r="O690" s="733">
        <v>1</v>
      </c>
      <c r="P690" s="734">
        <v>38136</v>
      </c>
      <c r="Q690" s="735">
        <v>10</v>
      </c>
      <c r="R690" s="736">
        <f t="shared" si="52"/>
        <v>10</v>
      </c>
      <c r="S690" s="735">
        <v>0.25</v>
      </c>
      <c r="T690" s="737">
        <f t="shared" si="53"/>
        <v>0.25</v>
      </c>
    </row>
    <row r="691" spans="1:20" s="602" customFormat="1" ht="12">
      <c r="A691" s="63"/>
      <c r="B691" s="663"/>
      <c r="C691" s="663"/>
      <c r="D691" s="864" t="s">
        <v>1364</v>
      </c>
      <c r="E691" s="663"/>
      <c r="F691" s="664"/>
      <c r="G691" s="663"/>
      <c r="H691" s="663"/>
      <c r="I691" s="601"/>
      <c r="J691" s="663"/>
      <c r="K691" s="663"/>
      <c r="L691" s="663"/>
      <c r="M691" s="663"/>
      <c r="N691" s="663"/>
      <c r="O691" s="663"/>
      <c r="P691" s="663"/>
      <c r="Q691" s="601"/>
      <c r="R691" s="666">
        <f t="shared" si="52"/>
        <v>0</v>
      </c>
      <c r="S691" s="601"/>
      <c r="T691" s="681">
        <f t="shared" si="53"/>
        <v>0</v>
      </c>
    </row>
    <row r="692" spans="1:20" s="730" customFormat="1" ht="13.2">
      <c r="A692">
        <v>16</v>
      </c>
      <c r="B692" s="730" t="s">
        <v>326</v>
      </c>
      <c r="D692" s="730" t="s">
        <v>1442</v>
      </c>
      <c r="G692" s="731" t="s">
        <v>1367</v>
      </c>
      <c r="H692" s="732">
        <v>616</v>
      </c>
      <c r="I692" s="730" t="s">
        <v>561</v>
      </c>
      <c r="J692" s="730" t="s">
        <v>1368</v>
      </c>
      <c r="O692" s="733">
        <v>2</v>
      </c>
      <c r="P692" s="734">
        <v>40767</v>
      </c>
      <c r="Q692" s="735">
        <v>5.5</v>
      </c>
      <c r="R692" s="736">
        <f t="shared" si="52"/>
        <v>88</v>
      </c>
      <c r="S692" s="735">
        <v>0.08</v>
      </c>
      <c r="T692" s="737">
        <f t="shared" si="53"/>
        <v>1.28</v>
      </c>
    </row>
    <row r="693" spans="1:20" s="730" customFormat="1" ht="13.2">
      <c r="A693" s="167">
        <v>16</v>
      </c>
      <c r="B693" s="730" t="s">
        <v>141</v>
      </c>
      <c r="D693" s="730" t="s">
        <v>815</v>
      </c>
      <c r="G693" s="731" t="s">
        <v>816</v>
      </c>
      <c r="H693" s="732">
        <v>875</v>
      </c>
      <c r="I693" s="730" t="s">
        <v>674</v>
      </c>
      <c r="K693" s="730" t="s">
        <v>817</v>
      </c>
      <c r="O693" s="733">
        <v>1</v>
      </c>
      <c r="P693" s="734">
        <v>34669</v>
      </c>
      <c r="Q693" s="735">
        <v>0.05</v>
      </c>
      <c r="R693" s="736">
        <f t="shared" si="52"/>
        <v>0.8</v>
      </c>
      <c r="S693" s="735"/>
      <c r="T693" s="737">
        <f t="shared" si="53"/>
        <v>0</v>
      </c>
    </row>
    <row r="694" spans="1:20" s="730" customFormat="1" ht="13.2">
      <c r="A694">
        <v>2</v>
      </c>
      <c r="B694" s="730" t="s">
        <v>141</v>
      </c>
      <c r="D694" s="730" t="s">
        <v>739</v>
      </c>
      <c r="G694" s="731" t="s">
        <v>740</v>
      </c>
      <c r="H694" s="732">
        <v>620</v>
      </c>
      <c r="I694" s="730" t="s">
        <v>741</v>
      </c>
      <c r="O694" s="733">
        <v>2</v>
      </c>
      <c r="P694" s="734">
        <v>35431</v>
      </c>
      <c r="Q694" s="823">
        <v>4.71</v>
      </c>
      <c r="R694" s="736">
        <f t="shared" si="52"/>
        <v>9.42</v>
      </c>
      <c r="S694" s="735">
        <v>0.35000000000000003</v>
      </c>
      <c r="T694" s="737">
        <f t="shared" si="53"/>
        <v>0.70000000000000007</v>
      </c>
    </row>
    <row r="695" spans="1:20" s="730" customFormat="1" ht="13.2">
      <c r="A695">
        <v>2</v>
      </c>
      <c r="B695" s="730" t="s">
        <v>326</v>
      </c>
      <c r="D695" s="730" t="s">
        <v>703</v>
      </c>
      <c r="G695" s="731" t="s">
        <v>704</v>
      </c>
      <c r="H695" s="732">
        <v>620</v>
      </c>
      <c r="I695" s="730" t="s">
        <v>674</v>
      </c>
      <c r="O695" s="733">
        <v>2</v>
      </c>
      <c r="P695" s="734">
        <v>38148</v>
      </c>
      <c r="Q695" s="735">
        <v>1.5</v>
      </c>
      <c r="R695" s="736">
        <f t="shared" si="52"/>
        <v>3</v>
      </c>
      <c r="S695" s="735">
        <v>0.08</v>
      </c>
      <c r="T695" s="737">
        <f t="shared" si="53"/>
        <v>0.16</v>
      </c>
    </row>
    <row r="696" spans="1:20" s="730" customFormat="1" ht="13.2">
      <c r="A696">
        <v>10</v>
      </c>
      <c r="B696" s="730" t="s">
        <v>141</v>
      </c>
      <c r="D696" s="730" t="s">
        <v>975</v>
      </c>
      <c r="G696" s="731" t="s">
        <v>976</v>
      </c>
      <c r="H696" s="732">
        <v>620</v>
      </c>
      <c r="I696" s="730" t="s">
        <v>702</v>
      </c>
      <c r="O696" s="733">
        <v>2</v>
      </c>
      <c r="P696" s="734">
        <v>34669</v>
      </c>
      <c r="Q696" s="735">
        <v>0.14000000000000001</v>
      </c>
      <c r="R696" s="736">
        <f t="shared" si="52"/>
        <v>1.4000000000000001</v>
      </c>
      <c r="S696" s="735">
        <v>0.06</v>
      </c>
      <c r="T696" s="737">
        <f t="shared" si="53"/>
        <v>0.6</v>
      </c>
    </row>
    <row r="697" spans="1:20" s="730" customFormat="1" ht="13.2">
      <c r="A697">
        <v>1</v>
      </c>
      <c r="B697" s="730" t="s">
        <v>141</v>
      </c>
      <c r="D697" s="730" t="s">
        <v>1358</v>
      </c>
      <c r="G697" s="731" t="s">
        <v>1359</v>
      </c>
      <c r="H697" s="732">
        <v>510</v>
      </c>
      <c r="I697" s="730" t="s">
        <v>979</v>
      </c>
      <c r="J697" s="730" t="s">
        <v>1360</v>
      </c>
      <c r="K697" s="730" t="s">
        <v>981</v>
      </c>
      <c r="O697" s="733">
        <v>2</v>
      </c>
      <c r="P697" s="734">
        <v>36880</v>
      </c>
      <c r="Q697" s="735">
        <v>35</v>
      </c>
      <c r="R697" s="736">
        <f t="shared" si="52"/>
        <v>35</v>
      </c>
      <c r="S697" s="735">
        <v>0.75</v>
      </c>
      <c r="T697" s="737">
        <f t="shared" si="53"/>
        <v>0.75</v>
      </c>
    </row>
    <row r="698" spans="1:20" s="730" customFormat="1" ht="13.2">
      <c r="A698">
        <v>1</v>
      </c>
      <c r="B698" s="730" t="s">
        <v>141</v>
      </c>
      <c r="D698" s="730" t="s">
        <v>731</v>
      </c>
      <c r="G698" s="731" t="s">
        <v>732</v>
      </c>
      <c r="H698" s="732">
        <v>875</v>
      </c>
      <c r="I698" s="730" t="s">
        <v>674</v>
      </c>
      <c r="K698" s="730" t="s">
        <v>733</v>
      </c>
      <c r="O698" s="733">
        <v>3</v>
      </c>
      <c r="P698" s="734">
        <v>34820</v>
      </c>
      <c r="Q698" s="735">
        <v>3.49</v>
      </c>
      <c r="R698" s="736">
        <f t="shared" si="52"/>
        <v>3.49</v>
      </c>
      <c r="S698" s="735">
        <v>0.05</v>
      </c>
      <c r="T698" s="737">
        <f t="shared" si="53"/>
        <v>0.05</v>
      </c>
    </row>
    <row r="699" spans="1:20" s="730" customFormat="1" ht="13.2">
      <c r="A699">
        <v>1</v>
      </c>
      <c r="B699" s="730" t="s">
        <v>141</v>
      </c>
      <c r="D699" s="730" t="s">
        <v>982</v>
      </c>
      <c r="G699" s="731" t="s">
        <v>983</v>
      </c>
      <c r="H699" s="732">
        <v>501</v>
      </c>
      <c r="I699" s="730" t="s">
        <v>674</v>
      </c>
      <c r="K699" s="730" t="s">
        <v>984</v>
      </c>
      <c r="O699" s="733">
        <v>1</v>
      </c>
      <c r="P699" s="734">
        <v>38136</v>
      </c>
      <c r="Q699" s="735">
        <v>10</v>
      </c>
      <c r="R699" s="736">
        <f t="shared" si="52"/>
        <v>10</v>
      </c>
      <c r="S699" s="735">
        <v>0.25</v>
      </c>
      <c r="T699" s="737">
        <f t="shared" si="53"/>
        <v>0.25</v>
      </c>
    </row>
    <row r="700" spans="1:20" s="602" customFormat="1" ht="12">
      <c r="A700" s="63"/>
      <c r="B700" s="663"/>
      <c r="C700" s="663"/>
      <c r="D700" s="864" t="s">
        <v>1365</v>
      </c>
      <c r="E700" s="663"/>
      <c r="F700" s="664"/>
      <c r="G700" s="663"/>
      <c r="H700" s="663"/>
      <c r="I700" s="601"/>
      <c r="J700" s="663"/>
      <c r="K700" s="663"/>
      <c r="L700" s="663"/>
      <c r="M700" s="663"/>
      <c r="N700" s="663"/>
      <c r="O700" s="663"/>
      <c r="P700" s="663"/>
      <c r="Q700" s="601"/>
      <c r="R700" s="666">
        <f t="shared" si="52"/>
        <v>0</v>
      </c>
      <c r="S700" s="601"/>
      <c r="T700" s="681">
        <f t="shared" si="53"/>
        <v>0</v>
      </c>
    </row>
    <row r="701" spans="1:20" s="730" customFormat="1" ht="13.2">
      <c r="A701">
        <v>17</v>
      </c>
      <c r="B701" s="730" t="s">
        <v>326</v>
      </c>
      <c r="D701" s="730" t="s">
        <v>1442</v>
      </c>
      <c r="G701" s="731" t="s">
        <v>1367</v>
      </c>
      <c r="H701" s="732">
        <v>616</v>
      </c>
      <c r="I701" s="730" t="s">
        <v>561</v>
      </c>
      <c r="J701" s="730" t="s">
        <v>1368</v>
      </c>
      <c r="O701" s="733">
        <v>2</v>
      </c>
      <c r="P701" s="734">
        <v>40767</v>
      </c>
      <c r="Q701" s="735">
        <v>5.5</v>
      </c>
      <c r="R701" s="736">
        <f t="shared" si="52"/>
        <v>93.5</v>
      </c>
      <c r="S701" s="735">
        <v>0.08</v>
      </c>
      <c r="T701" s="737">
        <f t="shared" si="53"/>
        <v>1.36</v>
      </c>
    </row>
    <row r="702" spans="1:20" s="730" customFormat="1" ht="13.2">
      <c r="A702" s="167">
        <v>17</v>
      </c>
      <c r="B702" s="730" t="s">
        <v>141</v>
      </c>
      <c r="D702" s="730" t="s">
        <v>815</v>
      </c>
      <c r="G702" s="731" t="s">
        <v>816</v>
      </c>
      <c r="H702" s="732">
        <v>875</v>
      </c>
      <c r="I702" s="730" t="s">
        <v>674</v>
      </c>
      <c r="K702" s="730" t="s">
        <v>817</v>
      </c>
      <c r="O702" s="733">
        <v>1</v>
      </c>
      <c r="P702" s="734">
        <v>34669</v>
      </c>
      <c r="Q702" s="735">
        <v>0.05</v>
      </c>
      <c r="R702" s="736">
        <f t="shared" si="52"/>
        <v>0.85000000000000009</v>
      </c>
      <c r="S702" s="735"/>
      <c r="T702" s="737">
        <f t="shared" si="53"/>
        <v>0</v>
      </c>
    </row>
    <row r="703" spans="1:20" s="730" customFormat="1" ht="13.2">
      <c r="A703">
        <v>2</v>
      </c>
      <c r="B703" s="730" t="s">
        <v>141</v>
      </c>
      <c r="D703" s="730" t="s">
        <v>739</v>
      </c>
      <c r="G703" s="731" t="s">
        <v>740</v>
      </c>
      <c r="H703" s="732">
        <v>620</v>
      </c>
      <c r="I703" s="730" t="s">
        <v>741</v>
      </c>
      <c r="O703" s="733">
        <v>2</v>
      </c>
      <c r="P703" s="734">
        <v>35431</v>
      </c>
      <c r="Q703" s="823">
        <v>4.71</v>
      </c>
      <c r="R703" s="736">
        <f t="shared" si="52"/>
        <v>9.42</v>
      </c>
      <c r="S703" s="735">
        <v>0.35000000000000003</v>
      </c>
      <c r="T703" s="737">
        <f t="shared" si="53"/>
        <v>0.70000000000000007</v>
      </c>
    </row>
    <row r="704" spans="1:20" s="730" customFormat="1" ht="13.2">
      <c r="A704">
        <v>2</v>
      </c>
      <c r="B704" s="730" t="s">
        <v>326</v>
      </c>
      <c r="D704" s="730" t="s">
        <v>703</v>
      </c>
      <c r="G704" s="731" t="s">
        <v>704</v>
      </c>
      <c r="H704" s="732">
        <v>620</v>
      </c>
      <c r="I704" s="730" t="s">
        <v>674</v>
      </c>
      <c r="O704" s="733">
        <v>2</v>
      </c>
      <c r="P704" s="734">
        <v>38148</v>
      </c>
      <c r="Q704" s="735">
        <v>1.5</v>
      </c>
      <c r="R704" s="736">
        <f t="shared" si="52"/>
        <v>3</v>
      </c>
      <c r="S704" s="735">
        <v>0.08</v>
      </c>
      <c r="T704" s="737">
        <f t="shared" si="53"/>
        <v>0.16</v>
      </c>
    </row>
    <row r="705" spans="1:20" s="730" customFormat="1" ht="13.2">
      <c r="A705">
        <v>10</v>
      </c>
      <c r="B705" s="730" t="s">
        <v>141</v>
      </c>
      <c r="D705" s="730" t="s">
        <v>975</v>
      </c>
      <c r="G705" s="731" t="s">
        <v>976</v>
      </c>
      <c r="H705" s="732">
        <v>620</v>
      </c>
      <c r="I705" s="730" t="s">
        <v>702</v>
      </c>
      <c r="O705" s="733">
        <v>2</v>
      </c>
      <c r="P705" s="734">
        <v>34669</v>
      </c>
      <c r="Q705" s="735">
        <v>0.14000000000000001</v>
      </c>
      <c r="R705" s="736">
        <f t="shared" si="52"/>
        <v>1.4000000000000001</v>
      </c>
      <c r="S705" s="735">
        <v>0.06</v>
      </c>
      <c r="T705" s="737">
        <f t="shared" si="53"/>
        <v>0.6</v>
      </c>
    </row>
    <row r="706" spans="1:20" s="730" customFormat="1" ht="13.2">
      <c r="A706">
        <v>1</v>
      </c>
      <c r="B706" s="730" t="s">
        <v>141</v>
      </c>
      <c r="D706" s="730" t="s">
        <v>1358</v>
      </c>
      <c r="G706" s="731" t="s">
        <v>1359</v>
      </c>
      <c r="H706" s="732">
        <v>510</v>
      </c>
      <c r="I706" s="730" t="s">
        <v>979</v>
      </c>
      <c r="J706" s="730" t="s">
        <v>1360</v>
      </c>
      <c r="K706" s="730" t="s">
        <v>981</v>
      </c>
      <c r="O706" s="733">
        <v>2</v>
      </c>
      <c r="P706" s="734">
        <v>36880</v>
      </c>
      <c r="Q706" s="735">
        <v>35</v>
      </c>
      <c r="R706" s="736">
        <f t="shared" si="52"/>
        <v>35</v>
      </c>
      <c r="S706" s="735">
        <v>0.75</v>
      </c>
      <c r="T706" s="737">
        <f t="shared" si="53"/>
        <v>0.75</v>
      </c>
    </row>
    <row r="707" spans="1:20" s="730" customFormat="1" ht="13.2">
      <c r="A707">
        <v>1</v>
      </c>
      <c r="B707" s="730" t="s">
        <v>141</v>
      </c>
      <c r="D707" s="730" t="s">
        <v>731</v>
      </c>
      <c r="G707" s="731" t="s">
        <v>732</v>
      </c>
      <c r="H707" s="732">
        <v>875</v>
      </c>
      <c r="I707" s="730" t="s">
        <v>674</v>
      </c>
      <c r="K707" s="730" t="s">
        <v>733</v>
      </c>
      <c r="O707" s="733">
        <v>3</v>
      </c>
      <c r="P707" s="734">
        <v>34820</v>
      </c>
      <c r="Q707" s="735">
        <v>3.49</v>
      </c>
      <c r="R707" s="736">
        <f t="shared" si="52"/>
        <v>3.49</v>
      </c>
      <c r="S707" s="735">
        <v>0.05</v>
      </c>
      <c r="T707" s="737">
        <f t="shared" si="53"/>
        <v>0.05</v>
      </c>
    </row>
    <row r="708" spans="1:20" s="730" customFormat="1" ht="13.2">
      <c r="A708">
        <v>1</v>
      </c>
      <c r="B708" s="730" t="s">
        <v>141</v>
      </c>
      <c r="D708" s="730" t="s">
        <v>982</v>
      </c>
      <c r="G708" s="731" t="s">
        <v>983</v>
      </c>
      <c r="H708" s="732">
        <v>501</v>
      </c>
      <c r="I708" s="730" t="s">
        <v>674</v>
      </c>
      <c r="K708" s="730" t="s">
        <v>984</v>
      </c>
      <c r="O708" s="733">
        <v>1</v>
      </c>
      <c r="P708" s="734">
        <v>38136</v>
      </c>
      <c r="Q708" s="735">
        <v>10</v>
      </c>
      <c r="R708" s="736">
        <f t="shared" si="52"/>
        <v>10</v>
      </c>
      <c r="S708" s="735">
        <v>0.25</v>
      </c>
      <c r="T708" s="737">
        <f t="shared" si="53"/>
        <v>0.25</v>
      </c>
    </row>
    <row r="709" spans="1:20" s="602" customFormat="1" ht="12">
      <c r="A709" s="63"/>
      <c r="B709" s="663"/>
      <c r="C709" s="663"/>
      <c r="D709" s="864" t="s">
        <v>1366</v>
      </c>
      <c r="E709" s="663"/>
      <c r="F709" s="664"/>
      <c r="G709" s="663"/>
      <c r="H709" s="663"/>
      <c r="I709" s="601"/>
      <c r="J709" s="663"/>
      <c r="K709" s="663"/>
      <c r="L709" s="663"/>
      <c r="M709" s="663"/>
      <c r="N709" s="663"/>
      <c r="O709" s="663"/>
      <c r="P709" s="663"/>
      <c r="Q709" s="601"/>
      <c r="R709" s="666">
        <f t="shared" si="52"/>
        <v>0</v>
      </c>
      <c r="S709" s="601"/>
      <c r="T709" s="681">
        <f t="shared" si="53"/>
        <v>0</v>
      </c>
    </row>
    <row r="710" spans="1:20" s="730" customFormat="1" ht="13.2">
      <c r="A710">
        <v>18</v>
      </c>
      <c r="B710" s="730" t="s">
        <v>326</v>
      </c>
      <c r="D710" s="730" t="s">
        <v>1442</v>
      </c>
      <c r="G710" s="731" t="s">
        <v>1367</v>
      </c>
      <c r="H710" s="732">
        <v>616</v>
      </c>
      <c r="I710" s="730" t="s">
        <v>561</v>
      </c>
      <c r="J710" s="730" t="s">
        <v>1368</v>
      </c>
      <c r="O710" s="733">
        <v>2</v>
      </c>
      <c r="P710" s="734">
        <v>40767</v>
      </c>
      <c r="Q710" s="735">
        <v>5.5</v>
      </c>
      <c r="R710" s="736">
        <f t="shared" ref="R710:R724" si="54">$A710*Q710</f>
        <v>99</v>
      </c>
      <c r="S710" s="735">
        <v>0.08</v>
      </c>
      <c r="T710" s="737">
        <f t="shared" ref="T710:T724" si="55">$A710*S710*$T$1</f>
        <v>1.44</v>
      </c>
    </row>
    <row r="711" spans="1:20" s="730" customFormat="1" ht="13.2">
      <c r="A711" s="167">
        <v>18</v>
      </c>
      <c r="B711" s="730" t="s">
        <v>141</v>
      </c>
      <c r="D711" s="730" t="s">
        <v>815</v>
      </c>
      <c r="G711" s="731" t="s">
        <v>816</v>
      </c>
      <c r="H711" s="732">
        <v>875</v>
      </c>
      <c r="I711" s="730" t="s">
        <v>674</v>
      </c>
      <c r="K711" s="730" t="s">
        <v>817</v>
      </c>
      <c r="O711" s="733">
        <v>1</v>
      </c>
      <c r="P711" s="734">
        <v>34669</v>
      </c>
      <c r="Q711" s="735">
        <v>0.05</v>
      </c>
      <c r="R711" s="736">
        <f t="shared" si="54"/>
        <v>0.9</v>
      </c>
      <c r="S711" s="735"/>
      <c r="T711" s="737">
        <f t="shared" si="55"/>
        <v>0</v>
      </c>
    </row>
    <row r="712" spans="1:20" s="730" customFormat="1" ht="13.2">
      <c r="A712">
        <v>2</v>
      </c>
      <c r="B712" s="730" t="s">
        <v>141</v>
      </c>
      <c r="D712" s="730" t="s">
        <v>739</v>
      </c>
      <c r="G712" s="731" t="s">
        <v>740</v>
      </c>
      <c r="H712" s="732">
        <v>620</v>
      </c>
      <c r="I712" s="730" t="s">
        <v>741</v>
      </c>
      <c r="O712" s="733">
        <v>2</v>
      </c>
      <c r="P712" s="734">
        <v>35431</v>
      </c>
      <c r="Q712" s="823">
        <v>4.71</v>
      </c>
      <c r="R712" s="736">
        <f t="shared" si="54"/>
        <v>9.42</v>
      </c>
      <c r="S712" s="735">
        <v>0.35000000000000003</v>
      </c>
      <c r="T712" s="737">
        <f t="shared" si="55"/>
        <v>0.70000000000000007</v>
      </c>
    </row>
    <row r="713" spans="1:20" s="730" customFormat="1" ht="13.2">
      <c r="A713">
        <v>2</v>
      </c>
      <c r="B713" s="730" t="s">
        <v>326</v>
      </c>
      <c r="D713" s="730" t="s">
        <v>703</v>
      </c>
      <c r="G713" s="731" t="s">
        <v>704</v>
      </c>
      <c r="H713" s="732">
        <v>620</v>
      </c>
      <c r="I713" s="730" t="s">
        <v>674</v>
      </c>
      <c r="O713" s="733">
        <v>2</v>
      </c>
      <c r="P713" s="734">
        <v>38148</v>
      </c>
      <c r="Q713" s="735">
        <v>1.5</v>
      </c>
      <c r="R713" s="736">
        <f t="shared" si="54"/>
        <v>3</v>
      </c>
      <c r="S713" s="735">
        <v>0.08</v>
      </c>
      <c r="T713" s="737">
        <f t="shared" si="55"/>
        <v>0.16</v>
      </c>
    </row>
    <row r="714" spans="1:20" s="730" customFormat="1" ht="13.2">
      <c r="A714">
        <v>10</v>
      </c>
      <c r="B714" s="730" t="s">
        <v>141</v>
      </c>
      <c r="D714" s="730" t="s">
        <v>975</v>
      </c>
      <c r="G714" s="731" t="s">
        <v>976</v>
      </c>
      <c r="H714" s="732">
        <v>620</v>
      </c>
      <c r="I714" s="730" t="s">
        <v>702</v>
      </c>
      <c r="O714" s="733">
        <v>2</v>
      </c>
      <c r="P714" s="734">
        <v>34669</v>
      </c>
      <c r="Q714" s="735">
        <v>0.14000000000000001</v>
      </c>
      <c r="R714" s="736">
        <f t="shared" si="54"/>
        <v>1.4000000000000001</v>
      </c>
      <c r="S714" s="735">
        <v>0.06</v>
      </c>
      <c r="T714" s="737">
        <f t="shared" si="55"/>
        <v>0.6</v>
      </c>
    </row>
    <row r="715" spans="1:20" s="730" customFormat="1" ht="13.2">
      <c r="A715">
        <v>1</v>
      </c>
      <c r="B715" s="730" t="s">
        <v>141</v>
      </c>
      <c r="D715" s="730" t="s">
        <v>1358</v>
      </c>
      <c r="G715" s="731" t="s">
        <v>1359</v>
      </c>
      <c r="H715" s="732">
        <v>510</v>
      </c>
      <c r="I715" s="730" t="s">
        <v>979</v>
      </c>
      <c r="J715" s="730" t="s">
        <v>1360</v>
      </c>
      <c r="K715" s="730" t="s">
        <v>981</v>
      </c>
      <c r="O715" s="733">
        <v>2</v>
      </c>
      <c r="P715" s="734">
        <v>36880</v>
      </c>
      <c r="Q715" s="735">
        <v>35</v>
      </c>
      <c r="R715" s="736">
        <f t="shared" si="54"/>
        <v>35</v>
      </c>
      <c r="S715" s="735">
        <v>0.75</v>
      </c>
      <c r="T715" s="737">
        <f t="shared" si="55"/>
        <v>0.75</v>
      </c>
    </row>
    <row r="716" spans="1:20" s="730" customFormat="1" ht="13.2">
      <c r="A716">
        <v>1</v>
      </c>
      <c r="B716" s="730" t="s">
        <v>141</v>
      </c>
      <c r="D716" s="730" t="s">
        <v>731</v>
      </c>
      <c r="G716" s="731" t="s">
        <v>732</v>
      </c>
      <c r="H716" s="732">
        <v>875</v>
      </c>
      <c r="I716" s="730" t="s">
        <v>674</v>
      </c>
      <c r="K716" s="730" t="s">
        <v>733</v>
      </c>
      <c r="O716" s="733">
        <v>3</v>
      </c>
      <c r="P716" s="734">
        <v>34820</v>
      </c>
      <c r="Q716" s="735">
        <v>3.49</v>
      </c>
      <c r="R716" s="736">
        <f t="shared" si="54"/>
        <v>3.49</v>
      </c>
      <c r="S716" s="735">
        <v>0.05</v>
      </c>
      <c r="T716" s="737">
        <f t="shared" si="55"/>
        <v>0.05</v>
      </c>
    </row>
    <row r="717" spans="1:20" s="730" customFormat="1" ht="13.2">
      <c r="A717">
        <v>1</v>
      </c>
      <c r="B717" s="730" t="s">
        <v>141</v>
      </c>
      <c r="D717" s="730" t="s">
        <v>982</v>
      </c>
      <c r="G717" s="731" t="s">
        <v>983</v>
      </c>
      <c r="H717" s="732">
        <v>501</v>
      </c>
      <c r="I717" s="730" t="s">
        <v>674</v>
      </c>
      <c r="K717" s="730" t="s">
        <v>984</v>
      </c>
      <c r="O717" s="733">
        <v>1</v>
      </c>
      <c r="P717" s="734">
        <v>38136</v>
      </c>
      <c r="Q717" s="735">
        <v>10</v>
      </c>
      <c r="R717" s="736">
        <f t="shared" si="54"/>
        <v>10</v>
      </c>
      <c r="S717" s="735">
        <v>0.25</v>
      </c>
      <c r="T717" s="737">
        <f t="shared" si="55"/>
        <v>0.25</v>
      </c>
    </row>
    <row r="718" spans="1:20" s="730" customFormat="1" ht="13.2">
      <c r="A718"/>
      <c r="D718" s="864" t="s">
        <v>1001</v>
      </c>
      <c r="G718" s="731"/>
      <c r="H718" s="732"/>
      <c r="O718" s="733"/>
      <c r="P718" s="734"/>
      <c r="Q718" s="735"/>
      <c r="R718" s="736">
        <f t="shared" si="54"/>
        <v>0</v>
      </c>
      <c r="S718" s="735"/>
      <c r="T718" s="737">
        <f t="shared" si="55"/>
        <v>0</v>
      </c>
    </row>
    <row r="719" spans="1:20" s="730" customFormat="1" ht="13.2">
      <c r="A719">
        <v>50</v>
      </c>
      <c r="B719" s="730" t="s">
        <v>326</v>
      </c>
      <c r="D719" s="730" t="s">
        <v>1002</v>
      </c>
      <c r="G719" s="731" t="s">
        <v>1003</v>
      </c>
      <c r="H719" s="732">
        <v>650</v>
      </c>
      <c r="I719" s="730" t="s">
        <v>674</v>
      </c>
      <c r="O719" s="733">
        <v>1</v>
      </c>
      <c r="P719" s="734">
        <v>36897</v>
      </c>
      <c r="Q719" s="735">
        <v>5</v>
      </c>
      <c r="R719" s="736">
        <f t="shared" si="54"/>
        <v>250</v>
      </c>
      <c r="S719" s="735">
        <v>0.25</v>
      </c>
      <c r="T719" s="737">
        <f t="shared" si="55"/>
        <v>12.5</v>
      </c>
    </row>
    <row r="720" spans="1:20" s="730" customFormat="1" ht="13.2">
      <c r="A720">
        <f>ROUNDUP(50/3,0)</f>
        <v>17</v>
      </c>
      <c r="B720" s="730" t="s">
        <v>326</v>
      </c>
      <c r="D720" s="730" t="s">
        <v>868</v>
      </c>
      <c r="E720" s="730" t="s">
        <v>866</v>
      </c>
      <c r="G720" s="731" t="s">
        <v>869</v>
      </c>
      <c r="H720" s="732">
        <v>650</v>
      </c>
      <c r="I720" s="730" t="s">
        <v>674</v>
      </c>
      <c r="O720" s="733">
        <v>1</v>
      </c>
      <c r="P720" s="734">
        <v>35705</v>
      </c>
      <c r="Q720" s="735">
        <f>ROUNDUP(0.22*2*1.145,2)</f>
        <v>0.51</v>
      </c>
      <c r="R720" s="736">
        <f t="shared" si="54"/>
        <v>8.67</v>
      </c>
      <c r="S720" s="735"/>
      <c r="T720" s="737">
        <f t="shared" si="55"/>
        <v>0</v>
      </c>
    </row>
    <row r="721" spans="1:41" s="730" customFormat="1" ht="13.2">
      <c r="A721">
        <f>ROUNDUP(50/3*8,0)</f>
        <v>134</v>
      </c>
      <c r="B721" s="730" t="s">
        <v>141</v>
      </c>
      <c r="D721" s="730" t="s">
        <v>870</v>
      </c>
      <c r="G721" s="731" t="s">
        <v>871</v>
      </c>
      <c r="H721" s="732">
        <v>875</v>
      </c>
      <c r="I721" s="730" t="s">
        <v>674</v>
      </c>
      <c r="K721" s="730" t="s">
        <v>872</v>
      </c>
      <c r="O721" s="733">
        <v>1</v>
      </c>
      <c r="P721" s="734">
        <v>34669</v>
      </c>
      <c r="Q721" s="735">
        <v>7.0000000000000007E-2</v>
      </c>
      <c r="R721" s="736">
        <f t="shared" si="54"/>
        <v>9.3800000000000008</v>
      </c>
      <c r="S721" s="735"/>
      <c r="T721" s="737">
        <f t="shared" si="55"/>
        <v>0</v>
      </c>
    </row>
    <row r="722" spans="1:41" s="730" customFormat="1" ht="13.2">
      <c r="A722">
        <v>50</v>
      </c>
      <c r="B722" s="730" t="s">
        <v>141</v>
      </c>
      <c r="D722" s="730" t="s">
        <v>873</v>
      </c>
      <c r="G722" s="731" t="s">
        <v>874</v>
      </c>
      <c r="H722" s="732">
        <v>501</v>
      </c>
      <c r="I722" s="730" t="s">
        <v>875</v>
      </c>
      <c r="J722" s="730" t="s">
        <v>876</v>
      </c>
      <c r="K722" s="730" t="s">
        <v>877</v>
      </c>
      <c r="O722" s="733">
        <v>1</v>
      </c>
      <c r="P722" s="734">
        <v>36175</v>
      </c>
      <c r="Q722" s="735">
        <v>0.51</v>
      </c>
      <c r="R722" s="736">
        <f t="shared" si="54"/>
        <v>25.5</v>
      </c>
      <c r="S722" s="735"/>
      <c r="T722" s="737">
        <f t="shared" si="55"/>
        <v>0</v>
      </c>
    </row>
    <row r="723" spans="1:41" s="730" customFormat="1" ht="13.2">
      <c r="A723">
        <v>50</v>
      </c>
      <c r="B723" s="730" t="s">
        <v>141</v>
      </c>
      <c r="D723" s="730" t="s">
        <v>878</v>
      </c>
      <c r="G723" s="731" t="s">
        <v>879</v>
      </c>
      <c r="H723" s="732">
        <v>501</v>
      </c>
      <c r="I723" s="730" t="s">
        <v>674</v>
      </c>
      <c r="K723" s="730" t="s">
        <v>733</v>
      </c>
      <c r="O723" s="733">
        <v>1</v>
      </c>
      <c r="P723" s="734"/>
      <c r="Q723" s="735">
        <v>0.05</v>
      </c>
      <c r="R723" s="736">
        <f t="shared" si="54"/>
        <v>2.5</v>
      </c>
      <c r="S723" s="735"/>
      <c r="T723" s="737">
        <f t="shared" si="55"/>
        <v>0</v>
      </c>
    </row>
    <row r="724" spans="1:41" s="730" customFormat="1" ht="13.2">
      <c r="A724">
        <f>ROUNDUP(50/3,0)</f>
        <v>17</v>
      </c>
      <c r="B724" s="730" t="s">
        <v>141</v>
      </c>
      <c r="D724" s="730" t="s">
        <v>880</v>
      </c>
      <c r="G724" s="731" t="s">
        <v>881</v>
      </c>
      <c r="H724" s="732">
        <v>875</v>
      </c>
      <c r="I724" s="730" t="s">
        <v>674</v>
      </c>
      <c r="K724" s="730" t="s">
        <v>882</v>
      </c>
      <c r="O724" s="733">
        <v>1</v>
      </c>
      <c r="P724" s="734">
        <v>34669</v>
      </c>
      <c r="Q724" s="735">
        <v>0.5</v>
      </c>
      <c r="R724" s="736">
        <f t="shared" si="54"/>
        <v>8.5</v>
      </c>
      <c r="S724" s="735">
        <v>0</v>
      </c>
      <c r="T724" s="737">
        <f t="shared" si="55"/>
        <v>0</v>
      </c>
    </row>
    <row r="725" spans="1:41" s="713" customFormat="1" ht="13.2">
      <c r="A725"/>
      <c r="B725" s="807"/>
      <c r="C725" s="807" t="s">
        <v>692</v>
      </c>
      <c r="D725" s="807" t="str">
        <f ca="1">CELL("Address",Elec_Rates!D$321)</f>
        <v>[E25_0477_IH_Retro_Elec_Est_Rev_A_AW.xlsx]Elec_Rates!$D$321</v>
      </c>
      <c r="E725" s="808"/>
      <c r="F725" s="808"/>
      <c r="G725" s="809" t="s">
        <v>693</v>
      </c>
      <c r="H725" s="809"/>
      <c r="I725" s="809"/>
      <c r="J725" s="809"/>
      <c r="K725" s="810"/>
      <c r="L725" s="808"/>
      <c r="M725" s="808"/>
      <c r="N725" s="808"/>
      <c r="O725" s="811"/>
      <c r="P725" s="808"/>
      <c r="Q725" s="812"/>
      <c r="R725" s="813"/>
      <c r="S725" s="812"/>
      <c r="T725" s="814"/>
      <c r="U725" s="815"/>
    </row>
    <row r="726" spans="1:41" s="713" customFormat="1" ht="11.4">
      <c r="A726" s="816">
        <v>50</v>
      </c>
      <c r="B726" s="817">
        <v>1</v>
      </c>
      <c r="C726" s="817">
        <f>$A726*$B726</f>
        <v>50</v>
      </c>
      <c r="D726" s="818" t="str">
        <f>Elec_Rates!$D$321</f>
        <v>026# Bracket for 200-300mm cable tray</v>
      </c>
      <c r="E726" s="818"/>
      <c r="F726" s="818" t="s">
        <v>694</v>
      </c>
      <c r="G726" s="819" t="s">
        <v>695</v>
      </c>
      <c r="H726" s="819"/>
      <c r="I726" s="819"/>
      <c r="J726" s="819"/>
      <c r="K726" s="820"/>
      <c r="L726" s="815"/>
      <c r="M726" s="815"/>
      <c r="N726" s="815"/>
      <c r="O726" s="821"/>
      <c r="P726" s="818"/>
      <c r="Q726" s="822">
        <f ca="1">$B726*Elec_Rates!$R$321</f>
        <v>3.72</v>
      </c>
      <c r="R726" s="813">
        <f ca="1">$A726*Q726</f>
        <v>186</v>
      </c>
      <c r="S726" s="822">
        <f ca="1">$B726*Elec_Rates!$T$321</f>
        <v>0.25</v>
      </c>
      <c r="T726" s="814">
        <f ca="1">$A726*S726</f>
        <v>12.5</v>
      </c>
      <c r="U726" s="583"/>
    </row>
    <row r="727" spans="1:41" s="602" customFormat="1" ht="13.95" customHeight="1">
      <c r="A727" s="70"/>
      <c r="B727" s="610"/>
      <c r="C727" s="610"/>
      <c r="D727" s="610"/>
      <c r="E727" s="610"/>
      <c r="F727" s="610"/>
      <c r="G727" s="610"/>
      <c r="H727" s="773"/>
      <c r="I727" s="610"/>
      <c r="J727" s="64"/>
      <c r="K727" s="776"/>
      <c r="L727" s="777"/>
      <c r="M727" s="610"/>
      <c r="N727" s="610"/>
      <c r="O727" s="64"/>
      <c r="P727" s="610"/>
      <c r="Q727" s="610"/>
      <c r="R727" s="725">
        <f>$A727*Q727</f>
        <v>0</v>
      </c>
      <c r="S727" s="610"/>
      <c r="T727" s="681">
        <f>$A727*S727*$T$1</f>
        <v>0</v>
      </c>
    </row>
    <row r="728" spans="1:41" s="602" customFormat="1" ht="12">
      <c r="A728" s="778" t="s">
        <v>145</v>
      </c>
      <c r="B728" s="779">
        <f>(R727+T727)</f>
        <v>0</v>
      </c>
      <c r="C728" s="663"/>
      <c r="G728" s="780"/>
      <c r="H728" s="780"/>
      <c r="I728" s="780"/>
      <c r="J728" s="780"/>
      <c r="K728" s="781" t="s">
        <v>3</v>
      </c>
      <c r="L728" s="782" t="s">
        <v>688</v>
      </c>
      <c r="M728" s="780"/>
      <c r="N728" s="780"/>
      <c r="O728" s="780"/>
      <c r="P728" s="780"/>
      <c r="Q728" s="783"/>
      <c r="R728" s="784">
        <f ca="1">SUM(R522:R727)</f>
        <v>7850.3399999999965</v>
      </c>
      <c r="S728" s="785"/>
      <c r="T728" s="784">
        <f ca="1">SUM(T522:T727)</f>
        <v>139.24999999999983</v>
      </c>
      <c r="AG728" s="786">
        <f ca="1">ROUND($R728*$S$2,2)</f>
        <v>10597.96</v>
      </c>
    </row>
    <row r="729" spans="1:41" s="602" customFormat="1" ht="12" customHeight="1">
      <c r="A729" s="787"/>
      <c r="B729" s="788"/>
      <c r="C729" s="789"/>
      <c r="D729" s="789" t="str">
        <f>$F$3</f>
        <v>ECA (Technician)</v>
      </c>
      <c r="E729" s="789">
        <f>ROUND(($R733*$S$3 + ($T733*$T$3)), 2)</f>
        <v>0</v>
      </c>
      <c r="F729" s="790">
        <f ca="1">$F519-SUMIF($L521:$P726,"SUBI",$F521:$F726)</f>
        <v>-2.9946835475129774E-3</v>
      </c>
      <c r="G729" s="601"/>
      <c r="H729" s="601"/>
      <c r="I729" s="601"/>
      <c r="J729" s="601"/>
      <c r="K729" s="774" t="s">
        <v>5</v>
      </c>
      <c r="L729" s="775" t="s">
        <v>688</v>
      </c>
      <c r="M729" s="601"/>
      <c r="N729" s="601"/>
      <c r="O729" s="601"/>
      <c r="P729" s="601"/>
      <c r="Q729" s="601"/>
      <c r="R729" s="791"/>
      <c r="S729" s="601"/>
      <c r="T729" s="791"/>
    </row>
    <row r="730" spans="1:41" s="1084" customFormat="1" ht="14.4" customHeight="1">
      <c r="A730" s="1072"/>
      <c r="B730" s="1071" t="s">
        <v>1202</v>
      </c>
      <c r="C730" s="1073"/>
      <c r="D730" s="1074"/>
      <c r="E730" s="1074"/>
      <c r="F730" s="1074"/>
      <c r="G730" s="1075"/>
      <c r="H730" s="1076"/>
      <c r="I730" s="1076"/>
      <c r="J730" s="1077"/>
      <c r="K730" s="1078"/>
      <c r="L730" s="1073"/>
      <c r="M730" s="1079"/>
      <c r="N730" s="1080"/>
      <c r="O730" s="1081"/>
      <c r="P730" s="1082"/>
      <c r="Q730" s="1083"/>
      <c r="R730" s="725">
        <f>$A730*Q730</f>
        <v>0</v>
      </c>
      <c r="S730" s="610"/>
      <c r="T730" s="681">
        <f>$A730*S730*$T$1</f>
        <v>0</v>
      </c>
    </row>
    <row r="731" spans="1:41" s="602" customFormat="1" ht="11.4">
      <c r="A731" s="70"/>
      <c r="B731" s="610"/>
      <c r="C731" s="610"/>
      <c r="D731" s="610"/>
      <c r="E731" s="610"/>
      <c r="F731" s="610"/>
      <c r="G731" s="610"/>
      <c r="H731" s="610"/>
      <c r="I731" s="610"/>
      <c r="J731" s="610"/>
      <c r="K731" s="610"/>
      <c r="L731" s="777"/>
      <c r="M731" s="610"/>
      <c r="N731" s="610"/>
      <c r="O731" s="610"/>
      <c r="P731" s="610"/>
      <c r="Q731" s="610"/>
      <c r="R731" s="725">
        <f>$A731*Q731</f>
        <v>0</v>
      </c>
      <c r="S731" s="610"/>
      <c r="T731" s="681">
        <f>$A731*S731*$T$1</f>
        <v>0</v>
      </c>
    </row>
    <row r="732" spans="1:41" s="602" customFormat="1" ht="13.2">
      <c r="A732" s="70"/>
      <c r="B732" s="610"/>
      <c r="C732" s="610"/>
      <c r="D732" s="3"/>
      <c r="E732" s="610"/>
      <c r="F732" s="610"/>
      <c r="G732" s="610"/>
      <c r="H732" s="610"/>
      <c r="I732" s="610"/>
      <c r="J732" s="610"/>
      <c r="K732" s="610"/>
      <c r="L732" s="777"/>
      <c r="M732" s="610"/>
      <c r="N732" s="610"/>
      <c r="O732" s="610"/>
      <c r="P732" s="610"/>
      <c r="Q732" s="610"/>
      <c r="R732" s="725">
        <f>$A732*Q732</f>
        <v>0</v>
      </c>
      <c r="S732" s="610"/>
      <c r="T732" s="681">
        <f>$A732*S732*$T$1</f>
        <v>0</v>
      </c>
    </row>
    <row r="733" spans="1:41" s="602" customFormat="1" ht="12" customHeight="1">
      <c r="A733" s="792" t="s">
        <v>145</v>
      </c>
      <c r="B733" s="793">
        <f>(R732+T732)</f>
        <v>0</v>
      </c>
      <c r="C733" s="794"/>
      <c r="D733" s="794"/>
      <c r="E733" s="794"/>
      <c r="F733" s="794"/>
      <c r="G733" s="783"/>
      <c r="H733" s="783"/>
      <c r="I733" s="783"/>
      <c r="J733" s="783"/>
      <c r="K733" s="795" t="s">
        <v>5</v>
      </c>
      <c r="L733" s="796" t="s">
        <v>688</v>
      </c>
      <c r="M733" s="783"/>
      <c r="N733" s="783"/>
      <c r="O733" s="783"/>
      <c r="P733" s="783"/>
      <c r="Q733" s="783"/>
      <c r="R733" s="784">
        <f>SUM(R729:R732)</f>
        <v>0</v>
      </c>
      <c r="S733" s="785"/>
      <c r="T733" s="784">
        <f>SUM(T729:T732)</f>
        <v>0</v>
      </c>
      <c r="AG733" s="797">
        <f>ROUND($R733*$S$3,2)</f>
        <v>0</v>
      </c>
    </row>
    <row r="734" spans="1:41" s="602" customFormat="1" ht="12.75" customHeight="1">
      <c r="A734" s="798"/>
      <c r="B734" s="799"/>
      <c r="E734" s="663"/>
      <c r="F734" s="800"/>
      <c r="G734" s="663"/>
      <c r="H734" s="663"/>
      <c r="I734" s="601"/>
      <c r="J734" s="663"/>
      <c r="K734" s="663"/>
      <c r="L734" s="801"/>
      <c r="M734" s="802"/>
      <c r="N734" s="802"/>
      <c r="O734" s="802"/>
      <c r="P734" s="802"/>
      <c r="Q734" s="665"/>
      <c r="R734" s="791"/>
      <c r="S734" s="663"/>
      <c r="T734" s="791"/>
    </row>
    <row r="735" spans="1:41" s="602" customFormat="1" ht="13.5" customHeight="1" thickBot="1">
      <c r="A735" s="803"/>
      <c r="B735" s="804"/>
      <c r="C735" s="611"/>
      <c r="D735" s="611"/>
      <c r="E735" s="684"/>
      <c r="F735" s="685"/>
      <c r="G735" s="684" t="s">
        <v>146</v>
      </c>
      <c r="H735" s="684"/>
      <c r="I735" s="686"/>
      <c r="J735" s="684"/>
      <c r="K735" s="684"/>
      <c r="L735" s="729" t="s">
        <v>143</v>
      </c>
      <c r="M735" s="687"/>
      <c r="N735" s="687"/>
      <c r="O735" s="687"/>
      <c r="P735" s="687"/>
      <c r="Q735" s="688"/>
      <c r="R735" s="805">
        <f ca="1">SUMIF($L520:$L734,"SUBI",R520:R734)</f>
        <v>7850.3399999999965</v>
      </c>
      <c r="S735" s="684"/>
      <c r="T735" s="805">
        <f ca="1">SUMIF($L520:$L734,"SUBI",T520:T734)</f>
        <v>139.24999999999983</v>
      </c>
      <c r="U735" s="611"/>
      <c r="V735" s="611"/>
      <c r="W735" s="611"/>
      <c r="X735" s="611"/>
      <c r="Y735" s="611"/>
      <c r="Z735" s="611"/>
      <c r="AA735" s="611"/>
      <c r="AB735" s="611"/>
      <c r="AC735" s="611"/>
      <c r="AD735" s="611"/>
      <c r="AE735" s="611"/>
      <c r="AF735" s="611"/>
      <c r="AG735" s="611"/>
      <c r="AH735" s="611"/>
      <c r="AI735" s="611"/>
      <c r="AJ735" s="611"/>
      <c r="AK735" s="611"/>
      <c r="AL735" s="611"/>
      <c r="AM735" s="611"/>
      <c r="AN735" s="611"/>
      <c r="AO735" s="611"/>
    </row>
    <row r="736" spans="1:41" s="602" customFormat="1" thickTop="1">
      <c r="A736" s="63"/>
      <c r="B736" s="41"/>
      <c r="C736" s="63"/>
      <c r="E736" s="42" t="s">
        <v>138</v>
      </c>
      <c r="F736" s="42" t="s">
        <v>139</v>
      </c>
      <c r="G736" s="63"/>
      <c r="H736" s="63"/>
      <c r="I736" s="63"/>
      <c r="J736" s="63"/>
      <c r="K736" s="63" t="s">
        <v>140</v>
      </c>
      <c r="L736" s="751"/>
      <c r="M736" s="63"/>
      <c r="N736" s="63"/>
      <c r="O736" s="64"/>
      <c r="P736" s="63"/>
      <c r="Q736"/>
      <c r="R736"/>
      <c r="S736"/>
      <c r="T736" s="41"/>
      <c r="AG736" s="667" t="s">
        <v>278</v>
      </c>
      <c r="AH736" s="667" t="s">
        <v>279</v>
      </c>
      <c r="AI736" s="667" t="s">
        <v>280</v>
      </c>
      <c r="AJ736" s="667" t="s">
        <v>281</v>
      </c>
      <c r="AK736" s="667" t="s">
        <v>282</v>
      </c>
      <c r="AM736" s="668" t="s">
        <v>291</v>
      </c>
      <c r="AN736" s="669" t="s">
        <v>292</v>
      </c>
      <c r="AO736" s="603" t="s">
        <v>288</v>
      </c>
    </row>
    <row r="737" spans="1:41" s="602" customFormat="1" ht="13.2">
      <c r="A737" s="670">
        <v>1</v>
      </c>
      <c r="B737" s="838" t="s">
        <v>312</v>
      </c>
      <c r="C737" s="672"/>
      <c r="D737" s="673" t="s">
        <v>1239</v>
      </c>
      <c r="E737" s="752">
        <f>IF(AND($A737=0,$A$1="DIF"),0, ROUND(ROUND(SUMIF($L739:$L745,"SUBI",$E739:$E745)/$A737,2)*$C$12,2))</f>
        <v>0</v>
      </c>
      <c r="F737" s="753">
        <f>ROUND($A737*$E737,2)</f>
        <v>0</v>
      </c>
      <c r="G737" s="676" t="s">
        <v>142</v>
      </c>
      <c r="H737" s="664"/>
      <c r="I737" s="677"/>
      <c r="J737" s="664"/>
      <c r="K737" s="754"/>
      <c r="L737" s="709" t="s">
        <v>143</v>
      </c>
      <c r="M737" s="678"/>
      <c r="N737" s="678"/>
      <c r="O737" s="678"/>
      <c r="P737" s="678"/>
      <c r="Q737" s="1183" t="s">
        <v>1375</v>
      </c>
      <c r="R737"/>
      <c r="S737"/>
      <c r="T737" s="755" t="str">
        <f>IF(AND($R751=0,$T751=0),"0.00","mu :" &amp; ROUND($F737/$C$12/($R751+$T751*$D$9),2))</f>
        <v>0.00</v>
      </c>
      <c r="W737" s="604"/>
      <c r="AG737" s="756">
        <f>IF(A737=0,0,ROUND(SUM(AG739:AG751)/A737,2))</f>
        <v>0</v>
      </c>
      <c r="AH737" s="756">
        <f>$AG737*$A737</f>
        <v>0</v>
      </c>
      <c r="AI737" s="756">
        <f>$E737-$AG737</f>
        <v>0</v>
      </c>
      <c r="AJ737" s="756">
        <f>$A737*$AI737</f>
        <v>0</v>
      </c>
      <c r="AK737" s="757">
        <f>ROUND(($AG737+$AI737)*$A737,2)</f>
        <v>0</v>
      </c>
      <c r="AM737" s="607">
        <f>ROUND(R751,2)</f>
        <v>0</v>
      </c>
      <c r="AN737" s="608">
        <f>ROUND(T751,2)</f>
        <v>0</v>
      </c>
      <c r="AO737" s="609">
        <f>ROUND(AM737+AN737,2)*A737</f>
        <v>0</v>
      </c>
    </row>
    <row r="738" spans="1:41" s="602" customFormat="1" ht="31.2" customHeight="1">
      <c r="A738" s="1068"/>
      <c r="B738" s="1069"/>
      <c r="C738" s="672"/>
      <c r="D738" s="1368" t="s">
        <v>349</v>
      </c>
      <c r="E738" s="1368"/>
      <c r="F738" s="1368"/>
      <c r="G738" s="1368"/>
      <c r="H738" s="1368"/>
      <c r="I738" s="1368"/>
      <c r="J738" s="1368"/>
      <c r="K738" s="1368" t="s">
        <v>144</v>
      </c>
      <c r="L738" s="1368"/>
      <c r="M738" s="1368"/>
      <c r="N738" s="1368"/>
      <c r="O738" s="1368"/>
      <c r="P738" s="1368"/>
      <c r="Q738" s="1368"/>
      <c r="R738" s="1368"/>
      <c r="S738" s="1368"/>
      <c r="T738" s="1368"/>
    </row>
    <row r="739" spans="1:41" s="602" customFormat="1" ht="12">
      <c r="A739" s="758"/>
      <c r="B739" s="759"/>
      <c r="C739" s="663"/>
      <c r="D739" s="664"/>
      <c r="E739" s="760">
        <f>F737/$C$12-SUMIF($L736:$L751,"SUBI",$E736:$E751)</f>
        <v>0</v>
      </c>
      <c r="F739" s="761" t="s">
        <v>687</v>
      </c>
      <c r="G739" s="762"/>
      <c r="H739" s="762"/>
      <c r="I739" s="763"/>
      <c r="J739" s="762"/>
      <c r="K739" s="762"/>
      <c r="L739" s="764"/>
      <c r="M739" s="765"/>
      <c r="N739" s="765"/>
      <c r="O739" s="765"/>
      <c r="P739" s="765"/>
      <c r="Q739" s="766"/>
      <c r="R739" s="767"/>
      <c r="S739" s="766"/>
      <c r="T739" s="768"/>
    </row>
    <row r="740" spans="1:41" s="602" customFormat="1" ht="12" customHeight="1">
      <c r="A740" s="769"/>
      <c r="B740" s="770"/>
      <c r="C740" s="771"/>
      <c r="D740" s="771" t="str">
        <f>$F$2</f>
        <v>Electrical</v>
      </c>
      <c r="E740" s="771">
        <f>ROUND(($R744*$S$2 + ($T744*$T$2)), 2)</f>
        <v>0</v>
      </c>
      <c r="F740" s="772">
        <f>$E740*$C$12</f>
        <v>0</v>
      </c>
      <c r="G740" s="610"/>
      <c r="H740" s="773"/>
      <c r="I740" s="610"/>
      <c r="J740" s="64"/>
      <c r="K740" s="774" t="s">
        <v>3</v>
      </c>
      <c r="L740" s="775" t="s">
        <v>688</v>
      </c>
      <c r="M740" s="610"/>
      <c r="N740" s="610"/>
      <c r="O740" s="64"/>
      <c r="P740" s="610"/>
      <c r="Q740" s="610"/>
      <c r="R740"/>
      <c r="S740"/>
      <c r="T740"/>
    </row>
    <row r="741" spans="1:41" s="602" customFormat="1" ht="13.95" customHeight="1">
      <c r="A741" s="70"/>
      <c r="B741" s="1071" t="s">
        <v>1201</v>
      </c>
      <c r="C741" s="610"/>
      <c r="D741" s="1183" t="s">
        <v>1375</v>
      </c>
      <c r="E741" s="610"/>
      <c r="F741" s="610"/>
      <c r="G741" s="610"/>
      <c r="H741" s="773"/>
      <c r="I741" s="610"/>
      <c r="J741" s="64"/>
      <c r="K741" s="776"/>
      <c r="L741" s="777"/>
      <c r="M741" s="610"/>
      <c r="N741" s="610"/>
      <c r="O741" s="64"/>
      <c r="P741" s="610"/>
      <c r="Q741" s="610"/>
      <c r="R741" s="725">
        <f>$A741*Q741</f>
        <v>0</v>
      </c>
      <c r="S741" s="610"/>
      <c r="T741" s="681">
        <f>$A741*S741*$T$1</f>
        <v>0</v>
      </c>
    </row>
    <row r="742" spans="1:41" s="602" customFormat="1" ht="13.95" customHeight="1">
      <c r="A742" s="70"/>
      <c r="B742" s="610"/>
      <c r="C742" s="610"/>
      <c r="D742" s="610"/>
      <c r="E742" s="610"/>
      <c r="F742" s="610"/>
      <c r="G742" s="610"/>
      <c r="H742" s="773"/>
      <c r="I742" s="610"/>
      <c r="J742" s="64"/>
      <c r="K742" s="776"/>
      <c r="L742" s="777"/>
      <c r="M742" s="610"/>
      <c r="N742" s="610"/>
      <c r="O742" s="64"/>
      <c r="P742" s="610"/>
      <c r="Q742" s="610"/>
      <c r="R742" s="725">
        <f>$A742*Q742</f>
        <v>0</v>
      </c>
      <c r="S742" s="610"/>
      <c r="T742" s="681">
        <f>$A742*S742*$T$1</f>
        <v>0</v>
      </c>
    </row>
    <row r="743" spans="1:41" s="602" customFormat="1" ht="13.95" customHeight="1">
      <c r="A743" s="70"/>
      <c r="B743" s="610"/>
      <c r="C743" s="610"/>
      <c r="D743" s="610"/>
      <c r="E743" s="610"/>
      <c r="F743" s="610"/>
      <c r="G743" s="610"/>
      <c r="H743" s="773"/>
      <c r="I743" s="610"/>
      <c r="J743" s="64"/>
      <c r="K743" s="776"/>
      <c r="L743" s="777"/>
      <c r="M743" s="610"/>
      <c r="N743" s="610"/>
      <c r="O743" s="64"/>
      <c r="P743" s="610"/>
      <c r="Q743" s="610"/>
      <c r="R743" s="725">
        <f>$A743*Q743</f>
        <v>0</v>
      </c>
      <c r="S743" s="610"/>
      <c r="T743" s="681">
        <f>$A743*S743*$T$1</f>
        <v>0</v>
      </c>
    </row>
    <row r="744" spans="1:41" s="602" customFormat="1" ht="12">
      <c r="A744" s="778" t="s">
        <v>145</v>
      </c>
      <c r="B744" s="779">
        <f>(R743+T743)</f>
        <v>0</v>
      </c>
      <c r="C744" s="663"/>
      <c r="G744" s="780"/>
      <c r="H744" s="780"/>
      <c r="I744" s="780"/>
      <c r="J744" s="780"/>
      <c r="K744" s="781" t="s">
        <v>3</v>
      </c>
      <c r="L744" s="782" t="s">
        <v>688</v>
      </c>
      <c r="M744" s="780"/>
      <c r="N744" s="780"/>
      <c r="O744" s="780"/>
      <c r="P744" s="780"/>
      <c r="Q744" s="783"/>
      <c r="R744" s="784">
        <f>SUM(R740:R743)</f>
        <v>0</v>
      </c>
      <c r="S744" s="785"/>
      <c r="T744" s="784">
        <f>SUM(T740:T743)</f>
        <v>0</v>
      </c>
      <c r="AG744" s="786">
        <f>ROUND($R744*$S$2,2)</f>
        <v>0</v>
      </c>
    </row>
    <row r="745" spans="1:41" s="602" customFormat="1" ht="12" customHeight="1">
      <c r="A745" s="787"/>
      <c r="B745" s="788"/>
      <c r="C745" s="789"/>
      <c r="D745" s="789" t="str">
        <f>$F$3</f>
        <v>ECA (Technician)</v>
      </c>
      <c r="E745" s="789">
        <f>ROUND(($R749*$S$3 + ($T749*$T$3)), 2)</f>
        <v>0</v>
      </c>
      <c r="F745" s="790">
        <f ca="1">$F737-SUMIF($L739:$P742,"SUBI",$F739:$F742)</f>
        <v>0</v>
      </c>
      <c r="G745" s="601"/>
      <c r="H745" s="601"/>
      <c r="I745" s="601"/>
      <c r="J745" s="601"/>
      <c r="K745" s="774" t="s">
        <v>5</v>
      </c>
      <c r="L745" s="775" t="s">
        <v>688</v>
      </c>
      <c r="M745" s="601"/>
      <c r="N745" s="601"/>
      <c r="O745" s="601"/>
      <c r="P745" s="601"/>
      <c r="Q745" s="601"/>
      <c r="R745" s="791"/>
      <c r="S745" s="601"/>
      <c r="T745" s="791"/>
    </row>
    <row r="746" spans="1:41" s="1084" customFormat="1" ht="14.4" customHeight="1">
      <c r="A746" s="1072"/>
      <c r="B746" s="1071" t="s">
        <v>1202</v>
      </c>
      <c r="C746" s="1073"/>
      <c r="D746" s="1183" t="s">
        <v>1375</v>
      </c>
      <c r="E746" s="1074"/>
      <c r="F746" s="1074"/>
      <c r="G746" s="1075"/>
      <c r="H746" s="1076"/>
      <c r="I746" s="1076"/>
      <c r="J746" s="1077"/>
      <c r="K746" s="1078"/>
      <c r="L746" s="1073"/>
      <c r="M746" s="1079"/>
      <c r="N746" s="1080"/>
      <c r="O746" s="1081"/>
      <c r="P746" s="1082"/>
      <c r="Q746" s="1083"/>
      <c r="R746" s="725">
        <f>$A746*Q746</f>
        <v>0</v>
      </c>
      <c r="S746" s="610"/>
      <c r="T746" s="681">
        <f>$A746*S746*$T$1</f>
        <v>0</v>
      </c>
    </row>
    <row r="747" spans="1:41" s="602" customFormat="1" ht="11.4">
      <c r="A747" s="70"/>
      <c r="B747" s="610"/>
      <c r="C747" s="610"/>
      <c r="D747" s="610"/>
      <c r="E747" s="610"/>
      <c r="F747" s="610"/>
      <c r="G747" s="610"/>
      <c r="H747" s="610"/>
      <c r="I747" s="610"/>
      <c r="J747" s="610"/>
      <c r="K747" s="610"/>
      <c r="L747" s="777"/>
      <c r="M747" s="610"/>
      <c r="N747" s="610"/>
      <c r="O747" s="610"/>
      <c r="P747" s="610"/>
      <c r="Q747" s="610"/>
      <c r="R747" s="725">
        <f>$A747*Q747</f>
        <v>0</v>
      </c>
      <c r="S747" s="610"/>
      <c r="T747" s="681">
        <f>$A747*S747*$T$1</f>
        <v>0</v>
      </c>
    </row>
    <row r="748" spans="1:41" s="602" customFormat="1" ht="13.2">
      <c r="A748" s="70"/>
      <c r="B748" s="610"/>
      <c r="C748" s="610"/>
      <c r="D748" s="3"/>
      <c r="E748" s="610"/>
      <c r="F748" s="610"/>
      <c r="G748" s="610"/>
      <c r="H748" s="610"/>
      <c r="I748" s="610"/>
      <c r="J748" s="610"/>
      <c r="K748" s="610"/>
      <c r="L748" s="777"/>
      <c r="M748" s="610"/>
      <c r="N748" s="610"/>
      <c r="O748" s="610"/>
      <c r="P748" s="610"/>
      <c r="Q748" s="610"/>
      <c r="R748" s="725">
        <f>$A748*Q748</f>
        <v>0</v>
      </c>
      <c r="S748" s="610"/>
      <c r="T748" s="681">
        <f>$A748*S748*$T$1</f>
        <v>0</v>
      </c>
    </row>
    <row r="749" spans="1:41" s="602" customFormat="1" ht="12" customHeight="1">
      <c r="A749" s="792" t="s">
        <v>145</v>
      </c>
      <c r="B749" s="793">
        <f>(R748+T748)</f>
        <v>0</v>
      </c>
      <c r="C749" s="794"/>
      <c r="D749" s="794"/>
      <c r="E749" s="794"/>
      <c r="F749" s="794"/>
      <c r="G749" s="783"/>
      <c r="H749" s="783"/>
      <c r="I749" s="783"/>
      <c r="J749" s="783"/>
      <c r="K749" s="795" t="s">
        <v>5</v>
      </c>
      <c r="L749" s="796" t="s">
        <v>688</v>
      </c>
      <c r="M749" s="783"/>
      <c r="N749" s="783"/>
      <c r="O749" s="783"/>
      <c r="P749" s="783"/>
      <c r="Q749" s="783"/>
      <c r="R749" s="784">
        <f>SUM(R745:R748)</f>
        <v>0</v>
      </c>
      <c r="S749" s="785"/>
      <c r="T749" s="784">
        <f>SUM(T745:T748)</f>
        <v>0</v>
      </c>
      <c r="AG749" s="797">
        <f>ROUND($R749*$S$3,2)</f>
        <v>0</v>
      </c>
    </row>
    <row r="750" spans="1:41" s="602" customFormat="1" ht="12.75" customHeight="1">
      <c r="A750" s="798"/>
      <c r="B750" s="799"/>
      <c r="E750" s="663"/>
      <c r="F750" s="800"/>
      <c r="G750" s="663"/>
      <c r="H750" s="663"/>
      <c r="I750" s="601"/>
      <c r="J750" s="663"/>
      <c r="K750" s="663"/>
      <c r="L750" s="801"/>
      <c r="M750" s="802"/>
      <c r="N750" s="802"/>
      <c r="O750" s="802"/>
      <c r="P750" s="802"/>
      <c r="Q750" s="665"/>
      <c r="R750" s="791"/>
      <c r="S750" s="663"/>
      <c r="T750" s="791"/>
    </row>
    <row r="751" spans="1:41" s="602" customFormat="1" ht="13.5" customHeight="1" thickBot="1">
      <c r="A751" s="803"/>
      <c r="B751" s="804"/>
      <c r="C751" s="611"/>
      <c r="D751" s="611"/>
      <c r="E751" s="684"/>
      <c r="F751" s="685"/>
      <c r="G751" s="684" t="s">
        <v>146</v>
      </c>
      <c r="H751" s="684"/>
      <c r="I751" s="686"/>
      <c r="J751" s="684"/>
      <c r="K751" s="684"/>
      <c r="L751" s="729" t="s">
        <v>143</v>
      </c>
      <c r="M751" s="687"/>
      <c r="N751" s="687"/>
      <c r="O751" s="687"/>
      <c r="P751" s="687"/>
      <c r="Q751" s="688"/>
      <c r="R751" s="805">
        <f>SUMIF($L738:$L750,"SUBI",R738:R750)</f>
        <v>0</v>
      </c>
      <c r="S751" s="684"/>
      <c r="T751" s="805">
        <f>SUMIF($L738:$L750,"SUBI",T738:T750)</f>
        <v>0</v>
      </c>
      <c r="U751" s="611"/>
      <c r="V751" s="611"/>
      <c r="W751" s="611"/>
      <c r="X751" s="611"/>
      <c r="Y751" s="611"/>
      <c r="Z751" s="611"/>
      <c r="AA751" s="611"/>
      <c r="AB751" s="611"/>
      <c r="AC751" s="611"/>
      <c r="AD751" s="611"/>
      <c r="AE751" s="611"/>
      <c r="AF751" s="611"/>
      <c r="AG751" s="611"/>
      <c r="AH751" s="611"/>
      <c r="AI751" s="611"/>
      <c r="AJ751" s="611"/>
      <c r="AK751" s="611"/>
      <c r="AL751" s="611"/>
      <c r="AM751" s="611"/>
      <c r="AN751" s="611"/>
      <c r="AO751" s="611"/>
    </row>
    <row r="752" spans="1:41" s="602" customFormat="1" ht="12" thickTop="1">
      <c r="A752" s="51" t="s">
        <v>154</v>
      </c>
      <c r="D752" s="13"/>
      <c r="E752" s="42"/>
      <c r="O752" s="698"/>
    </row>
    <row r="753" spans="1:37" s="602" customFormat="1" ht="13.2">
      <c r="B753" s="3"/>
      <c r="O753" s="698"/>
    </row>
    <row r="754" spans="1:37" s="602" customFormat="1" ht="12">
      <c r="B754" s="699">
        <f ca="1">$F754/$C$2-($R754*$S$2+$T754*$T$2)</f>
        <v>596.59196015214548</v>
      </c>
      <c r="D754" s="700" t="s">
        <v>412</v>
      </c>
      <c r="E754" s="701"/>
      <c r="F754" s="702">
        <f ca="1">SUMIF($L462:$L752,"ITEM",F462:F752)</f>
        <v>25620.6</v>
      </c>
      <c r="G754" s="663"/>
      <c r="H754" s="663"/>
      <c r="I754" s="601"/>
      <c r="J754" s="663"/>
      <c r="K754" s="663"/>
      <c r="L754" s="678" t="s">
        <v>166</v>
      </c>
      <c r="M754" s="678"/>
      <c r="N754" s="678"/>
      <c r="O754" s="678"/>
      <c r="P754" s="678"/>
      <c r="R754" s="702">
        <f ca="1">SUMIF($L462:$L752,"ITEM",R462:R752)</f>
        <v>12587.099999999997</v>
      </c>
      <c r="S754" s="71"/>
      <c r="T754" s="702">
        <f ca="1">SUMIF($L462:$L752,"ITEM",T462:T752)</f>
        <v>235.24999999999983</v>
      </c>
    </row>
    <row r="755" spans="1:37" s="602" customFormat="1" ht="13.2">
      <c r="A755" s="63"/>
      <c r="B755" s="55" t="s">
        <v>413</v>
      </c>
      <c r="C755" s="63"/>
      <c r="D755" s="3"/>
      <c r="F755" s="703" t="s">
        <v>168</v>
      </c>
      <c r="G755" s="663"/>
      <c r="H755" s="663"/>
      <c r="I755" s="601"/>
      <c r="J755" s="663"/>
      <c r="K755" s="663"/>
      <c r="L755" s="663"/>
      <c r="M755" s="663"/>
      <c r="N755" s="663"/>
      <c r="O755" s="663"/>
      <c r="P755" s="663"/>
      <c r="Q755" s="665"/>
      <c r="R755" s="703" t="s">
        <v>169</v>
      </c>
      <c r="S755" s="38"/>
      <c r="T755" s="703" t="s">
        <v>170</v>
      </c>
    </row>
    <row r="756" spans="1:37" s="602" customFormat="1" ht="13.2">
      <c r="A756" s="663"/>
      <c r="B756" s="3"/>
      <c r="C756" s="663"/>
      <c r="D756" s="3"/>
      <c r="E756" s="3"/>
      <c r="G756" s="3"/>
      <c r="H756" s="3"/>
      <c r="I756" s="3"/>
      <c r="J756" s="3"/>
      <c r="K756" s="3"/>
      <c r="L756" s="3"/>
      <c r="M756" s="3"/>
      <c r="N756" s="3"/>
      <c r="O756" s="158"/>
      <c r="P756" s="3"/>
      <c r="Q756" s="3"/>
      <c r="R756" s="3"/>
      <c r="S756" s="3"/>
      <c r="T756" s="3"/>
    </row>
    <row r="757" spans="1:37" s="602" customFormat="1" ht="12" thickBot="1">
      <c r="A757" s="611"/>
      <c r="B757" s="684"/>
      <c r="C757" s="684"/>
      <c r="D757" s="611"/>
      <c r="E757" s="39"/>
      <c r="F757" s="704"/>
      <c r="G757" s="684"/>
      <c r="H757" s="684"/>
      <c r="I757" s="686"/>
      <c r="J757" s="684"/>
      <c r="K757" s="684"/>
      <c r="L757" s="687"/>
      <c r="M757" s="687"/>
      <c r="N757" s="687"/>
      <c r="O757" s="687"/>
      <c r="P757" s="687"/>
      <c r="Q757" s="688"/>
      <c r="R757" s="704"/>
      <c r="S757" s="705"/>
      <c r="T757" s="704"/>
      <c r="U757" s="611"/>
      <c r="V757" s="611"/>
      <c r="W757" s="611"/>
      <c r="X757" s="611"/>
      <c r="Y757" s="611"/>
      <c r="Z757" s="611"/>
      <c r="AA757" s="611"/>
      <c r="AB757" s="611"/>
      <c r="AC757" s="611"/>
      <c r="AD757" s="611"/>
      <c r="AE757" s="611"/>
      <c r="AF757" s="611"/>
      <c r="AG757" s="611"/>
      <c r="AH757" s="611"/>
      <c r="AI757" s="611"/>
      <c r="AJ757" s="611"/>
      <c r="AK757" s="611"/>
    </row>
    <row r="758" spans="1:37" s="602" customFormat="1" thickTop="1">
      <c r="A758" s="51" t="s">
        <v>154</v>
      </c>
      <c r="B758" s="3"/>
      <c r="C758" s="63"/>
      <c r="D758" s="63"/>
      <c r="E758" s="63"/>
      <c r="F758" s="63"/>
      <c r="G758" s="63"/>
      <c r="H758" s="63"/>
      <c r="I758" s="63"/>
      <c r="J758" s="63"/>
      <c r="K758" s="63"/>
      <c r="L758" s="63"/>
      <c r="M758" s="63"/>
      <c r="N758" s="63"/>
      <c r="O758" s="64"/>
      <c r="P758" s="63"/>
      <c r="Q758" s="63"/>
      <c r="R758" s="63"/>
      <c r="S758" s="63"/>
      <c r="T758" s="63"/>
    </row>
    <row r="759" spans="1:37" s="602" customFormat="1" ht="13.2">
      <c r="A759" s="63"/>
      <c r="B759" s="3"/>
      <c r="C759" s="3"/>
      <c r="E759" s="3"/>
      <c r="F759" s="3"/>
      <c r="G759" s="3"/>
      <c r="H759" s="3"/>
      <c r="I759" s="3"/>
      <c r="J759" s="3"/>
      <c r="K759" s="3"/>
      <c r="L759" s="3"/>
      <c r="M759" s="3"/>
      <c r="N759" s="3"/>
      <c r="O759" s="158"/>
      <c r="P759" s="3"/>
      <c r="Q759" s="3"/>
      <c r="R759" s="3"/>
      <c r="S759" s="3"/>
      <c r="T759" s="3"/>
    </row>
    <row r="760" spans="1:37" s="602" customFormat="1" ht="12">
      <c r="A760" s="63"/>
      <c r="B760" s="699">
        <f ca="1">$F760/$C$2-($R760*$S$2+$T760*$T$2)</f>
        <v>596.59196015214548</v>
      </c>
      <c r="C760" s="63"/>
      <c r="D760" s="706" t="s">
        <v>1387</v>
      </c>
      <c r="E760" s="701"/>
      <c r="F760" s="707">
        <f ca="1">SUMIF($L462:$L758,"PAGE",F462:F758)</f>
        <v>25620.6</v>
      </c>
      <c r="G760" s="663"/>
      <c r="H760" s="663"/>
      <c r="I760" s="601"/>
      <c r="J760" s="663"/>
      <c r="K760" s="663"/>
      <c r="L760" s="172" t="s">
        <v>420</v>
      </c>
      <c r="M760" s="172"/>
      <c r="N760" s="172"/>
      <c r="O760" s="173"/>
      <c r="P760" s="172"/>
      <c r="Q760" s="63"/>
      <c r="R760" s="707">
        <f ca="1">SUMIF($L462:$L758,"PAGE",R462:R758)</f>
        <v>12587.099999999997</v>
      </c>
      <c r="S760" s="63"/>
      <c r="T760" s="707">
        <f ca="1">SUMIF($L462:$L758,"PAGE",T462:T758)</f>
        <v>235.24999999999983</v>
      </c>
    </row>
    <row r="761" spans="1:37" s="602" customFormat="1" ht="12">
      <c r="A761" s="63"/>
      <c r="B761" s="55" t="s">
        <v>413</v>
      </c>
      <c r="C761" s="63"/>
      <c r="D761" s="706"/>
      <c r="F761" s="708" t="s">
        <v>421</v>
      </c>
      <c r="G761" s="663"/>
      <c r="H761" s="663"/>
      <c r="I761" s="601"/>
      <c r="J761" s="663"/>
      <c r="K761" s="663"/>
      <c r="L761" s="63"/>
      <c r="M761" s="63"/>
      <c r="N761" s="63"/>
      <c r="O761" s="64"/>
      <c r="P761" s="63"/>
      <c r="Q761" s="63"/>
      <c r="R761" s="708" t="s">
        <v>422</v>
      </c>
      <c r="S761" s="38"/>
      <c r="T761" s="708" t="s">
        <v>423</v>
      </c>
    </row>
    <row r="762" spans="1:37" s="602" customFormat="1" ht="11.4">
      <c r="O762" s="698"/>
    </row>
    <row r="763" spans="1:37" s="602" customFormat="1" ht="12" thickBot="1">
      <c r="A763" s="684"/>
      <c r="B763" s="684"/>
      <c r="C763" s="684"/>
      <c r="D763" s="684"/>
      <c r="E763" s="684"/>
      <c r="F763" s="39"/>
      <c r="G763" s="611"/>
      <c r="H763" s="611"/>
      <c r="I763" s="611"/>
      <c r="J763" s="611"/>
      <c r="K763" s="611"/>
      <c r="L763" s="684"/>
      <c r="M763" s="684"/>
      <c r="N763" s="684"/>
      <c r="O763" s="684"/>
      <c r="P763" s="684"/>
      <c r="Q763" s="688"/>
      <c r="R763" s="39"/>
      <c r="S763" s="39"/>
      <c r="T763" s="39"/>
      <c r="U763" s="611"/>
      <c r="V763" s="611"/>
      <c r="W763" s="611"/>
      <c r="X763" s="611"/>
      <c r="Y763" s="611"/>
      <c r="Z763" s="611"/>
      <c r="AA763" s="611"/>
      <c r="AB763" s="611"/>
      <c r="AC763" s="611"/>
      <c r="AD763" s="611"/>
      <c r="AE763" s="611"/>
      <c r="AF763" s="611"/>
      <c r="AG763" s="611"/>
      <c r="AH763" s="611"/>
      <c r="AI763" s="611"/>
      <c r="AJ763" s="611"/>
      <c r="AK763" s="611"/>
    </row>
    <row r="764" spans="1:37" s="602" customFormat="1" thickTop="1">
      <c r="A764" s="63"/>
      <c r="B764" s="63"/>
      <c r="C764" s="3"/>
      <c r="D764" s="3"/>
      <c r="E764" s="63"/>
      <c r="F764" s="63"/>
      <c r="G764" s="63"/>
      <c r="H764" s="63"/>
      <c r="I764" s="63"/>
      <c r="J764" s="63"/>
      <c r="K764" s="63" t="s">
        <v>134</v>
      </c>
      <c r="L764" s="63"/>
      <c r="M764" s="63"/>
      <c r="N764" s="63"/>
      <c r="O764" s="64"/>
      <c r="P764" s="63"/>
      <c r="Q764" s="63"/>
      <c r="R764" s="63"/>
      <c r="S764" s="63"/>
      <c r="T764" s="63"/>
    </row>
    <row r="765" spans="1:37" s="602" customFormat="1" ht="12">
      <c r="A765" s="63"/>
      <c r="B765" s="63"/>
      <c r="C765" s="63" t="s">
        <v>135</v>
      </c>
      <c r="D765" s="37" t="s">
        <v>136</v>
      </c>
      <c r="E765" s="63"/>
      <c r="F765" s="63"/>
      <c r="G765" s="63"/>
      <c r="H765" s="63"/>
      <c r="I765" s="63"/>
      <c r="J765" s="63"/>
      <c r="K765" s="63"/>
      <c r="L765" s="63"/>
      <c r="M765" s="63"/>
      <c r="N765" s="63"/>
      <c r="O765" s="64"/>
      <c r="P765" s="63"/>
      <c r="Q765" s="63"/>
      <c r="R765" s="63"/>
      <c r="S765" s="63"/>
      <c r="T765" s="63"/>
    </row>
    <row r="766" spans="1:37" s="602" customFormat="1" ht="12">
      <c r="A766" s="63"/>
      <c r="B766" s="63"/>
      <c r="C766" s="63"/>
      <c r="D766" s="37" t="s">
        <v>1185</v>
      </c>
      <c r="E766" s="63"/>
      <c r="F766" s="63"/>
      <c r="G766" s="63"/>
      <c r="H766" s="63"/>
      <c r="I766" s="63"/>
      <c r="J766" s="63"/>
      <c r="K766" s="63"/>
      <c r="L766" s="63"/>
      <c r="M766" s="63"/>
      <c r="N766" s="63"/>
      <c r="O766" s="64"/>
      <c r="P766" s="63"/>
      <c r="Q766" s="63"/>
      <c r="R766" s="63"/>
      <c r="S766" s="38"/>
      <c r="T766" s="38"/>
    </row>
    <row r="767" spans="1:37" s="3" customFormat="1" thickBot="1">
      <c r="A767" s="611"/>
      <c r="O767" s="158"/>
    </row>
    <row r="768" spans="1:37" s="602" customFormat="1" thickTop="1">
      <c r="A768" s="63"/>
      <c r="B768" s="63"/>
      <c r="C768" s="3"/>
      <c r="D768" s="3"/>
      <c r="E768" s="63"/>
      <c r="F768" s="63"/>
      <c r="G768" s="63"/>
      <c r="H768" s="63"/>
      <c r="I768" s="63"/>
      <c r="J768" s="63"/>
      <c r="K768" s="63" t="s">
        <v>134</v>
      </c>
      <c r="L768" s="63"/>
      <c r="M768" s="63"/>
      <c r="N768" s="63"/>
      <c r="O768" s="64"/>
      <c r="P768" s="63"/>
      <c r="Q768" s="63"/>
      <c r="R768" s="63"/>
      <c r="S768" s="63"/>
      <c r="T768" s="63"/>
    </row>
    <row r="769" spans="1:41" s="602" customFormat="1" ht="12">
      <c r="A769" s="63"/>
      <c r="B769" s="63"/>
      <c r="C769" s="63" t="s">
        <v>135</v>
      </c>
      <c r="D769" s="37" t="s">
        <v>136</v>
      </c>
      <c r="E769" s="63"/>
      <c r="F769" s="63"/>
      <c r="G769" s="63"/>
      <c r="H769" s="63"/>
      <c r="I769" s="63"/>
      <c r="J769" s="63"/>
      <c r="K769" s="63"/>
      <c r="L769" s="63"/>
      <c r="M769" s="63"/>
      <c r="N769" s="63"/>
      <c r="O769" s="64"/>
      <c r="P769" s="63"/>
      <c r="Q769" s="63"/>
      <c r="R769" s="63"/>
      <c r="S769" s="63"/>
      <c r="T769" s="63"/>
    </row>
    <row r="770" spans="1:41" s="602" customFormat="1" ht="12">
      <c r="A770" s="63"/>
      <c r="B770" s="63"/>
      <c r="C770" s="63"/>
      <c r="D770" s="37" t="s">
        <v>1198</v>
      </c>
      <c r="E770" s="63"/>
      <c r="F770" s="63"/>
      <c r="G770" s="63"/>
      <c r="H770" s="63"/>
      <c r="I770" s="63"/>
      <c r="J770" s="63"/>
      <c r="K770" s="63"/>
      <c r="L770" s="63"/>
      <c r="M770" s="63"/>
      <c r="N770" s="63"/>
      <c r="O770" s="64"/>
      <c r="P770" s="63"/>
      <c r="Q770" s="63"/>
      <c r="R770" s="63"/>
      <c r="S770" s="38"/>
      <c r="T770" s="38"/>
    </row>
    <row r="771" spans="1:41" s="3" customFormat="1" thickBot="1">
      <c r="A771" s="611"/>
      <c r="O771" s="158"/>
    </row>
    <row r="772" spans="1:41" s="602" customFormat="1" thickTop="1">
      <c r="A772" s="63"/>
      <c r="B772" s="41"/>
      <c r="C772" s="63"/>
      <c r="E772" s="42" t="s">
        <v>138</v>
      </c>
      <c r="F772" s="42" t="s">
        <v>139</v>
      </c>
      <c r="G772" s="63"/>
      <c r="H772" s="63"/>
      <c r="I772" s="63"/>
      <c r="J772" s="63"/>
      <c r="K772" s="63" t="s">
        <v>140</v>
      </c>
      <c r="L772" s="751"/>
      <c r="M772" s="63"/>
      <c r="N772" s="63"/>
      <c r="O772" s="64"/>
      <c r="P772" s="63"/>
      <c r="Q772"/>
      <c r="R772"/>
      <c r="S772"/>
      <c r="T772" s="41"/>
      <c r="AG772" s="667" t="s">
        <v>278</v>
      </c>
      <c r="AH772" s="667" t="s">
        <v>279</v>
      </c>
      <c r="AI772" s="667" t="s">
        <v>280</v>
      </c>
      <c r="AJ772" s="667" t="s">
        <v>281</v>
      </c>
      <c r="AK772" s="667" t="s">
        <v>282</v>
      </c>
      <c r="AM772" s="668" t="s">
        <v>291</v>
      </c>
      <c r="AN772" s="669" t="s">
        <v>292</v>
      </c>
      <c r="AO772" s="603" t="s">
        <v>288</v>
      </c>
    </row>
    <row r="773" spans="1:41" s="602" customFormat="1" ht="13.2">
      <c r="A773" s="670">
        <v>1</v>
      </c>
      <c r="B773" s="838" t="s">
        <v>312</v>
      </c>
      <c r="C773" s="672"/>
      <c r="D773" s="673" t="s">
        <v>1200</v>
      </c>
      <c r="E773" s="752">
        <f>IF(AND($A773=0,$A$1="DIF"),0, ROUND(ROUND(SUMIF($L775:$L786,"SUBI",$E775:$E786)/$A773,2)*$C$12,2))</f>
        <v>4452.57</v>
      </c>
      <c r="F773" s="753">
        <f>ROUND($A773*$E773,2)</f>
        <v>4452.57</v>
      </c>
      <c r="G773" s="676" t="s">
        <v>142</v>
      </c>
      <c r="H773" s="664"/>
      <c r="I773" s="677"/>
      <c r="J773" s="664"/>
      <c r="K773" s="754"/>
      <c r="L773" s="709" t="s">
        <v>143</v>
      </c>
      <c r="M773" s="678"/>
      <c r="N773" s="678"/>
      <c r="O773" s="678"/>
      <c r="P773" s="678"/>
      <c r="Q773"/>
      <c r="R773"/>
      <c r="S773"/>
      <c r="T773" s="755" t="str">
        <f>IF(AND($R792=0,$T792=0),"0.00","mu :" &amp; ROUND($F773/$C$12/($R792+$T792*$D$9),2))</f>
        <v>mu :1.35</v>
      </c>
      <c r="W773" s="604"/>
      <c r="AG773" s="756">
        <f>IF(A773=0,0,ROUND(SUM(AG775:AG792)/A773,2))</f>
        <v>4410.3999999999996</v>
      </c>
      <c r="AH773" s="756">
        <f>$AG773*$A773</f>
        <v>4410.3999999999996</v>
      </c>
      <c r="AI773" s="756">
        <f>$E773-$AG773</f>
        <v>42.170000000000073</v>
      </c>
      <c r="AJ773" s="756">
        <f>$A773*$AI773</f>
        <v>42.170000000000073</v>
      </c>
      <c r="AK773" s="757">
        <f>ROUND(($AG773+$AI773)*$A773,2)</f>
        <v>4452.57</v>
      </c>
      <c r="AM773" s="607">
        <f>ROUND(R792,2)</f>
        <v>3266.96</v>
      </c>
      <c r="AN773" s="608">
        <f>ROUND(T792,2)</f>
        <v>4</v>
      </c>
      <c r="AO773" s="609">
        <f>ROUND(AM773+AN773,2)*A773</f>
        <v>3270.96</v>
      </c>
    </row>
    <row r="774" spans="1:41" s="602" customFormat="1" ht="19.95" customHeight="1">
      <c r="A774" s="1068"/>
      <c r="B774" s="1069"/>
      <c r="C774" s="672"/>
      <c r="D774" s="1070" t="s">
        <v>1197</v>
      </c>
      <c r="F774" s="664"/>
      <c r="G774" s="664"/>
      <c r="H774" s="664"/>
      <c r="I774" s="677"/>
      <c r="J774" s="664"/>
      <c r="K774" s="664" t="s">
        <v>144</v>
      </c>
      <c r="L774" s="712"/>
      <c r="M774" s="664"/>
      <c r="N774" s="664"/>
      <c r="O774" s="664"/>
      <c r="P774" s="664"/>
      <c r="Q774" s="63"/>
      <c r="R774" s="610"/>
      <c r="S774" s="680"/>
      <c r="T774" s="664"/>
    </row>
    <row r="775" spans="1:41" s="602" customFormat="1" ht="12">
      <c r="A775" s="758"/>
      <c r="B775" s="759"/>
      <c r="C775" s="663"/>
      <c r="D775" s="664"/>
      <c r="E775" s="760">
        <f>F773/$C$12-SUMIF($L772:$L792,"SUBI",$E772:$E792)</f>
        <v>2.4512904492439702E-3</v>
      </c>
      <c r="F775" s="761" t="s">
        <v>687</v>
      </c>
      <c r="G775" s="762"/>
      <c r="H775" s="762"/>
      <c r="I775" s="763"/>
      <c r="J775" s="762"/>
      <c r="K775" s="762"/>
      <c r="L775" s="764"/>
      <c r="M775" s="765"/>
      <c r="N775" s="765"/>
      <c r="O775" s="765"/>
      <c r="P775" s="765"/>
      <c r="Q775" s="766"/>
      <c r="R775" s="767"/>
      <c r="S775" s="766"/>
      <c r="T775" s="768"/>
    </row>
    <row r="776" spans="1:41" s="602" customFormat="1" ht="12" customHeight="1">
      <c r="A776" s="769"/>
      <c r="B776" s="770"/>
      <c r="C776" s="771"/>
      <c r="D776" s="771" t="str">
        <f>$F$2</f>
        <v>Electrical</v>
      </c>
      <c r="E776" s="771">
        <f>ROUND(($R780*$S$2 + ($T780*$T$2)), 2)</f>
        <v>0</v>
      </c>
      <c r="F776" s="772">
        <f>$E776*$C$12</f>
        <v>0</v>
      </c>
      <c r="G776" s="610"/>
      <c r="H776" s="773"/>
      <c r="I776" s="610"/>
      <c r="J776" s="64"/>
      <c r="K776" s="774" t="s">
        <v>3</v>
      </c>
      <c r="L776" s="775" t="s">
        <v>688</v>
      </c>
      <c r="M776" s="610"/>
      <c r="N776" s="610"/>
      <c r="O776" s="64"/>
      <c r="P776" s="610"/>
      <c r="Q776" s="610"/>
      <c r="R776"/>
      <c r="S776"/>
      <c r="T776"/>
    </row>
    <row r="777" spans="1:41" s="602" customFormat="1" ht="13.95" customHeight="1">
      <c r="A777" s="70"/>
      <c r="B777" s="1071" t="s">
        <v>1201</v>
      </c>
      <c r="C777" s="610"/>
      <c r="D777" s="610"/>
      <c r="E777" s="1279" t="s">
        <v>1403</v>
      </c>
      <c r="F777" s="610"/>
      <c r="G777" s="610"/>
      <c r="H777" s="773"/>
      <c r="I777" s="610"/>
      <c r="J777" s="64"/>
      <c r="K777" s="776"/>
      <c r="L777" s="777"/>
      <c r="M777" s="610"/>
      <c r="N777" s="610"/>
      <c r="O777" s="64"/>
      <c r="P777" s="610"/>
      <c r="Q777" s="610"/>
      <c r="R777" s="725">
        <f>$A777*Q777</f>
        <v>0</v>
      </c>
      <c r="S777" s="610"/>
      <c r="T777" s="681">
        <f>$A777*S777*$T$1</f>
        <v>0</v>
      </c>
    </row>
    <row r="778" spans="1:41" s="602" customFormat="1" ht="13.95" customHeight="1">
      <c r="A778" s="70"/>
      <c r="B778" s="610"/>
      <c r="C778" s="610"/>
      <c r="D778" s="610"/>
      <c r="E778" s="610"/>
      <c r="F778" s="610"/>
      <c r="G778" s="610"/>
      <c r="H778" s="773"/>
      <c r="I778" s="610"/>
      <c r="J778" s="64"/>
      <c r="K778" s="776"/>
      <c r="L778" s="777"/>
      <c r="M778" s="610"/>
      <c r="N778" s="610"/>
      <c r="O778" s="64"/>
      <c r="P778" s="610"/>
      <c r="Q778" s="610"/>
      <c r="R778" s="725">
        <f>$A778*Q778</f>
        <v>0</v>
      </c>
      <c r="S778" s="610"/>
      <c r="T778" s="681">
        <f>$A778*S778*$T$1</f>
        <v>0</v>
      </c>
    </row>
    <row r="779" spans="1:41" s="602" customFormat="1" ht="13.95" customHeight="1">
      <c r="A779" s="70"/>
      <c r="B779" s="610"/>
      <c r="C779" s="610"/>
      <c r="D779" s="610"/>
      <c r="E779" s="610"/>
      <c r="F779" s="610"/>
      <c r="G779" s="610"/>
      <c r="H779" s="773"/>
      <c r="I779" s="610"/>
      <c r="J779" s="64"/>
      <c r="K779" s="776"/>
      <c r="L779" s="777"/>
      <c r="M779" s="610"/>
      <c r="N779" s="610"/>
      <c r="O779" s="64"/>
      <c r="P779" s="610"/>
      <c r="Q779" s="610"/>
      <c r="R779" s="725">
        <f>$A779*Q779</f>
        <v>0</v>
      </c>
      <c r="S779" s="610"/>
      <c r="T779" s="681">
        <f>$A779*S779*$T$1</f>
        <v>0</v>
      </c>
    </row>
    <row r="780" spans="1:41" s="602" customFormat="1" ht="12">
      <c r="A780" s="778" t="s">
        <v>145</v>
      </c>
      <c r="B780" s="779">
        <f>(R779+T779)</f>
        <v>0</v>
      </c>
      <c r="C780" s="663"/>
      <c r="G780" s="780"/>
      <c r="H780" s="780"/>
      <c r="I780" s="780"/>
      <c r="J780" s="780"/>
      <c r="K780" s="781" t="s">
        <v>3</v>
      </c>
      <c r="L780" s="782" t="s">
        <v>688</v>
      </c>
      <c r="M780" s="780"/>
      <c r="N780" s="780"/>
      <c r="O780" s="780"/>
      <c r="P780" s="780"/>
      <c r="Q780" s="783"/>
      <c r="R780" s="784">
        <f>SUM(R776:R779)</f>
        <v>0</v>
      </c>
      <c r="S780" s="785"/>
      <c r="T780" s="784">
        <f>SUM(T776:T779)</f>
        <v>0</v>
      </c>
      <c r="AG780" s="786">
        <f>ROUND($R780*$S$2,2)</f>
        <v>0</v>
      </c>
    </row>
    <row r="781" spans="1:41" s="602" customFormat="1" ht="12" customHeight="1">
      <c r="A781" s="769"/>
      <c r="B781" s="1288"/>
      <c r="C781" s="789"/>
      <c r="D781" s="789" t="str">
        <f>$F$3</f>
        <v>ECA (Technician)</v>
      </c>
      <c r="E781" s="789">
        <f>ROUND(($R785*$S$3 + ($T785*$T$3)),2)</f>
        <v>4410.3999999999996</v>
      </c>
      <c r="F781" s="1289">
        <f>$E781*$C$12</f>
        <v>4294.8132709660667</v>
      </c>
      <c r="G781" s="610"/>
      <c r="H781" s="773"/>
      <c r="I781" s="610"/>
      <c r="J781" s="64"/>
      <c r="K781" s="774" t="s">
        <v>5</v>
      </c>
      <c r="L781" s="775" t="s">
        <v>688</v>
      </c>
      <c r="M781" s="610"/>
      <c r="N781" s="610"/>
      <c r="O781" s="64"/>
      <c r="P781" s="610"/>
      <c r="Q781" s="610"/>
      <c r="R781"/>
      <c r="S781"/>
      <c r="T781"/>
    </row>
    <row r="782" spans="1:41" s="730" customFormat="1" ht="13.2">
      <c r="A782">
        <v>1</v>
      </c>
      <c r="B782" s="730" t="s">
        <v>141</v>
      </c>
      <c r="D782" s="730" t="s">
        <v>1242</v>
      </c>
      <c r="F782" s="1290" t="s">
        <v>1377</v>
      </c>
      <c r="G782" s="731" t="s">
        <v>1243</v>
      </c>
      <c r="H782" s="732">
        <v>512</v>
      </c>
      <c r="I782" s="730" t="s">
        <v>674</v>
      </c>
      <c r="O782" s="733">
        <v>3</v>
      </c>
      <c r="P782" s="734"/>
      <c r="Q782" s="735">
        <v>3266.96</v>
      </c>
      <c r="R782" s="736">
        <f>$A782*Q782</f>
        <v>3266.96</v>
      </c>
      <c r="S782" s="735"/>
      <c r="T782" s="737">
        <f>$A782*S782*$T$1</f>
        <v>0</v>
      </c>
    </row>
    <row r="783" spans="1:41" s="602" customFormat="1" ht="13.95" customHeight="1">
      <c r="A783" s="70"/>
      <c r="B783" s="610"/>
      <c r="C783" s="610"/>
      <c r="D783" s="610"/>
      <c r="E783" s="610"/>
      <c r="F783" s="610"/>
      <c r="G783" s="610"/>
      <c r="H783" s="773"/>
      <c r="I783" s="610"/>
      <c r="J783" s="64"/>
      <c r="K783" s="776"/>
      <c r="L783" s="777"/>
      <c r="M783" s="610"/>
      <c r="N783" s="610"/>
      <c r="O783" s="64"/>
      <c r="P783" s="610"/>
      <c r="Q783" s="610"/>
      <c r="R783" s="725">
        <f>$A783*Q783</f>
        <v>0</v>
      </c>
      <c r="S783" s="610"/>
      <c r="T783" s="681">
        <f>$A783*S783*$T$1</f>
        <v>0</v>
      </c>
    </row>
    <row r="784" spans="1:41" s="602" customFormat="1" ht="13.95" customHeight="1">
      <c r="A784" s="70"/>
      <c r="B784" s="610"/>
      <c r="C784" s="610"/>
      <c r="D784" s="610"/>
      <c r="E784" s="610"/>
      <c r="F784" s="610"/>
      <c r="G784" s="610"/>
      <c r="H784" s="773"/>
      <c r="I784" s="610"/>
      <c r="J784" s="64"/>
      <c r="K784" s="776"/>
      <c r="L784" s="777"/>
      <c r="M784" s="610"/>
      <c r="N784" s="610"/>
      <c r="O784" s="64"/>
      <c r="P784" s="610"/>
      <c r="Q784" s="610"/>
      <c r="R784" s="725">
        <f>$A784*Q784</f>
        <v>0</v>
      </c>
      <c r="S784" s="610"/>
      <c r="T784" s="681">
        <f>$A784*S784*$T$1</f>
        <v>0</v>
      </c>
    </row>
    <row r="785" spans="1:41" s="602" customFormat="1" ht="12">
      <c r="A785" s="778" t="s">
        <v>145</v>
      </c>
      <c r="B785" s="779">
        <f>(R784+T784)</f>
        <v>0</v>
      </c>
      <c r="C785" s="663"/>
      <c r="G785" s="780"/>
      <c r="H785" s="780"/>
      <c r="I785" s="780"/>
      <c r="J785" s="780"/>
      <c r="K785" s="781" t="s">
        <v>5</v>
      </c>
      <c r="L785" s="782" t="s">
        <v>688</v>
      </c>
      <c r="M785" s="780"/>
      <c r="N785" s="780"/>
      <c r="O785" s="780"/>
      <c r="P785" s="780"/>
      <c r="Q785" s="783"/>
      <c r="R785" s="784">
        <f>SUM(R781:R784)</f>
        <v>3266.96</v>
      </c>
      <c r="S785" s="785"/>
      <c r="T785" s="784">
        <f>SUM(T781:T784)</f>
        <v>0</v>
      </c>
      <c r="AG785" s="797">
        <f>ROUND($R785*$S$3,2)</f>
        <v>4410.3999999999996</v>
      </c>
    </row>
    <row r="786" spans="1:41" s="602" customFormat="1" ht="12" customHeight="1">
      <c r="A786" s="787"/>
      <c r="B786" s="878"/>
      <c r="C786" s="880"/>
      <c r="D786" s="880" t="str">
        <f>$F$4</f>
        <v>ECA (Engineer)</v>
      </c>
      <c r="E786" s="880">
        <f>ROUND(($R790*$S$4 + ($T790*$T$4)),2)</f>
        <v>162</v>
      </c>
      <c r="F786" s="881">
        <f>$F773-SUMIF($L775:$L785,"SUBI",$F775:$F785)</f>
        <v>157.75672903393297</v>
      </c>
      <c r="G786" s="601"/>
      <c r="H786" s="601"/>
      <c r="I786" s="601"/>
      <c r="J786" s="601"/>
      <c r="K786" s="774" t="s">
        <v>8</v>
      </c>
      <c r="L786" s="775" t="s">
        <v>688</v>
      </c>
      <c r="M786" s="601"/>
      <c r="N786" s="601"/>
      <c r="O786" s="601"/>
      <c r="P786" s="601"/>
      <c r="Q786" s="601"/>
      <c r="R786" s="791"/>
      <c r="S786" s="601"/>
      <c r="T786" s="791"/>
    </row>
    <row r="787" spans="1:41" s="730" customFormat="1" ht="13.2">
      <c r="A787">
        <v>1</v>
      </c>
      <c r="B787" s="730" t="s">
        <v>141</v>
      </c>
      <c r="D787" s="730" t="s">
        <v>1242</v>
      </c>
      <c r="F787" s="1290" t="s">
        <v>1377</v>
      </c>
      <c r="G787" s="731" t="s">
        <v>1243</v>
      </c>
      <c r="H787" s="732">
        <v>512</v>
      </c>
      <c r="I787" s="730" t="s">
        <v>674</v>
      </c>
      <c r="O787" s="733">
        <v>3</v>
      </c>
      <c r="P787" s="734"/>
      <c r="Q787" s="735"/>
      <c r="R787" s="736">
        <f>$A787*Q787</f>
        <v>0</v>
      </c>
      <c r="S787" s="735">
        <v>4</v>
      </c>
      <c r="T787" s="737">
        <f>$A787*S787*$T$1</f>
        <v>4</v>
      </c>
    </row>
    <row r="788" spans="1:41" s="602" customFormat="1" ht="11.4">
      <c r="A788" s="70"/>
      <c r="B788" s="610"/>
      <c r="C788" s="610"/>
      <c r="D788" s="610"/>
      <c r="E788" s="610"/>
      <c r="F788" s="610"/>
      <c r="G788" s="610"/>
      <c r="H788" s="610"/>
      <c r="I788" s="610"/>
      <c r="J788" s="610"/>
      <c r="K788" s="610"/>
      <c r="L788" s="777"/>
      <c r="M788" s="610"/>
      <c r="N788" s="610"/>
      <c r="O788" s="610"/>
      <c r="P788" s="610"/>
      <c r="Q788" s="610"/>
      <c r="R788" s="725">
        <f>$A788*Q788</f>
        <v>0</v>
      </c>
      <c r="S788" s="610"/>
      <c r="T788" s="681">
        <f>$A788*S788*$T$1</f>
        <v>0</v>
      </c>
    </row>
    <row r="789" spans="1:41" s="602" customFormat="1" ht="13.2">
      <c r="A789" s="70"/>
      <c r="B789" s="610"/>
      <c r="C789" s="610"/>
      <c r="D789" s="3"/>
      <c r="E789" s="610"/>
      <c r="F789" s="610"/>
      <c r="G789" s="610"/>
      <c r="H789" s="610"/>
      <c r="I789" s="610"/>
      <c r="J789" s="610"/>
      <c r="K789" s="610"/>
      <c r="L789" s="777"/>
      <c r="M789" s="610"/>
      <c r="N789" s="610"/>
      <c r="O789" s="610"/>
      <c r="P789" s="610"/>
      <c r="Q789" s="610"/>
      <c r="R789" s="725">
        <f>$A789*Q789</f>
        <v>0</v>
      </c>
      <c r="S789" s="610"/>
      <c r="T789" s="681">
        <f>$A789*S789*$T$1</f>
        <v>0</v>
      </c>
    </row>
    <row r="790" spans="1:41" s="602" customFormat="1" ht="12" customHeight="1">
      <c r="A790" s="792" t="s">
        <v>145</v>
      </c>
      <c r="B790" s="793">
        <f>(R789+T789)</f>
        <v>0</v>
      </c>
      <c r="C790" s="794"/>
      <c r="D790" s="794"/>
      <c r="E790" s="794"/>
      <c r="F790" s="794"/>
      <c r="G790" s="783"/>
      <c r="H790" s="783"/>
      <c r="I790" s="783"/>
      <c r="J790" s="783"/>
      <c r="K790" s="795" t="s">
        <v>8</v>
      </c>
      <c r="L790" s="796" t="s">
        <v>688</v>
      </c>
      <c r="M790" s="783"/>
      <c r="N790" s="783"/>
      <c r="O790" s="783"/>
      <c r="P790" s="783"/>
      <c r="Q790" s="783"/>
      <c r="R790" s="784">
        <f>SUM(R786:R789)</f>
        <v>0</v>
      </c>
      <c r="S790" s="785"/>
      <c r="T790" s="784">
        <f>SUM(T786:T789)</f>
        <v>4</v>
      </c>
      <c r="AG790" s="885">
        <f>ROUND($R790*$S$4,2)</f>
        <v>0</v>
      </c>
    </row>
    <row r="791" spans="1:41" s="602" customFormat="1" ht="12.75" customHeight="1">
      <c r="A791" s="798"/>
      <c r="B791" s="799"/>
      <c r="E791" s="663"/>
      <c r="F791" s="800"/>
      <c r="G791" s="663"/>
      <c r="H791" s="663"/>
      <c r="I791" s="601"/>
      <c r="J791" s="663"/>
      <c r="K791" s="663"/>
      <c r="L791" s="801"/>
      <c r="M791" s="802"/>
      <c r="N791" s="802"/>
      <c r="O791" s="802"/>
      <c r="P791" s="802"/>
      <c r="Q791" s="665"/>
      <c r="R791" s="791"/>
      <c r="S791" s="663"/>
      <c r="T791" s="791"/>
    </row>
    <row r="792" spans="1:41" s="602" customFormat="1" ht="13.5" customHeight="1" thickBot="1">
      <c r="A792" s="803"/>
      <c r="B792" s="804"/>
      <c r="C792" s="611"/>
      <c r="D792" s="611"/>
      <c r="E792" s="684"/>
      <c r="F792" s="685"/>
      <c r="G792" s="684" t="s">
        <v>146</v>
      </c>
      <c r="H792" s="684"/>
      <c r="I792" s="686"/>
      <c r="J792" s="684"/>
      <c r="K792" s="684"/>
      <c r="L792" s="729" t="s">
        <v>143</v>
      </c>
      <c r="M792" s="687"/>
      <c r="N792" s="687"/>
      <c r="O792" s="687"/>
      <c r="P792" s="687"/>
      <c r="Q792" s="688"/>
      <c r="R792" s="805">
        <f>SUMIF($L774:$L791,"SUBI",R774:R791)</f>
        <v>3266.96</v>
      </c>
      <c r="S792" s="684"/>
      <c r="T792" s="805">
        <f>SUMIF($L774:$L791,"SUBI",T774:T791)</f>
        <v>4</v>
      </c>
      <c r="U792" s="611"/>
      <c r="V792" s="611"/>
      <c r="W792" s="611"/>
      <c r="X792" s="611"/>
      <c r="Y792" s="611"/>
      <c r="Z792" s="611"/>
      <c r="AA792" s="611"/>
      <c r="AB792" s="611"/>
      <c r="AC792" s="611"/>
      <c r="AD792" s="611"/>
      <c r="AE792" s="611"/>
      <c r="AF792" s="611"/>
      <c r="AG792" s="611"/>
      <c r="AH792" s="611"/>
      <c r="AI792" s="611"/>
      <c r="AJ792" s="611"/>
      <c r="AK792" s="611"/>
      <c r="AL792" s="611"/>
      <c r="AM792" s="611"/>
      <c r="AN792" s="611"/>
      <c r="AO792" s="611"/>
    </row>
    <row r="793" spans="1:41" s="602" customFormat="1" thickTop="1">
      <c r="A793" s="63"/>
      <c r="B793" s="63"/>
      <c r="C793" s="3"/>
      <c r="D793" s="3"/>
      <c r="E793" s="63"/>
      <c r="F793" s="63"/>
      <c r="G793" s="63"/>
      <c r="H793" s="63"/>
      <c r="I793" s="63"/>
      <c r="J793" s="63"/>
      <c r="K793" s="63" t="s">
        <v>134</v>
      </c>
      <c r="L793" s="63"/>
      <c r="M793" s="63"/>
      <c r="N793" s="63"/>
      <c r="O793" s="64"/>
      <c r="P793" s="63"/>
      <c r="Q793" s="63"/>
      <c r="R793" s="63"/>
      <c r="S793" s="63"/>
      <c r="T793" s="63"/>
    </row>
    <row r="794" spans="1:41" s="602" customFormat="1" ht="12">
      <c r="A794" s="63"/>
      <c r="B794" s="63"/>
      <c r="C794" s="63" t="s">
        <v>135</v>
      </c>
      <c r="D794" s="37" t="s">
        <v>136</v>
      </c>
      <c r="E794" s="63"/>
      <c r="F794" s="63"/>
      <c r="G794" s="63"/>
      <c r="H794" s="63"/>
      <c r="I794" s="63"/>
      <c r="J794" s="63"/>
      <c r="K794" s="63"/>
      <c r="L794" s="63"/>
      <c r="M794" s="63"/>
      <c r="N794" s="63"/>
      <c r="O794" s="64"/>
      <c r="P794" s="63"/>
      <c r="Q794" s="63"/>
      <c r="R794" s="63"/>
      <c r="S794" s="63"/>
      <c r="T794" s="63"/>
    </row>
    <row r="795" spans="1:41" s="602" customFormat="1" ht="12">
      <c r="A795" s="63"/>
      <c r="B795" s="63"/>
      <c r="C795" s="63"/>
      <c r="D795" s="37" t="s">
        <v>1196</v>
      </c>
      <c r="E795" s="63"/>
      <c r="F795" s="63"/>
      <c r="G795" s="63"/>
      <c r="H795" s="63"/>
      <c r="I795" s="63"/>
      <c r="J795" s="63"/>
      <c r="K795" s="63"/>
      <c r="L795" s="63"/>
      <c r="M795" s="63"/>
      <c r="N795" s="63"/>
      <c r="O795" s="64"/>
      <c r="P795" s="63"/>
      <c r="Q795" s="63"/>
      <c r="R795" s="63"/>
      <c r="S795" s="38"/>
      <c r="T795" s="38"/>
    </row>
    <row r="796" spans="1:41" s="3" customFormat="1" thickBot="1">
      <c r="A796" s="611"/>
      <c r="O796" s="158"/>
    </row>
    <row r="797" spans="1:41" s="602" customFormat="1" thickTop="1">
      <c r="A797" s="63"/>
      <c r="B797" s="41"/>
      <c r="C797" s="63"/>
      <c r="E797" s="42" t="s">
        <v>138</v>
      </c>
      <c r="F797" s="42" t="s">
        <v>139</v>
      </c>
      <c r="G797" s="63"/>
      <c r="H797" s="63"/>
      <c r="I797" s="63"/>
      <c r="J797" s="63"/>
      <c r="K797" s="63" t="s">
        <v>140</v>
      </c>
      <c r="L797" s="751"/>
      <c r="M797" s="63"/>
      <c r="N797" s="63"/>
      <c r="O797" s="64"/>
      <c r="P797" s="63"/>
      <c r="Q797"/>
      <c r="R797"/>
      <c r="S797"/>
      <c r="T797" s="41"/>
      <c r="AG797" s="667" t="s">
        <v>278</v>
      </c>
      <c r="AH797" s="667" t="s">
        <v>279</v>
      </c>
      <c r="AI797" s="667" t="s">
        <v>280</v>
      </c>
      <c r="AJ797" s="667" t="s">
        <v>281</v>
      </c>
      <c r="AK797" s="667" t="s">
        <v>282</v>
      </c>
      <c r="AM797" s="668" t="s">
        <v>291</v>
      </c>
      <c r="AN797" s="669" t="s">
        <v>292</v>
      </c>
      <c r="AO797" s="603" t="s">
        <v>288</v>
      </c>
    </row>
    <row r="798" spans="1:41" s="602" customFormat="1" ht="13.2">
      <c r="A798" s="670">
        <v>1</v>
      </c>
      <c r="B798" s="838" t="s">
        <v>312</v>
      </c>
      <c r="C798" s="672"/>
      <c r="D798" s="673" t="s">
        <v>1203</v>
      </c>
      <c r="E798" s="752">
        <f>IF(AND($A798=0,$A$1="DIF"),0, ROUND(ROUND(SUMIF($L800:$L806,"SUBI",$E800:$E806)/$A798,2)*$C$12,2))</f>
        <v>4259.37</v>
      </c>
      <c r="F798" s="753">
        <f>ROUND($A798*$E798,2)</f>
        <v>4259.37</v>
      </c>
      <c r="G798" s="676" t="s">
        <v>142</v>
      </c>
      <c r="H798" s="664"/>
      <c r="I798" s="677"/>
      <c r="J798" s="664"/>
      <c r="K798" s="754"/>
      <c r="L798" s="709" t="s">
        <v>143</v>
      </c>
      <c r="M798" s="678"/>
      <c r="N798" s="678"/>
      <c r="O798" s="678"/>
      <c r="P798" s="678"/>
      <c r="Q798"/>
      <c r="R798"/>
      <c r="S798"/>
      <c r="T798" s="755" t="str">
        <f>IF(AND($R812=0,$T812=0),"0.00","mu :" &amp; ROUND($F798/$C$12/($R812+$T812*$D$9),2))</f>
        <v>mu :1.36</v>
      </c>
      <c r="W798" s="604"/>
      <c r="AG798" s="756">
        <f>IF(A798=0,0,ROUND(SUM(AG800:AG812)/A798,2))</f>
        <v>4050</v>
      </c>
      <c r="AH798" s="756">
        <f>$AG798*$A798</f>
        <v>4050</v>
      </c>
      <c r="AI798" s="756">
        <f>$E798-$AG798</f>
        <v>209.36999999999989</v>
      </c>
      <c r="AJ798" s="756">
        <f>$A798*$AI798</f>
        <v>209.36999999999989</v>
      </c>
      <c r="AK798" s="757">
        <f>ROUND(($AG798+$AI798)*$A798,2)</f>
        <v>4259.37</v>
      </c>
      <c r="AM798" s="607">
        <f>ROUND(R812,2)</f>
        <v>3000</v>
      </c>
      <c r="AN798" s="608">
        <f>ROUND(T812,2)</f>
        <v>8</v>
      </c>
      <c r="AO798" s="609">
        <f>ROUND(AM798+AN798,2)*A798</f>
        <v>3008</v>
      </c>
    </row>
    <row r="799" spans="1:41" s="602" customFormat="1" ht="19.95" customHeight="1">
      <c r="A799" s="1068"/>
      <c r="B799" s="1069"/>
      <c r="C799" s="672"/>
      <c r="D799" s="1070" t="s">
        <v>1195</v>
      </c>
      <c r="F799" s="664"/>
      <c r="G799" s="664"/>
      <c r="H799" s="664"/>
      <c r="I799" s="677"/>
      <c r="J799" s="664"/>
      <c r="K799" s="664" t="s">
        <v>144</v>
      </c>
      <c r="L799" s="712"/>
      <c r="M799" s="664"/>
      <c r="N799" s="664"/>
      <c r="O799" s="664"/>
      <c r="P799" s="664"/>
      <c r="Q799" s="63"/>
      <c r="R799" s="610"/>
      <c r="S799" s="680"/>
      <c r="T799" s="664"/>
    </row>
    <row r="800" spans="1:41" s="602" customFormat="1" ht="12">
      <c r="A800" s="758"/>
      <c r="B800" s="759"/>
      <c r="C800" s="663"/>
      <c r="D800" s="664"/>
      <c r="E800" s="760">
        <f>F798/$C$12-SUMIF($L797:$L812,"SUBI",$E797:$E812)</f>
        <v>2.8408206953827175E-3</v>
      </c>
      <c r="F800" s="761" t="s">
        <v>687</v>
      </c>
      <c r="G800" s="762"/>
      <c r="H800" s="762"/>
      <c r="I800" s="763"/>
      <c r="J800" s="762"/>
      <c r="K800" s="762"/>
      <c r="L800" s="764"/>
      <c r="M800" s="765"/>
      <c r="N800" s="765"/>
      <c r="O800" s="765"/>
      <c r="P800" s="765"/>
      <c r="Q800" s="766"/>
      <c r="R800" s="767"/>
      <c r="S800" s="766"/>
      <c r="T800" s="768"/>
    </row>
    <row r="801" spans="1:41" s="602" customFormat="1" ht="12" customHeight="1">
      <c r="A801" s="769"/>
      <c r="B801" s="770"/>
      <c r="C801" s="771"/>
      <c r="D801" s="771" t="str">
        <f>$F$2</f>
        <v>Electrical</v>
      </c>
      <c r="E801" s="771">
        <f>ROUND(($R805*$S$2 + ($T805*$T$2)), 2)</f>
        <v>0</v>
      </c>
      <c r="F801" s="772">
        <f>$E801*$C$12</f>
        <v>0</v>
      </c>
      <c r="G801" s="610"/>
      <c r="H801" s="773"/>
      <c r="I801" s="610"/>
      <c r="J801" s="64"/>
      <c r="K801" s="774" t="s">
        <v>3</v>
      </c>
      <c r="L801" s="775" t="s">
        <v>688</v>
      </c>
      <c r="M801" s="610"/>
      <c r="N801" s="610"/>
      <c r="O801" s="64"/>
      <c r="P801" s="610"/>
      <c r="Q801" s="610"/>
      <c r="R801"/>
      <c r="S801"/>
      <c r="T801"/>
    </row>
    <row r="802" spans="1:41" s="602" customFormat="1" ht="13.95" customHeight="1">
      <c r="A802" s="70"/>
      <c r="B802" s="1071" t="s">
        <v>1201</v>
      </c>
      <c r="C802" s="610"/>
      <c r="D802" s="610"/>
      <c r="E802" s="610"/>
      <c r="F802" s="610"/>
      <c r="G802" s="610"/>
      <c r="H802" s="773"/>
      <c r="I802" s="610"/>
      <c r="J802" s="64"/>
      <c r="K802" s="776"/>
      <c r="L802" s="777"/>
      <c r="M802" s="610"/>
      <c r="N802" s="610"/>
      <c r="O802" s="64"/>
      <c r="P802" s="610"/>
      <c r="Q802" s="610"/>
      <c r="R802" s="725">
        <f>$A802*Q802</f>
        <v>0</v>
      </c>
      <c r="S802" s="610"/>
      <c r="T802" s="681">
        <f>$A802*S802*$T$1</f>
        <v>0</v>
      </c>
    </row>
    <row r="803" spans="1:41" s="602" customFormat="1" ht="13.95" customHeight="1">
      <c r="A803" s="70"/>
      <c r="B803" s="610"/>
      <c r="C803" s="610"/>
      <c r="D803" s="610"/>
      <c r="E803" s="610"/>
      <c r="F803" s="610"/>
      <c r="G803" s="610"/>
      <c r="H803" s="773"/>
      <c r="I803" s="610"/>
      <c r="J803" s="64"/>
      <c r="K803" s="776"/>
      <c r="L803" s="777"/>
      <c r="M803" s="610"/>
      <c r="N803" s="610"/>
      <c r="O803" s="64"/>
      <c r="P803" s="610"/>
      <c r="Q803" s="610"/>
      <c r="R803" s="725">
        <f>$A803*Q803</f>
        <v>0</v>
      </c>
      <c r="S803" s="610"/>
      <c r="T803" s="681">
        <f>$A803*S803*$T$1</f>
        <v>0</v>
      </c>
    </row>
    <row r="804" spans="1:41" s="602" customFormat="1" ht="13.95" customHeight="1">
      <c r="A804" s="70"/>
      <c r="B804" s="610"/>
      <c r="C804" s="610"/>
      <c r="D804" s="610"/>
      <c r="E804" s="610"/>
      <c r="F804" s="610"/>
      <c r="G804" s="610"/>
      <c r="H804" s="773"/>
      <c r="I804" s="610"/>
      <c r="J804" s="64"/>
      <c r="K804" s="776"/>
      <c r="L804" s="777"/>
      <c r="M804" s="610"/>
      <c r="N804" s="610"/>
      <c r="O804" s="64"/>
      <c r="P804" s="610"/>
      <c r="Q804" s="610"/>
      <c r="R804" s="725">
        <f>$A804*Q804</f>
        <v>0</v>
      </c>
      <c r="S804" s="610"/>
      <c r="T804" s="681">
        <f>$A804*S804*$T$1</f>
        <v>0</v>
      </c>
    </row>
    <row r="805" spans="1:41" s="602" customFormat="1" ht="12">
      <c r="A805" s="778" t="s">
        <v>145</v>
      </c>
      <c r="B805" s="779">
        <f>(R804+T804)</f>
        <v>0</v>
      </c>
      <c r="C805" s="663"/>
      <c r="G805" s="780"/>
      <c r="H805" s="780"/>
      <c r="I805" s="780"/>
      <c r="J805" s="780"/>
      <c r="K805" s="781" t="s">
        <v>3</v>
      </c>
      <c r="L805" s="782" t="s">
        <v>688</v>
      </c>
      <c r="M805" s="780"/>
      <c r="N805" s="780"/>
      <c r="O805" s="780"/>
      <c r="P805" s="780"/>
      <c r="Q805" s="783"/>
      <c r="R805" s="784">
        <f>SUM(R801:R804)</f>
        <v>0</v>
      </c>
      <c r="S805" s="785"/>
      <c r="T805" s="784">
        <f>SUM(T801:T804)</f>
        <v>0</v>
      </c>
      <c r="AG805" s="786">
        <f>ROUND($R805*$S$2,2)</f>
        <v>0</v>
      </c>
    </row>
    <row r="806" spans="1:41" s="602" customFormat="1" ht="12" customHeight="1">
      <c r="A806" s="787"/>
      <c r="B806" s="878"/>
      <c r="C806" s="880"/>
      <c r="D806" s="880" t="str">
        <f>$F$4</f>
        <v>ECA (Engineer)</v>
      </c>
      <c r="E806" s="880">
        <f>ROUND(($R810*$S$4 + ($T810*$T$4)),2)</f>
        <v>4374</v>
      </c>
      <c r="F806" s="881">
        <f ca="1">$F798-SUMIF($L800:$P803,"SUBI",$F800:$F803)</f>
        <v>4259.37</v>
      </c>
      <c r="G806" s="601"/>
      <c r="H806" s="601"/>
      <c r="I806" s="601"/>
      <c r="J806" s="601"/>
      <c r="K806" s="774" t="s">
        <v>8</v>
      </c>
      <c r="L806" s="775" t="s">
        <v>688</v>
      </c>
      <c r="M806" s="601"/>
      <c r="N806" s="601"/>
      <c r="O806" s="601"/>
      <c r="P806" s="601"/>
      <c r="Q806" s="601"/>
      <c r="R806" s="791"/>
      <c r="S806" s="601"/>
      <c r="T806" s="791"/>
    </row>
    <row r="807" spans="1:41" s="730" customFormat="1" ht="13.2">
      <c r="A807">
        <v>1</v>
      </c>
      <c r="B807" s="730" t="s">
        <v>141</v>
      </c>
      <c r="D807" s="730" t="s">
        <v>1242</v>
      </c>
      <c r="F807" s="1290" t="s">
        <v>1377</v>
      </c>
      <c r="G807" s="731" t="s">
        <v>1243</v>
      </c>
      <c r="H807" s="732">
        <v>512</v>
      </c>
      <c r="I807" s="730" t="s">
        <v>674</v>
      </c>
      <c r="O807" s="733">
        <v>3</v>
      </c>
      <c r="P807" s="734"/>
      <c r="Q807" s="735">
        <v>3000</v>
      </c>
      <c r="R807" s="736">
        <f>$A807*Q807</f>
        <v>3000</v>
      </c>
      <c r="S807" s="735">
        <v>8</v>
      </c>
      <c r="T807" s="737">
        <f>$A807*S807*$T$1</f>
        <v>8</v>
      </c>
    </row>
    <row r="808" spans="1:41" s="602" customFormat="1" ht="11.4">
      <c r="A808" s="70"/>
      <c r="B808" s="610"/>
      <c r="C808" s="610"/>
      <c r="D808" s="610"/>
      <c r="E808" s="610"/>
      <c r="F808" s="610"/>
      <c r="G808" s="610"/>
      <c r="H808" s="610"/>
      <c r="I808" s="610"/>
      <c r="J808" s="610"/>
      <c r="K808" s="610"/>
      <c r="L808" s="777"/>
      <c r="M808" s="610"/>
      <c r="N808" s="610"/>
      <c r="O808" s="610"/>
      <c r="P808" s="610"/>
      <c r="Q808" s="610"/>
      <c r="R808" s="725">
        <f>$A808*Q808</f>
        <v>0</v>
      </c>
      <c r="S808" s="610"/>
      <c r="T808" s="681">
        <f>$A808*S808*$T$1</f>
        <v>0</v>
      </c>
    </row>
    <row r="809" spans="1:41" s="602" customFormat="1" ht="13.2">
      <c r="A809" s="70"/>
      <c r="B809" s="610"/>
      <c r="C809" s="610"/>
      <c r="D809" s="3"/>
      <c r="E809" s="610"/>
      <c r="F809" s="610"/>
      <c r="G809" s="610"/>
      <c r="H809" s="610"/>
      <c r="I809" s="610"/>
      <c r="J809" s="610"/>
      <c r="K809" s="610"/>
      <c r="L809" s="777"/>
      <c r="M809" s="610"/>
      <c r="N809" s="610"/>
      <c r="O809" s="610"/>
      <c r="P809" s="610"/>
      <c r="Q809" s="610"/>
      <c r="R809" s="725">
        <f>$A809*Q809</f>
        <v>0</v>
      </c>
      <c r="S809" s="610"/>
      <c r="T809" s="681">
        <f>$A809*S809*$T$1</f>
        <v>0</v>
      </c>
    </row>
    <row r="810" spans="1:41" s="602" customFormat="1" ht="12" customHeight="1">
      <c r="A810" s="792" t="s">
        <v>145</v>
      </c>
      <c r="B810" s="793">
        <f>(R809+T809)</f>
        <v>0</v>
      </c>
      <c r="C810" s="794"/>
      <c r="D810" s="794"/>
      <c r="E810" s="794"/>
      <c r="F810" s="794"/>
      <c r="G810" s="783"/>
      <c r="H810" s="783"/>
      <c r="I810" s="783"/>
      <c r="J810" s="783"/>
      <c r="K810" s="795" t="s">
        <v>8</v>
      </c>
      <c r="L810" s="796" t="s">
        <v>688</v>
      </c>
      <c r="M810" s="783"/>
      <c r="N810" s="783"/>
      <c r="O810" s="783"/>
      <c r="P810" s="783"/>
      <c r="Q810" s="783"/>
      <c r="R810" s="784">
        <f>SUM(R806:R809)</f>
        <v>3000</v>
      </c>
      <c r="S810" s="785"/>
      <c r="T810" s="784">
        <f>SUM(T806:T809)</f>
        <v>8</v>
      </c>
      <c r="AG810" s="885">
        <f>ROUND($R810*$S$4,2)</f>
        <v>4050</v>
      </c>
    </row>
    <row r="811" spans="1:41" s="602" customFormat="1" ht="12.75" customHeight="1">
      <c r="A811" s="798"/>
      <c r="B811" s="799"/>
      <c r="E811" s="663"/>
      <c r="F811" s="800"/>
      <c r="G811" s="663"/>
      <c r="H811" s="663"/>
      <c r="I811" s="601"/>
      <c r="J811" s="663"/>
      <c r="K811" s="663"/>
      <c r="L811" s="801"/>
      <c r="M811" s="802"/>
      <c r="N811" s="802"/>
      <c r="O811" s="802"/>
      <c r="P811" s="802"/>
      <c r="Q811" s="665"/>
      <c r="R811" s="791"/>
      <c r="S811" s="663"/>
      <c r="T811" s="791"/>
    </row>
    <row r="812" spans="1:41" s="602" customFormat="1" ht="13.5" customHeight="1" thickBot="1">
      <c r="A812" s="803"/>
      <c r="B812" s="804"/>
      <c r="C812" s="611"/>
      <c r="D812" s="611"/>
      <c r="E812" s="684"/>
      <c r="F812" s="685"/>
      <c r="G812" s="684" t="s">
        <v>146</v>
      </c>
      <c r="H812" s="684"/>
      <c r="I812" s="686"/>
      <c r="J812" s="684"/>
      <c r="K812" s="684"/>
      <c r="L812" s="729" t="s">
        <v>143</v>
      </c>
      <c r="M812" s="687"/>
      <c r="N812" s="687"/>
      <c r="O812" s="687"/>
      <c r="P812" s="687"/>
      <c r="Q812" s="688"/>
      <c r="R812" s="805">
        <f>SUMIF($L799:$L811,"SUBI",R799:R811)</f>
        <v>3000</v>
      </c>
      <c r="S812" s="684"/>
      <c r="T812" s="805">
        <f>SUMIF($L799:$L811,"SUBI",T799:T811)</f>
        <v>8</v>
      </c>
      <c r="U812" s="611"/>
      <c r="V812" s="611"/>
      <c r="W812" s="611"/>
      <c r="X812" s="611"/>
      <c r="Y812" s="611"/>
      <c r="Z812" s="611"/>
      <c r="AA812" s="611"/>
      <c r="AB812" s="611"/>
      <c r="AC812" s="611"/>
      <c r="AD812" s="611"/>
      <c r="AE812" s="611"/>
      <c r="AF812" s="611"/>
      <c r="AG812" s="611"/>
      <c r="AH812" s="611"/>
      <c r="AI812" s="611"/>
      <c r="AJ812" s="611"/>
      <c r="AK812" s="611"/>
      <c r="AL812" s="611"/>
      <c r="AM812" s="611"/>
      <c r="AN812" s="611"/>
      <c r="AO812" s="611"/>
    </row>
    <row r="813" spans="1:41" s="602" customFormat="1" thickTop="1">
      <c r="A813" s="63"/>
      <c r="B813" s="63"/>
      <c r="C813" s="3"/>
      <c r="D813" s="3"/>
      <c r="E813" s="63"/>
      <c r="F813" s="63"/>
      <c r="G813" s="63"/>
      <c r="H813" s="63"/>
      <c r="I813" s="63"/>
      <c r="J813" s="63"/>
      <c r="K813" s="63" t="s">
        <v>134</v>
      </c>
      <c r="L813" s="63"/>
      <c r="M813" s="63"/>
      <c r="N813" s="63"/>
      <c r="O813" s="64"/>
      <c r="P813" s="63"/>
      <c r="Q813" s="63"/>
      <c r="R813" s="63"/>
      <c r="S813" s="63"/>
      <c r="T813" s="63"/>
    </row>
    <row r="814" spans="1:41" s="602" customFormat="1" ht="12">
      <c r="A814" s="63"/>
      <c r="B814" s="63"/>
      <c r="C814" s="63" t="s">
        <v>135</v>
      </c>
      <c r="D814" s="37"/>
      <c r="E814" s="63"/>
      <c r="F814" s="63"/>
      <c r="G814" s="63"/>
      <c r="H814" s="63"/>
      <c r="I814" s="63"/>
      <c r="J814" s="63"/>
      <c r="K814" s="63"/>
      <c r="L814" s="63"/>
      <c r="M814" s="63"/>
      <c r="N814" s="63"/>
      <c r="O814" s="64"/>
      <c r="P814" s="63"/>
      <c r="Q814" s="63"/>
      <c r="R814" s="63"/>
      <c r="S814" s="63"/>
      <c r="T814" s="63"/>
    </row>
    <row r="815" spans="1:41" s="602" customFormat="1" ht="12">
      <c r="A815" s="63"/>
      <c r="B815" s="63"/>
      <c r="C815" s="63"/>
      <c r="D815" s="37" t="s">
        <v>1204</v>
      </c>
      <c r="E815" s="63"/>
      <c r="F815" s="63"/>
      <c r="G815" s="63"/>
      <c r="H815" s="63"/>
      <c r="I815" s="63"/>
      <c r="J815" s="63"/>
      <c r="K815" s="63"/>
      <c r="L815" s="63"/>
      <c r="M815" s="63"/>
      <c r="N815" s="63"/>
      <c r="O815" s="64"/>
      <c r="P815" s="63"/>
      <c r="Q815" s="63"/>
      <c r="R815" s="63"/>
      <c r="S815" s="38"/>
      <c r="T815" s="38"/>
    </row>
    <row r="816" spans="1:41" s="3" customFormat="1" thickBot="1">
      <c r="A816" s="611"/>
      <c r="O816" s="158"/>
    </row>
    <row r="817" spans="1:256" s="602" customFormat="1" thickTop="1">
      <c r="A817" s="63"/>
      <c r="B817" s="41"/>
      <c r="C817" s="63"/>
      <c r="E817" s="42" t="s">
        <v>138</v>
      </c>
      <c r="F817" s="42" t="s">
        <v>139</v>
      </c>
      <c r="G817" s="63"/>
      <c r="H817" s="63"/>
      <c r="I817" s="63"/>
      <c r="J817" s="63"/>
      <c r="K817" s="63" t="s">
        <v>140</v>
      </c>
      <c r="L817" s="751"/>
      <c r="M817" s="63"/>
      <c r="N817" s="63"/>
      <c r="O817" s="64"/>
      <c r="P817" s="63"/>
      <c r="Q817"/>
      <c r="R817"/>
      <c r="S817"/>
      <c r="T817" s="41"/>
      <c r="AG817" s="667" t="s">
        <v>278</v>
      </c>
      <c r="AH817" s="667" t="s">
        <v>279</v>
      </c>
      <c r="AI817" s="667" t="s">
        <v>280</v>
      </c>
      <c r="AJ817" s="667" t="s">
        <v>281</v>
      </c>
      <c r="AK817" s="667" t="s">
        <v>282</v>
      </c>
      <c r="AM817" s="668" t="s">
        <v>291</v>
      </c>
      <c r="AN817" s="669" t="s">
        <v>292</v>
      </c>
      <c r="AO817" s="603" t="s">
        <v>288</v>
      </c>
    </row>
    <row r="818" spans="1:256" s="602" customFormat="1" ht="13.2">
      <c r="A818" s="670">
        <v>1</v>
      </c>
      <c r="B818" s="838" t="s">
        <v>312</v>
      </c>
      <c r="C818" s="672"/>
      <c r="D818" s="673" t="s">
        <v>404</v>
      </c>
      <c r="E818" s="752">
        <f ca="1">IF(AND($A818=0,$A$1="DIF"),0, ROUND(ROUND(SUMIF($L820:$L838,"SUBI",$E820:$E838)/$A818,2)*$C$12,2))</f>
        <v>6299.5</v>
      </c>
      <c r="F818" s="753">
        <f ca="1">ROUND($A818*$E818,2)</f>
        <v>6299.5</v>
      </c>
      <c r="G818" s="676" t="s">
        <v>142</v>
      </c>
      <c r="H818" s="664"/>
      <c r="I818" s="677"/>
      <c r="J818" s="664"/>
      <c r="K818" s="754"/>
      <c r="L818" s="709" t="s">
        <v>143</v>
      </c>
      <c r="M818" s="678"/>
      <c r="N818" s="678"/>
      <c r="O818" s="678"/>
      <c r="P818" s="678"/>
      <c r="Q818"/>
      <c r="R818"/>
      <c r="S818"/>
      <c r="T818" s="755" t="str">
        <f ca="1">IF(AND($R844=0,$T844=0),"0.00","mu :" &amp; ROUND($F818/$C$12/($R844+$T844*$D$9),2))</f>
        <v>mu :1.39</v>
      </c>
      <c r="W818" s="604"/>
      <c r="AG818" s="756">
        <f ca="1">IF(A818=0,0,ROUND(SUM(AG820:AG844)/A818,2))</f>
        <v>3817.84</v>
      </c>
      <c r="AH818" s="756">
        <f ca="1">$AG818*$A818</f>
        <v>3817.84</v>
      </c>
      <c r="AI818" s="756">
        <f ca="1">$E818-$AG818</f>
        <v>2481.66</v>
      </c>
      <c r="AJ818" s="756">
        <f ca="1">$A818*$AI818</f>
        <v>2481.66</v>
      </c>
      <c r="AK818" s="757">
        <f ca="1">ROUND(($AG818+$AI818)*$A818,2)</f>
        <v>6299.5</v>
      </c>
      <c r="AM818" s="607">
        <f ca="1">ROUND(R844,2)</f>
        <v>2828.03</v>
      </c>
      <c r="AN818" s="608">
        <f ca="1">ROUND(T844,2)</f>
        <v>66.040000000000006</v>
      </c>
      <c r="AO818" s="609">
        <f ca="1">ROUND(AM818+AN818,2)*A818</f>
        <v>2894.07</v>
      </c>
    </row>
    <row r="819" spans="1:256" s="602" customFormat="1" ht="19.95" customHeight="1">
      <c r="A819" s="1068"/>
      <c r="B819" s="1069"/>
      <c r="C819" s="672"/>
      <c r="D819" s="1368" t="s">
        <v>1193</v>
      </c>
      <c r="E819" s="1369"/>
      <c r="F819" s="1369"/>
      <c r="G819" s="1369"/>
      <c r="H819" s="1369"/>
      <c r="I819" s="1369"/>
      <c r="J819" s="1369"/>
      <c r="K819" s="1369"/>
      <c r="L819" s="1369"/>
      <c r="M819" s="1369"/>
      <c r="N819" s="1369"/>
      <c r="O819" s="1369"/>
      <c r="P819" s="1369"/>
      <c r="Q819" s="1369"/>
      <c r="R819" s="1369"/>
      <c r="S819" s="1369"/>
      <c r="T819" s="1369"/>
    </row>
    <row r="820" spans="1:256" s="602" customFormat="1" ht="12">
      <c r="A820" s="758"/>
      <c r="B820" s="759"/>
      <c r="C820" s="663"/>
      <c r="D820" s="664"/>
      <c r="E820" s="760">
        <f ca="1">F818/$C$12-SUMIF($L817:$L844,"SUBI",$E817:$E844)</f>
        <v>-9.4123075268726097E-4</v>
      </c>
      <c r="F820" s="761" t="s">
        <v>687</v>
      </c>
      <c r="G820" s="762"/>
      <c r="H820" s="762"/>
      <c r="I820" s="763"/>
      <c r="J820" s="762"/>
      <c r="K820" s="762"/>
      <c r="L820" s="764"/>
      <c r="M820" s="765"/>
      <c r="N820" s="765"/>
      <c r="O820" s="765"/>
      <c r="P820" s="765"/>
      <c r="Q820" s="766"/>
      <c r="R820" s="767"/>
      <c r="S820" s="766"/>
      <c r="T820" s="768"/>
    </row>
    <row r="821" spans="1:256" s="602" customFormat="1" ht="12" customHeight="1">
      <c r="A821" s="769"/>
      <c r="B821" s="770"/>
      <c r="C821" s="771"/>
      <c r="D821" s="771" t="str">
        <f>$F$2</f>
        <v>Electrical</v>
      </c>
      <c r="E821" s="771">
        <f ca="1">ROUND(($R837*$S$2 + ($T837*$T$2)), 2)</f>
        <v>2676.19</v>
      </c>
      <c r="F821" s="772">
        <f ca="1">$E821*$C$12</f>
        <v>2606.0530400024213</v>
      </c>
      <c r="G821" s="610"/>
      <c r="H821" s="773"/>
      <c r="I821" s="610"/>
      <c r="J821" s="64"/>
      <c r="K821" s="774" t="s">
        <v>3</v>
      </c>
      <c r="L821" s="775" t="s">
        <v>688</v>
      </c>
      <c r="M821" s="610"/>
      <c r="N821" s="610"/>
      <c r="O821" s="64"/>
      <c r="P821" s="610"/>
      <c r="Q821" s="610"/>
      <c r="R821"/>
      <c r="S821"/>
      <c r="T821"/>
    </row>
    <row r="822" spans="1:256" s="730" customFormat="1" ht="13.2">
      <c r="A822" s="167">
        <v>1</v>
      </c>
      <c r="B822" s="730" t="s">
        <v>141</v>
      </c>
      <c r="D822" s="730" t="s">
        <v>1244</v>
      </c>
      <c r="G822" s="731" t="s">
        <v>1246</v>
      </c>
      <c r="H822" s="732">
        <v>880</v>
      </c>
      <c r="I822" s="730" t="s">
        <v>674</v>
      </c>
      <c r="O822" s="733">
        <v>3</v>
      </c>
      <c r="P822" s="734">
        <v>38687</v>
      </c>
      <c r="Q822" s="735"/>
      <c r="R822" s="736">
        <f>$A822*Q822</f>
        <v>0</v>
      </c>
      <c r="S822" s="735">
        <f>8*1.1</f>
        <v>8.8000000000000007</v>
      </c>
      <c r="T822" s="737">
        <f>$A822*S822*$T$1</f>
        <v>8.8000000000000007</v>
      </c>
    </row>
    <row r="823" spans="1:256" s="730" customFormat="1" ht="13.2">
      <c r="A823" s="167">
        <v>1</v>
      </c>
      <c r="B823" s="730" t="s">
        <v>141</v>
      </c>
      <c r="D823" s="730" t="s">
        <v>965</v>
      </c>
      <c r="G823" s="731" t="s">
        <v>966</v>
      </c>
      <c r="H823" s="732">
        <v>880</v>
      </c>
      <c r="I823" s="730" t="s">
        <v>674</v>
      </c>
      <c r="O823" s="733">
        <v>3</v>
      </c>
      <c r="P823" s="734"/>
      <c r="Q823" s="735">
        <v>100</v>
      </c>
      <c r="R823" s="736">
        <f>$A823*Q823</f>
        <v>100</v>
      </c>
      <c r="S823" s="735"/>
      <c r="T823" s="737">
        <f>$A823*S823*$T$1</f>
        <v>0</v>
      </c>
    </row>
    <row r="824" spans="1:256" s="602" customFormat="1" ht="11.4">
      <c r="A824" s="816"/>
      <c r="B824" s="730"/>
      <c r="C824" s="730"/>
      <c r="D824" s="1200" t="s">
        <v>1255</v>
      </c>
      <c r="E824" s="730"/>
      <c r="F824" s="806"/>
      <c r="G824" s="731"/>
      <c r="H824" s="732"/>
      <c r="I824" s="730"/>
      <c r="J824" s="730"/>
      <c r="K824" s="735"/>
      <c r="L824" s="730"/>
      <c r="M824" s="730"/>
      <c r="N824" s="730"/>
      <c r="O824" s="733"/>
      <c r="P824" s="734"/>
      <c r="Q824" s="735"/>
      <c r="R824" s="736"/>
      <c r="S824" s="735"/>
      <c r="T824" s="737"/>
      <c r="U824" s="730"/>
      <c r="V824" s="730"/>
      <c r="W824" s="730"/>
      <c r="X824" s="730"/>
      <c r="Y824" s="730"/>
      <c r="Z824" s="730"/>
      <c r="AA824" s="730"/>
      <c r="AB824" s="730"/>
      <c r="AC824" s="730"/>
      <c r="AD824" s="730"/>
      <c r="AE824" s="730"/>
      <c r="AF824" s="730"/>
      <c r="AG824" s="730"/>
      <c r="AH824" s="730"/>
      <c r="AI824" s="730"/>
      <c r="AJ824" s="730"/>
      <c r="AK824" s="730"/>
      <c r="AL824" s="730"/>
      <c r="AM824" s="730"/>
      <c r="AN824" s="730"/>
      <c r="AO824" s="730"/>
      <c r="AP824" s="730"/>
      <c r="AQ824" s="730"/>
      <c r="AR824" s="730"/>
      <c r="AS824" s="730"/>
      <c r="AT824" s="730"/>
      <c r="AU824" s="730"/>
      <c r="AV824" s="730"/>
      <c r="AW824" s="730"/>
      <c r="AX824" s="730"/>
      <c r="AY824" s="730"/>
      <c r="AZ824" s="730"/>
      <c r="BA824" s="730"/>
      <c r="BB824" s="730"/>
      <c r="BC824" s="730"/>
      <c r="BD824" s="730"/>
      <c r="BE824" s="730"/>
      <c r="BF824" s="730"/>
      <c r="BG824" s="730"/>
      <c r="BH824" s="730"/>
      <c r="BI824" s="730"/>
      <c r="BJ824" s="730"/>
      <c r="BK824" s="730"/>
      <c r="BL824" s="730"/>
      <c r="BM824" s="730"/>
      <c r="BN824" s="730"/>
      <c r="BO824" s="730"/>
      <c r="BP824" s="730"/>
      <c r="BQ824" s="730"/>
      <c r="BR824" s="730"/>
      <c r="BS824" s="730"/>
      <c r="BT824" s="730"/>
      <c r="BU824" s="730"/>
      <c r="BV824" s="730"/>
      <c r="BW824" s="730"/>
      <c r="BX824" s="730"/>
      <c r="BY824" s="730"/>
      <c r="BZ824" s="730"/>
      <c r="CA824" s="730"/>
      <c r="CB824" s="730"/>
      <c r="CC824" s="730"/>
      <c r="CD824" s="730"/>
      <c r="CE824" s="730"/>
      <c r="CF824" s="730"/>
      <c r="CG824" s="730"/>
      <c r="CH824" s="730"/>
      <c r="CI824" s="730"/>
      <c r="CJ824" s="730"/>
      <c r="CK824" s="730"/>
      <c r="CL824" s="730"/>
      <c r="CM824" s="730"/>
      <c r="CN824" s="730"/>
      <c r="CO824" s="730"/>
      <c r="CP824" s="730"/>
      <c r="CQ824" s="730"/>
      <c r="CR824" s="730"/>
      <c r="CS824" s="730"/>
      <c r="CT824" s="730"/>
      <c r="CU824" s="730"/>
      <c r="CV824" s="730"/>
      <c r="CW824" s="730"/>
      <c r="CX824" s="730"/>
      <c r="CY824" s="730"/>
      <c r="CZ824" s="730"/>
      <c r="DA824" s="730"/>
      <c r="DB824" s="730"/>
      <c r="DC824" s="730"/>
      <c r="DD824" s="730"/>
      <c r="DE824" s="730"/>
      <c r="DF824" s="730"/>
      <c r="DG824" s="730"/>
      <c r="DH824" s="730"/>
      <c r="DI824" s="730"/>
      <c r="DJ824" s="730"/>
      <c r="DK824" s="730"/>
      <c r="DL824" s="730"/>
      <c r="DM824" s="730"/>
      <c r="DN824" s="730"/>
      <c r="DO824" s="730"/>
      <c r="DP824" s="730"/>
      <c r="DQ824" s="730"/>
      <c r="DR824" s="730"/>
      <c r="DS824" s="730"/>
      <c r="DT824" s="730"/>
      <c r="DU824" s="730"/>
      <c r="DV824" s="730"/>
      <c r="DW824" s="730"/>
      <c r="DX824" s="730"/>
      <c r="DY824" s="730"/>
      <c r="DZ824" s="730"/>
      <c r="EA824" s="730"/>
      <c r="EB824" s="730"/>
      <c r="EC824" s="730"/>
      <c r="ED824" s="730"/>
      <c r="EE824" s="730"/>
      <c r="EF824" s="730"/>
      <c r="EG824" s="730"/>
      <c r="EH824" s="730"/>
      <c r="EI824" s="730"/>
      <c r="EJ824" s="730"/>
      <c r="EK824" s="730"/>
      <c r="EL824" s="730"/>
      <c r="EM824" s="730"/>
      <c r="EN824" s="730"/>
      <c r="EO824" s="730"/>
      <c r="EP824" s="730"/>
      <c r="EQ824" s="730"/>
      <c r="ER824" s="730"/>
      <c r="ES824" s="730"/>
      <c r="ET824" s="730"/>
      <c r="EU824" s="730"/>
      <c r="EV824" s="730"/>
      <c r="EW824" s="730"/>
      <c r="EX824" s="730"/>
      <c r="EY824" s="730"/>
      <c r="EZ824" s="730"/>
      <c r="FA824" s="730"/>
      <c r="FB824" s="730"/>
      <c r="FC824" s="730"/>
      <c r="FD824" s="730"/>
      <c r="FE824" s="730"/>
      <c r="FF824" s="730"/>
      <c r="FG824" s="730"/>
      <c r="FH824" s="730"/>
      <c r="FI824" s="730"/>
      <c r="FJ824" s="730"/>
      <c r="FK824" s="730"/>
      <c r="FL824" s="730"/>
      <c r="FM824" s="730"/>
      <c r="FN824" s="730"/>
      <c r="FO824" s="730"/>
      <c r="FP824" s="730"/>
      <c r="FQ824" s="730"/>
      <c r="FR824" s="730"/>
      <c r="FS824" s="730"/>
      <c r="FT824" s="730"/>
      <c r="FU824" s="730"/>
      <c r="FV824" s="730"/>
      <c r="FW824" s="730"/>
      <c r="FX824" s="730"/>
      <c r="FY824" s="730"/>
      <c r="FZ824" s="730"/>
      <c r="GA824" s="730"/>
      <c r="GB824" s="730"/>
      <c r="GC824" s="730"/>
      <c r="GD824" s="730"/>
      <c r="GE824" s="730"/>
      <c r="GF824" s="730"/>
      <c r="GG824" s="730"/>
      <c r="GH824" s="730"/>
      <c r="GI824" s="730"/>
      <c r="GJ824" s="730"/>
      <c r="GK824" s="730"/>
      <c r="GL824" s="730"/>
      <c r="GM824" s="730"/>
      <c r="GN824" s="730"/>
      <c r="GO824" s="730"/>
      <c r="GP824" s="730"/>
      <c r="GQ824" s="730"/>
      <c r="GR824" s="730"/>
      <c r="GS824" s="730"/>
      <c r="GT824" s="730"/>
      <c r="GU824" s="730"/>
      <c r="GV824" s="730"/>
      <c r="GW824" s="730"/>
      <c r="GX824" s="730"/>
      <c r="GY824" s="730"/>
      <c r="GZ824" s="730"/>
      <c r="HA824" s="730"/>
      <c r="HB824" s="730"/>
      <c r="HC824" s="730"/>
      <c r="HD824" s="730"/>
      <c r="HE824" s="730"/>
      <c r="HF824" s="730"/>
      <c r="HG824" s="730"/>
      <c r="HH824" s="730"/>
      <c r="HI824" s="730"/>
      <c r="HJ824" s="730"/>
      <c r="HK824" s="730"/>
      <c r="HL824" s="730"/>
      <c r="HM824" s="730"/>
      <c r="HN824" s="730"/>
      <c r="HO824" s="730"/>
      <c r="HP824" s="730"/>
      <c r="HQ824" s="730"/>
      <c r="HR824" s="730"/>
      <c r="HS824" s="730"/>
      <c r="HT824" s="730"/>
      <c r="HU824" s="730"/>
      <c r="HV824" s="730"/>
      <c r="HW824" s="730"/>
      <c r="HX824" s="730"/>
      <c r="HY824" s="730"/>
      <c r="HZ824" s="730"/>
      <c r="IA824" s="730"/>
      <c r="IB824" s="730"/>
      <c r="IC824" s="730"/>
      <c r="ID824" s="730"/>
      <c r="IE824" s="730"/>
      <c r="IF824" s="730"/>
      <c r="IG824" s="730"/>
      <c r="IH824" s="730"/>
      <c r="II824" s="730"/>
      <c r="IJ824" s="730"/>
      <c r="IK824" s="730"/>
      <c r="IL824" s="730"/>
      <c r="IM824" s="730"/>
      <c r="IN824" s="730"/>
      <c r="IO824" s="730"/>
      <c r="IP824" s="730"/>
      <c r="IQ824" s="730"/>
      <c r="IR824" s="730"/>
      <c r="IS824" s="730"/>
      <c r="IT824" s="730"/>
      <c r="IU824" s="730"/>
      <c r="IV824" s="730"/>
    </row>
    <row r="825" spans="1:256" s="602" customFormat="1" ht="11.4">
      <c r="A825" s="816">
        <v>1</v>
      </c>
      <c r="B825" s="730" t="s">
        <v>141</v>
      </c>
      <c r="C825" s="730"/>
      <c r="D825" s="730" t="s">
        <v>1242</v>
      </c>
      <c r="E825" s="730" t="s">
        <v>1256</v>
      </c>
      <c r="F825" s="806"/>
      <c r="G825" s="731" t="s">
        <v>1243</v>
      </c>
      <c r="H825" s="732">
        <v>512</v>
      </c>
      <c r="I825" s="730" t="s">
        <v>674</v>
      </c>
      <c r="J825" s="730"/>
      <c r="K825" s="735" t="s">
        <v>7</v>
      </c>
      <c r="L825" s="730"/>
      <c r="M825" s="730"/>
      <c r="N825" s="730"/>
      <c r="O825" s="733">
        <v>3</v>
      </c>
      <c r="P825" s="734"/>
      <c r="Q825" s="735">
        <v>250</v>
      </c>
      <c r="R825" s="736">
        <f>$A825*Q825</f>
        <v>250</v>
      </c>
      <c r="S825" s="735"/>
      <c r="T825" s="737">
        <f>$A825*S825*$T$1</f>
        <v>0</v>
      </c>
      <c r="U825" s="730"/>
      <c r="V825" s="730"/>
      <c r="W825" s="730"/>
      <c r="X825" s="730"/>
      <c r="Y825" s="730"/>
      <c r="Z825" s="730"/>
      <c r="AA825" s="730"/>
      <c r="AB825" s="730"/>
      <c r="AC825" s="730"/>
      <c r="AD825" s="730"/>
      <c r="AE825" s="730"/>
      <c r="AF825" s="730"/>
      <c r="AG825" s="730"/>
      <c r="AH825" s="730"/>
      <c r="AI825" s="730"/>
      <c r="AJ825" s="730"/>
      <c r="AK825" s="730"/>
      <c r="AL825" s="730"/>
      <c r="AM825" s="730"/>
      <c r="AN825" s="730"/>
      <c r="AO825" s="730"/>
      <c r="AP825" s="730"/>
      <c r="AQ825" s="730"/>
      <c r="AR825" s="730"/>
      <c r="AS825" s="730"/>
      <c r="AT825" s="730"/>
      <c r="AU825" s="730"/>
      <c r="AV825" s="730"/>
      <c r="AW825" s="730"/>
      <c r="AX825" s="730"/>
      <c r="AY825" s="730"/>
      <c r="AZ825" s="730"/>
      <c r="BA825" s="730"/>
      <c r="BB825" s="730"/>
      <c r="BC825" s="730"/>
      <c r="BD825" s="730"/>
      <c r="BE825" s="730"/>
      <c r="BF825" s="730"/>
      <c r="BG825" s="730"/>
      <c r="BH825" s="730"/>
      <c r="BI825" s="730"/>
      <c r="BJ825" s="730"/>
      <c r="BK825" s="730"/>
      <c r="BL825" s="730"/>
      <c r="BM825" s="730"/>
      <c r="BN825" s="730"/>
      <c r="BO825" s="730"/>
      <c r="BP825" s="730"/>
      <c r="BQ825" s="730"/>
      <c r="BR825" s="730"/>
      <c r="BS825" s="730"/>
      <c r="BT825" s="730"/>
      <c r="BU825" s="730"/>
      <c r="BV825" s="730"/>
      <c r="BW825" s="730"/>
      <c r="BX825" s="730"/>
      <c r="BY825" s="730"/>
      <c r="BZ825" s="730"/>
      <c r="CA825" s="730"/>
      <c r="CB825" s="730"/>
      <c r="CC825" s="730"/>
      <c r="CD825" s="730"/>
      <c r="CE825" s="730"/>
      <c r="CF825" s="730"/>
      <c r="CG825" s="730"/>
      <c r="CH825" s="730"/>
      <c r="CI825" s="730"/>
      <c r="CJ825" s="730"/>
      <c r="CK825" s="730"/>
      <c r="CL825" s="730"/>
      <c r="CM825" s="730"/>
      <c r="CN825" s="730"/>
      <c r="CO825" s="730"/>
      <c r="CP825" s="730"/>
      <c r="CQ825" s="730"/>
      <c r="CR825" s="730"/>
      <c r="CS825" s="730"/>
      <c r="CT825" s="730"/>
      <c r="CU825" s="730"/>
      <c r="CV825" s="730"/>
      <c r="CW825" s="730"/>
      <c r="CX825" s="730"/>
      <c r="CY825" s="730"/>
      <c r="CZ825" s="730"/>
      <c r="DA825" s="730"/>
      <c r="DB825" s="730"/>
      <c r="DC825" s="730"/>
      <c r="DD825" s="730"/>
      <c r="DE825" s="730"/>
      <c r="DF825" s="730"/>
      <c r="DG825" s="730"/>
      <c r="DH825" s="730"/>
      <c r="DI825" s="730"/>
      <c r="DJ825" s="730"/>
      <c r="DK825" s="730"/>
      <c r="DL825" s="730"/>
      <c r="DM825" s="730"/>
      <c r="DN825" s="730"/>
      <c r="DO825" s="730"/>
      <c r="DP825" s="730"/>
      <c r="DQ825" s="730"/>
      <c r="DR825" s="730"/>
      <c r="DS825" s="730"/>
      <c r="DT825" s="730"/>
      <c r="DU825" s="730"/>
      <c r="DV825" s="730"/>
      <c r="DW825" s="730"/>
      <c r="DX825" s="730"/>
      <c r="DY825" s="730"/>
      <c r="DZ825" s="730"/>
      <c r="EA825" s="730"/>
      <c r="EB825" s="730"/>
      <c r="EC825" s="730"/>
      <c r="ED825" s="730"/>
      <c r="EE825" s="730"/>
      <c r="EF825" s="730"/>
      <c r="EG825" s="730"/>
      <c r="EH825" s="730"/>
      <c r="EI825" s="730"/>
      <c r="EJ825" s="730"/>
      <c r="EK825" s="730"/>
      <c r="EL825" s="730"/>
      <c r="EM825" s="730"/>
      <c r="EN825" s="730"/>
      <c r="EO825" s="730"/>
      <c r="EP825" s="730"/>
      <c r="EQ825" s="730"/>
      <c r="ER825" s="730"/>
      <c r="ES825" s="730"/>
      <c r="ET825" s="730"/>
      <c r="EU825" s="730"/>
      <c r="EV825" s="730"/>
      <c r="EW825" s="730"/>
      <c r="EX825" s="730"/>
      <c r="EY825" s="730"/>
      <c r="EZ825" s="730"/>
      <c r="FA825" s="730"/>
      <c r="FB825" s="730"/>
      <c r="FC825" s="730"/>
      <c r="FD825" s="730"/>
      <c r="FE825" s="730"/>
      <c r="FF825" s="730"/>
      <c r="FG825" s="730"/>
      <c r="FH825" s="730"/>
      <c r="FI825" s="730"/>
      <c r="FJ825" s="730"/>
      <c r="FK825" s="730"/>
      <c r="FL825" s="730"/>
      <c r="FM825" s="730"/>
      <c r="FN825" s="730"/>
      <c r="FO825" s="730"/>
      <c r="FP825" s="730"/>
      <c r="FQ825" s="730"/>
      <c r="FR825" s="730"/>
      <c r="FS825" s="730"/>
      <c r="FT825" s="730"/>
      <c r="FU825" s="730"/>
      <c r="FV825" s="730"/>
      <c r="FW825" s="730"/>
      <c r="FX825" s="730"/>
      <c r="FY825" s="730"/>
      <c r="FZ825" s="730"/>
      <c r="GA825" s="730"/>
      <c r="GB825" s="730"/>
      <c r="GC825" s="730"/>
      <c r="GD825" s="730"/>
      <c r="GE825" s="730"/>
      <c r="GF825" s="730"/>
      <c r="GG825" s="730"/>
      <c r="GH825" s="730"/>
      <c r="GI825" s="730"/>
      <c r="GJ825" s="730"/>
      <c r="GK825" s="730"/>
      <c r="GL825" s="730"/>
      <c r="GM825" s="730"/>
      <c r="GN825" s="730"/>
      <c r="GO825" s="730"/>
      <c r="GP825" s="730"/>
      <c r="GQ825" s="730"/>
      <c r="GR825" s="730"/>
      <c r="GS825" s="730"/>
      <c r="GT825" s="730"/>
      <c r="GU825" s="730"/>
      <c r="GV825" s="730"/>
      <c r="GW825" s="730"/>
      <c r="GX825" s="730"/>
      <c r="GY825" s="730"/>
      <c r="GZ825" s="730"/>
      <c r="HA825" s="730"/>
      <c r="HB825" s="730"/>
      <c r="HC825" s="730"/>
      <c r="HD825" s="730"/>
      <c r="HE825" s="730"/>
      <c r="HF825" s="730"/>
      <c r="HG825" s="730"/>
      <c r="HH825" s="730"/>
      <c r="HI825" s="730"/>
      <c r="HJ825" s="730"/>
      <c r="HK825" s="730"/>
      <c r="HL825" s="730"/>
      <c r="HM825" s="730"/>
      <c r="HN825" s="730"/>
      <c r="HO825" s="730"/>
      <c r="HP825" s="730"/>
      <c r="HQ825" s="730"/>
      <c r="HR825" s="730"/>
      <c r="HS825" s="730"/>
      <c r="HT825" s="730"/>
      <c r="HU825" s="730"/>
      <c r="HV825" s="730"/>
      <c r="HW825" s="730"/>
      <c r="HX825" s="730"/>
      <c r="HY825" s="730"/>
      <c r="HZ825" s="730"/>
      <c r="IA825" s="730"/>
      <c r="IB825" s="730"/>
      <c r="IC825" s="730"/>
      <c r="ID825" s="730"/>
      <c r="IE825" s="730"/>
      <c r="IF825" s="730"/>
      <c r="IG825" s="730"/>
      <c r="IH825" s="730"/>
      <c r="II825" s="730"/>
      <c r="IJ825" s="730"/>
      <c r="IK825" s="730"/>
      <c r="IL825" s="730"/>
      <c r="IM825" s="730"/>
      <c r="IN825" s="730"/>
      <c r="IO825" s="730"/>
      <c r="IP825" s="730"/>
      <c r="IQ825" s="730"/>
      <c r="IR825" s="730"/>
      <c r="IS825" s="730"/>
      <c r="IT825" s="730"/>
      <c r="IU825" s="730"/>
      <c r="IV825" s="730"/>
    </row>
    <row r="826" spans="1:256" s="3" customFormat="1" ht="13.2">
      <c r="A826" s="816">
        <v>1</v>
      </c>
      <c r="B826" s="730" t="s">
        <v>1257</v>
      </c>
      <c r="C826" s="730"/>
      <c r="D826" s="730" t="s">
        <v>1242</v>
      </c>
      <c r="E826" s="730"/>
      <c r="F826" s="806"/>
      <c r="G826" s="731" t="s">
        <v>1243</v>
      </c>
      <c r="H826" s="732">
        <v>512</v>
      </c>
      <c r="I826" s="730" t="s">
        <v>674</v>
      </c>
      <c r="J826" s="730"/>
      <c r="K826" s="735" t="s">
        <v>7</v>
      </c>
      <c r="L826" s="730"/>
      <c r="M826" s="730"/>
      <c r="N826" s="730"/>
      <c r="O826" s="733">
        <v>3</v>
      </c>
      <c r="P826" s="734"/>
      <c r="Q826" s="735"/>
      <c r="R826" s="736">
        <f>$A826*Q826</f>
        <v>0</v>
      </c>
      <c r="S826" s="735">
        <f>1.1 *(4)</f>
        <v>4.4000000000000004</v>
      </c>
      <c r="T826" s="737">
        <f>$A826*S826*$T$1</f>
        <v>4.4000000000000004</v>
      </c>
      <c r="U826" s="730"/>
      <c r="V826" s="730"/>
      <c r="W826" s="730"/>
      <c r="X826" s="730"/>
      <c r="Y826" s="730"/>
      <c r="Z826" s="730"/>
      <c r="AA826" s="730"/>
      <c r="AB826" s="730"/>
      <c r="AC826" s="730"/>
      <c r="AD826" s="730"/>
      <c r="AE826" s="730"/>
      <c r="AF826" s="730"/>
      <c r="AG826" s="730"/>
      <c r="AH826" s="730"/>
      <c r="AI826" s="730"/>
      <c r="AJ826" s="730"/>
      <c r="AK826" s="730"/>
      <c r="AL826" s="730"/>
      <c r="AM826" s="730"/>
      <c r="AN826" s="730"/>
      <c r="AO826" s="730"/>
      <c r="AP826" s="730"/>
      <c r="AQ826" s="730"/>
      <c r="AR826" s="730"/>
      <c r="AS826" s="730"/>
      <c r="AT826" s="730"/>
      <c r="AU826" s="730"/>
      <c r="AV826" s="730"/>
      <c r="AW826" s="730"/>
      <c r="AX826" s="730"/>
      <c r="AY826" s="730"/>
      <c r="AZ826" s="730"/>
      <c r="BA826" s="730"/>
      <c r="BB826" s="730"/>
      <c r="BC826" s="730"/>
      <c r="BD826" s="730"/>
      <c r="BE826" s="730"/>
      <c r="BF826" s="730"/>
      <c r="BG826" s="730"/>
      <c r="BH826" s="730"/>
      <c r="BI826" s="730"/>
      <c r="BJ826" s="730"/>
      <c r="BK826" s="730"/>
      <c r="BL826" s="730"/>
      <c r="BM826" s="730"/>
      <c r="BN826" s="730"/>
      <c r="BO826" s="730"/>
      <c r="BP826" s="730"/>
      <c r="BQ826" s="730"/>
      <c r="BR826" s="730"/>
      <c r="BS826" s="730"/>
      <c r="BT826" s="730"/>
      <c r="BU826" s="730"/>
      <c r="BV826" s="730"/>
      <c r="BW826" s="730"/>
      <c r="BX826" s="730"/>
      <c r="BY826" s="730"/>
      <c r="BZ826" s="730"/>
      <c r="CA826" s="730"/>
      <c r="CB826" s="730"/>
      <c r="CC826" s="730"/>
      <c r="CD826" s="730"/>
      <c r="CE826" s="730"/>
      <c r="CF826" s="730"/>
      <c r="CG826" s="730"/>
      <c r="CH826" s="730"/>
      <c r="CI826" s="730"/>
      <c r="CJ826" s="730"/>
      <c r="CK826" s="730"/>
      <c r="CL826" s="730"/>
      <c r="CM826" s="730"/>
      <c r="CN826" s="730"/>
      <c r="CO826" s="730"/>
      <c r="CP826" s="730"/>
      <c r="CQ826" s="730"/>
      <c r="CR826" s="730"/>
      <c r="CS826" s="730"/>
      <c r="CT826" s="730"/>
      <c r="CU826" s="730"/>
      <c r="CV826" s="730"/>
      <c r="CW826" s="730"/>
      <c r="CX826" s="730"/>
      <c r="CY826" s="730"/>
      <c r="CZ826" s="730"/>
      <c r="DA826" s="730"/>
      <c r="DB826" s="730"/>
      <c r="DC826" s="730"/>
      <c r="DD826" s="730"/>
      <c r="DE826" s="730"/>
      <c r="DF826" s="730"/>
      <c r="DG826" s="730"/>
      <c r="DH826" s="730"/>
      <c r="DI826" s="730"/>
      <c r="DJ826" s="730"/>
      <c r="DK826" s="730"/>
      <c r="DL826" s="730"/>
      <c r="DM826" s="730"/>
      <c r="DN826" s="730"/>
      <c r="DO826" s="730"/>
      <c r="DP826" s="730"/>
      <c r="DQ826" s="730"/>
      <c r="DR826" s="730"/>
      <c r="DS826" s="730"/>
      <c r="DT826" s="730"/>
      <c r="DU826" s="730"/>
      <c r="DV826" s="730"/>
      <c r="DW826" s="730"/>
      <c r="DX826" s="730"/>
      <c r="DY826" s="730"/>
      <c r="DZ826" s="730"/>
      <c r="EA826" s="730"/>
      <c r="EB826" s="730"/>
      <c r="EC826" s="730"/>
      <c r="ED826" s="730"/>
      <c r="EE826" s="730"/>
      <c r="EF826" s="730"/>
      <c r="EG826" s="730"/>
      <c r="EH826" s="730"/>
      <c r="EI826" s="730"/>
      <c r="EJ826" s="730"/>
      <c r="EK826" s="730"/>
      <c r="EL826" s="730"/>
      <c r="EM826" s="730"/>
      <c r="EN826" s="730"/>
      <c r="EO826" s="730"/>
      <c r="EP826" s="730"/>
      <c r="EQ826" s="730"/>
      <c r="ER826" s="730"/>
      <c r="ES826" s="730"/>
      <c r="ET826" s="730"/>
      <c r="EU826" s="730"/>
      <c r="EV826" s="730"/>
      <c r="EW826" s="730"/>
      <c r="EX826" s="730"/>
      <c r="EY826" s="730"/>
      <c r="EZ826" s="730"/>
      <c r="FA826" s="730"/>
      <c r="FB826" s="730"/>
      <c r="FC826" s="730"/>
      <c r="FD826" s="730"/>
      <c r="FE826" s="730"/>
      <c r="FF826" s="730"/>
      <c r="FG826" s="730"/>
      <c r="FH826" s="730"/>
      <c r="FI826" s="730"/>
      <c r="FJ826" s="730"/>
      <c r="FK826" s="730"/>
      <c r="FL826" s="730"/>
      <c r="FM826" s="730"/>
      <c r="FN826" s="730"/>
      <c r="FO826" s="730"/>
      <c r="FP826" s="730"/>
      <c r="FQ826" s="730"/>
      <c r="FR826" s="730"/>
      <c r="FS826" s="730"/>
      <c r="FT826" s="730"/>
      <c r="FU826" s="730"/>
      <c r="FV826" s="730"/>
      <c r="FW826" s="730"/>
      <c r="FX826" s="730"/>
      <c r="FY826" s="730"/>
      <c r="FZ826" s="730"/>
      <c r="GA826" s="730"/>
      <c r="GB826" s="730"/>
      <c r="GC826" s="730"/>
      <c r="GD826" s="730"/>
      <c r="GE826" s="730"/>
      <c r="GF826" s="730"/>
      <c r="GG826" s="730"/>
      <c r="GH826" s="730"/>
      <c r="GI826" s="730"/>
      <c r="GJ826" s="730"/>
      <c r="GK826" s="730"/>
      <c r="GL826" s="730"/>
      <c r="GM826" s="730"/>
      <c r="GN826" s="730"/>
      <c r="GO826" s="730"/>
      <c r="GP826" s="730"/>
      <c r="GQ826" s="730"/>
      <c r="GR826" s="730"/>
      <c r="GS826" s="730"/>
      <c r="GT826" s="730"/>
      <c r="GU826" s="730"/>
      <c r="GV826" s="730"/>
      <c r="GW826" s="730"/>
      <c r="GX826" s="730"/>
      <c r="GY826" s="730"/>
      <c r="GZ826" s="730"/>
      <c r="HA826" s="730"/>
      <c r="HB826" s="730"/>
      <c r="HC826" s="730"/>
      <c r="HD826" s="730"/>
      <c r="HE826" s="730"/>
      <c r="HF826" s="730"/>
      <c r="HG826" s="730"/>
      <c r="HH826" s="730"/>
      <c r="HI826" s="730"/>
      <c r="HJ826" s="730"/>
      <c r="HK826" s="730"/>
      <c r="HL826" s="730"/>
      <c r="HM826" s="730"/>
      <c r="HN826" s="730"/>
      <c r="HO826" s="730"/>
      <c r="HP826" s="730"/>
      <c r="HQ826" s="730"/>
      <c r="HR826" s="730"/>
      <c r="HS826" s="730"/>
      <c r="HT826" s="730"/>
      <c r="HU826" s="730"/>
      <c r="HV826" s="730"/>
      <c r="HW826" s="730"/>
      <c r="HX826" s="730"/>
      <c r="HY826" s="730"/>
      <c r="HZ826" s="730"/>
      <c r="IA826" s="730"/>
      <c r="IB826" s="730"/>
      <c r="IC826" s="730"/>
      <c r="ID826" s="730"/>
      <c r="IE826" s="730"/>
      <c r="IF826" s="730"/>
      <c r="IG826" s="730"/>
      <c r="IH826" s="730"/>
      <c r="II826" s="730"/>
      <c r="IJ826" s="730"/>
      <c r="IK826" s="730"/>
      <c r="IL826" s="730"/>
      <c r="IM826" s="730"/>
      <c r="IN826" s="730"/>
      <c r="IO826" s="730"/>
      <c r="IP826" s="730"/>
      <c r="IQ826" s="730"/>
      <c r="IR826" s="730"/>
      <c r="IS826" s="730"/>
      <c r="IT826" s="730"/>
      <c r="IU826" s="730"/>
      <c r="IV826" s="730"/>
    </row>
    <row r="827" spans="1:256" ht="13.2">
      <c r="A827" s="1196"/>
      <c r="B827" s="730"/>
      <c r="C827" s="1197"/>
      <c r="D827" s="1198" t="s">
        <v>1250</v>
      </c>
      <c r="E827" s="738"/>
      <c r="F827" s="730"/>
      <c r="G827" s="731"/>
      <c r="H827" s="732"/>
      <c r="I827" s="730"/>
      <c r="J827" s="730"/>
      <c r="K827" s="735"/>
      <c r="L827" s="730"/>
      <c r="M827" s="730"/>
      <c r="N827" s="730"/>
      <c r="O827" s="733"/>
      <c r="P827" s="734"/>
      <c r="Q827" s="735"/>
      <c r="R827" s="736"/>
      <c r="S827" s="735"/>
      <c r="T827" s="737"/>
      <c r="U827" s="730"/>
      <c r="V827" s="730"/>
      <c r="W827" s="730"/>
      <c r="X827" s="602"/>
      <c r="Y827" s="1199"/>
      <c r="Z827" s="730"/>
      <c r="AA827" s="730"/>
      <c r="AB827" s="730"/>
      <c r="AC827" s="730"/>
      <c r="AD827" s="730"/>
      <c r="AE827" s="730"/>
      <c r="AF827" s="730"/>
      <c r="AG827" s="730"/>
      <c r="AH827" s="730"/>
      <c r="AI827" s="730"/>
      <c r="AJ827" s="730"/>
      <c r="AK827" s="730"/>
      <c r="AL827" s="730"/>
      <c r="AM827" s="730"/>
      <c r="AN827" s="730"/>
      <c r="AO827" s="730"/>
      <c r="AP827" s="730"/>
      <c r="AQ827" s="730"/>
      <c r="AR827" s="730"/>
      <c r="AS827" s="730"/>
      <c r="AT827" s="730"/>
      <c r="AU827" s="730"/>
      <c r="AV827" s="730"/>
      <c r="AW827" s="730"/>
      <c r="AX827" s="730"/>
      <c r="AY827" s="730"/>
      <c r="AZ827" s="730"/>
      <c r="BA827" s="730"/>
      <c r="BB827" s="730"/>
      <c r="BC827" s="730"/>
      <c r="BD827" s="730"/>
      <c r="BE827" s="730"/>
      <c r="BF827" s="730"/>
      <c r="BG827" s="730"/>
      <c r="BH827" s="730"/>
      <c r="BI827" s="730"/>
      <c r="BJ827" s="730"/>
      <c r="BK827" s="730"/>
      <c r="BL827" s="730"/>
      <c r="BM827" s="730"/>
      <c r="BN827" s="730"/>
      <c r="BO827" s="730"/>
      <c r="BP827" s="730"/>
      <c r="BQ827" s="730"/>
      <c r="BR827" s="730"/>
      <c r="BS827" s="730"/>
      <c r="BT827" s="730"/>
      <c r="BU827" s="730"/>
      <c r="BV827" s="730"/>
      <c r="BW827" s="730"/>
      <c r="BX827" s="730"/>
      <c r="BY827" s="730"/>
      <c r="BZ827" s="730"/>
      <c r="CA827" s="730"/>
      <c r="CB827" s="730"/>
      <c r="CC827" s="730"/>
      <c r="CD827" s="730"/>
      <c r="CE827" s="730"/>
      <c r="CF827" s="730"/>
      <c r="CG827" s="730"/>
      <c r="CH827" s="730"/>
      <c r="CI827" s="730"/>
      <c r="CJ827" s="730"/>
      <c r="CK827" s="730"/>
      <c r="CL827" s="730"/>
      <c r="CM827" s="730"/>
      <c r="CN827" s="730"/>
      <c r="CO827" s="730"/>
      <c r="CP827" s="730"/>
      <c r="CQ827" s="730"/>
      <c r="CR827" s="730"/>
      <c r="CS827" s="730"/>
      <c r="CT827" s="730"/>
      <c r="CU827" s="730"/>
      <c r="CV827" s="730"/>
      <c r="CW827" s="730"/>
      <c r="CX827" s="730"/>
      <c r="CY827" s="730"/>
      <c r="CZ827" s="730"/>
      <c r="DA827" s="730"/>
      <c r="DB827" s="730"/>
      <c r="DC827" s="730"/>
      <c r="DD827" s="730"/>
      <c r="DE827" s="730"/>
      <c r="DF827" s="730"/>
      <c r="DG827" s="730"/>
      <c r="DH827" s="730"/>
      <c r="DI827" s="730"/>
      <c r="DJ827" s="730"/>
      <c r="DK827" s="730"/>
      <c r="DL827" s="730"/>
      <c r="DM827" s="730"/>
      <c r="DN827" s="730"/>
      <c r="DO827" s="730"/>
      <c r="DP827" s="730"/>
      <c r="DQ827" s="730"/>
      <c r="DR827" s="730"/>
      <c r="DS827" s="730"/>
      <c r="DT827" s="730"/>
      <c r="DU827" s="730"/>
      <c r="DV827" s="730"/>
      <c r="DW827" s="730"/>
      <c r="DX827" s="730"/>
      <c r="DY827" s="730"/>
      <c r="DZ827" s="730"/>
      <c r="EA827" s="730"/>
      <c r="EB827" s="730"/>
      <c r="EC827" s="730"/>
      <c r="ED827" s="730"/>
      <c r="EE827" s="730"/>
      <c r="EF827" s="730"/>
      <c r="EG827" s="730"/>
      <c r="EH827" s="730"/>
      <c r="EI827" s="730"/>
      <c r="EJ827" s="730"/>
      <c r="EK827" s="730"/>
      <c r="EL827" s="730"/>
      <c r="EM827" s="730"/>
      <c r="EN827" s="730"/>
      <c r="EO827" s="730"/>
      <c r="EP827" s="730"/>
      <c r="EQ827" s="730"/>
      <c r="ER827" s="730"/>
      <c r="ES827" s="730"/>
      <c r="ET827" s="730"/>
      <c r="EU827" s="730"/>
      <c r="EV827" s="730"/>
      <c r="EW827" s="730"/>
      <c r="EX827" s="730"/>
      <c r="EY827" s="730"/>
      <c r="EZ827" s="730"/>
      <c r="FA827" s="730"/>
      <c r="FB827" s="730"/>
      <c r="FC827" s="730"/>
      <c r="FD827" s="730"/>
      <c r="FE827" s="730"/>
      <c r="FF827" s="730"/>
      <c r="FG827" s="730"/>
      <c r="FH827" s="730"/>
      <c r="FI827" s="730"/>
      <c r="FJ827" s="730"/>
      <c r="FK827" s="730"/>
      <c r="FL827" s="730"/>
      <c r="FM827" s="730"/>
      <c r="FN827" s="730"/>
      <c r="FO827" s="730"/>
      <c r="FP827" s="730"/>
      <c r="FQ827" s="730"/>
      <c r="FR827" s="730"/>
      <c r="FS827" s="730"/>
      <c r="FT827" s="730"/>
      <c r="FU827" s="730"/>
      <c r="FV827" s="730"/>
      <c r="FW827" s="730"/>
      <c r="FX827" s="730"/>
      <c r="FY827" s="730"/>
      <c r="FZ827" s="730"/>
      <c r="GA827" s="730"/>
      <c r="GB827" s="730"/>
      <c r="GC827" s="730"/>
      <c r="GD827" s="730"/>
      <c r="GE827" s="730"/>
      <c r="GF827" s="730"/>
      <c r="GG827" s="730"/>
      <c r="GH827" s="730"/>
      <c r="GI827" s="730"/>
      <c r="GJ827" s="730"/>
      <c r="GK827" s="730"/>
      <c r="GL827" s="730"/>
      <c r="GM827" s="730"/>
      <c r="GN827" s="730"/>
      <c r="GO827" s="730"/>
      <c r="GP827" s="730"/>
      <c r="GQ827" s="730"/>
      <c r="GR827" s="730"/>
      <c r="GS827" s="730"/>
      <c r="GT827" s="730"/>
      <c r="GU827" s="730"/>
      <c r="GV827" s="730"/>
      <c r="GW827" s="730"/>
      <c r="GX827" s="730"/>
      <c r="GY827" s="730"/>
      <c r="GZ827" s="730"/>
      <c r="HA827" s="730"/>
      <c r="HB827" s="730"/>
      <c r="HC827" s="730"/>
      <c r="HD827" s="730"/>
      <c r="HE827" s="730"/>
      <c r="HF827" s="730"/>
      <c r="HG827" s="730"/>
      <c r="HH827" s="730"/>
      <c r="HI827" s="730"/>
      <c r="HJ827" s="730"/>
      <c r="HK827" s="730"/>
      <c r="HL827" s="730"/>
      <c r="HM827" s="730"/>
      <c r="HN827" s="730"/>
      <c r="HO827" s="730"/>
      <c r="HP827" s="730"/>
      <c r="HQ827" s="730"/>
      <c r="HR827" s="730"/>
      <c r="HS827" s="730"/>
      <c r="HT827" s="730"/>
      <c r="HU827" s="730"/>
      <c r="HV827" s="730"/>
      <c r="HW827" s="730"/>
      <c r="HX827" s="730"/>
      <c r="HY827" s="730"/>
      <c r="HZ827" s="730"/>
      <c r="IA827" s="730"/>
      <c r="IB827" s="730"/>
      <c r="IC827" s="730"/>
      <c r="ID827" s="730"/>
      <c r="IE827" s="730"/>
      <c r="IF827" s="730"/>
      <c r="IG827" s="730"/>
      <c r="IH827" s="730"/>
      <c r="II827" s="730"/>
      <c r="IJ827" s="730"/>
      <c r="IK827" s="730"/>
      <c r="IL827" s="730"/>
      <c r="IM827" s="730"/>
      <c r="IN827" s="730"/>
      <c r="IO827" s="730"/>
      <c r="IP827" s="730"/>
      <c r="IQ827" s="730"/>
      <c r="IR827" s="730"/>
      <c r="IS827" s="730"/>
      <c r="IT827" s="730"/>
      <c r="IU827" s="730"/>
      <c r="IV827" s="730"/>
    </row>
    <row r="828" spans="1:256" s="730" customFormat="1" ht="11.4">
      <c r="A828" s="1196">
        <v>7</v>
      </c>
      <c r="B828" s="730" t="s">
        <v>326</v>
      </c>
      <c r="D828" s="730" t="s">
        <v>763</v>
      </c>
      <c r="G828" s="731" t="s">
        <v>764</v>
      </c>
      <c r="H828" s="732">
        <v>690</v>
      </c>
      <c r="I828" s="730" t="s">
        <v>765</v>
      </c>
      <c r="J828" s="730" t="s">
        <v>766</v>
      </c>
      <c r="O828" s="733">
        <v>1</v>
      </c>
      <c r="P828" s="734">
        <v>34669</v>
      </c>
      <c r="Q828" s="735">
        <v>3.66</v>
      </c>
      <c r="R828" s="736">
        <f t="shared" ref="R828:R832" si="56">$A828*Q828</f>
        <v>25.62</v>
      </c>
      <c r="S828" s="735">
        <f>1.1 *(0.2)</f>
        <v>0.22000000000000003</v>
      </c>
      <c r="T828" s="737">
        <f t="shared" ref="T828:T832" si="57">$A828*S828*$T$1</f>
        <v>1.5400000000000003</v>
      </c>
    </row>
    <row r="829" spans="1:256" s="730" customFormat="1" ht="11.4">
      <c r="A829" s="1196">
        <v>30</v>
      </c>
      <c r="B829" s="730" t="s">
        <v>326</v>
      </c>
      <c r="D829" s="730" t="s">
        <v>781</v>
      </c>
      <c r="F829" s="730" t="s">
        <v>1064</v>
      </c>
      <c r="G829" s="731" t="s">
        <v>782</v>
      </c>
      <c r="H829" s="732">
        <v>615</v>
      </c>
      <c r="I829" s="730" t="s">
        <v>561</v>
      </c>
      <c r="K829" s="730" t="s">
        <v>783</v>
      </c>
      <c r="O829" s="733">
        <v>2</v>
      </c>
      <c r="P829" s="734">
        <v>38988</v>
      </c>
      <c r="Q829" s="735">
        <f>0.44*1.1</f>
        <v>0.48400000000000004</v>
      </c>
      <c r="R829" s="736">
        <f t="shared" si="56"/>
        <v>14.520000000000001</v>
      </c>
      <c r="S829" s="735">
        <f>1.1 *(0.02)</f>
        <v>2.2000000000000002E-2</v>
      </c>
      <c r="T829" s="737">
        <f t="shared" si="57"/>
        <v>0.66</v>
      </c>
    </row>
    <row r="830" spans="1:256" s="730" customFormat="1" ht="11.4">
      <c r="A830" s="1196">
        <v>1</v>
      </c>
      <c r="B830" s="730" t="s">
        <v>141</v>
      </c>
      <c r="D830" s="730" t="s">
        <v>1251</v>
      </c>
      <c r="G830" s="731" t="s">
        <v>1252</v>
      </c>
      <c r="H830" s="732">
        <v>705</v>
      </c>
      <c r="I830" s="730" t="s">
        <v>716</v>
      </c>
      <c r="J830" s="730" t="s">
        <v>1253</v>
      </c>
      <c r="O830" s="733">
        <v>3</v>
      </c>
      <c r="P830" s="734">
        <v>34700</v>
      </c>
      <c r="Q830" s="735">
        <v>6.59</v>
      </c>
      <c r="R830" s="736">
        <f t="shared" si="56"/>
        <v>6.59</v>
      </c>
      <c r="S830" s="735">
        <f>1.1 *(0.17)</f>
        <v>0.18700000000000003</v>
      </c>
      <c r="T830" s="737">
        <f t="shared" si="57"/>
        <v>0.18700000000000003</v>
      </c>
    </row>
    <row r="831" spans="1:256" s="730" customFormat="1" ht="13.2">
      <c r="A831" s="167">
        <v>1</v>
      </c>
      <c r="B831" s="730" t="s">
        <v>141</v>
      </c>
      <c r="D831" s="730" t="s">
        <v>684</v>
      </c>
      <c r="F831" s="730" t="s">
        <v>1254</v>
      </c>
      <c r="G831" s="731" t="s">
        <v>685</v>
      </c>
      <c r="H831" s="732">
        <v>900</v>
      </c>
      <c r="I831" s="730" t="s">
        <v>686</v>
      </c>
      <c r="O831" s="733">
        <v>3</v>
      </c>
      <c r="P831" s="734"/>
      <c r="Q831" s="735"/>
      <c r="R831" s="736">
        <f t="shared" si="56"/>
        <v>0</v>
      </c>
      <c r="S831" s="735">
        <f>1.1 *(4)</f>
        <v>4.4000000000000004</v>
      </c>
      <c r="T831" s="737">
        <f t="shared" si="57"/>
        <v>4.4000000000000004</v>
      </c>
    </row>
    <row r="832" spans="1:256" s="730" customFormat="1" ht="13.2">
      <c r="A832">
        <v>1</v>
      </c>
      <c r="B832" s="730" t="s">
        <v>141</v>
      </c>
      <c r="D832" s="730" t="s">
        <v>676</v>
      </c>
      <c r="G832" s="731" t="s">
        <v>677</v>
      </c>
      <c r="H832" s="732">
        <v>501</v>
      </c>
      <c r="I832" s="730" t="s">
        <v>674</v>
      </c>
      <c r="K832" s="730" t="s">
        <v>678</v>
      </c>
      <c r="O832" s="733">
        <v>1</v>
      </c>
      <c r="P832" s="734"/>
      <c r="Q832" s="735">
        <v>50</v>
      </c>
      <c r="R832" s="736">
        <f t="shared" si="56"/>
        <v>50</v>
      </c>
      <c r="S832" s="735"/>
      <c r="T832" s="737">
        <f t="shared" si="57"/>
        <v>0</v>
      </c>
    </row>
    <row r="833" spans="1:41" s="602" customFormat="1" ht="13.95" customHeight="1">
      <c r="A833" s="1185"/>
      <c r="B833" s="1186" t="s">
        <v>1201</v>
      </c>
      <c r="C833" s="1187"/>
      <c r="D833" s="1188" t="s">
        <v>1379</v>
      </c>
      <c r="E833" s="1187"/>
      <c r="F833" s="1247"/>
      <c r="G833" s="1187"/>
      <c r="H833" s="1189"/>
      <c r="I833" s="1187"/>
      <c r="J833" s="1190"/>
      <c r="K833" s="1191"/>
      <c r="L833" s="1192"/>
      <c r="M833" s="1187"/>
      <c r="N833" s="1187"/>
      <c r="O833" s="1190"/>
      <c r="P833" s="1187"/>
      <c r="Q833" s="1187"/>
      <c r="R833" s="1193">
        <f>$A833*Q833</f>
        <v>0</v>
      </c>
      <c r="S833" s="1194"/>
      <c r="T833" s="1195">
        <f>$A833*S833*$T$1</f>
        <v>0</v>
      </c>
    </row>
    <row r="834" spans="1:41" s="713" customFormat="1" ht="13.2">
      <c r="A834"/>
      <c r="B834" s="807"/>
      <c r="C834" s="807" t="s">
        <v>692</v>
      </c>
      <c r="D834" s="807" t="str">
        <f ca="1">CELL("Address",Elec_Rates!D$90)</f>
        <v>[E25_0477_IH_Retro_Elec_Est_Rev_A_AW.xlsx]Elec_Rates!$D$90</v>
      </c>
      <c r="E834" s="808"/>
      <c r="F834" s="808"/>
      <c r="G834" s="809" t="s">
        <v>693</v>
      </c>
      <c r="H834" s="809"/>
      <c r="I834" s="809"/>
      <c r="J834" s="809"/>
      <c r="K834" s="810"/>
      <c r="L834" s="808"/>
      <c r="M834" s="808"/>
      <c r="N834" s="808"/>
      <c r="O834" s="811"/>
      <c r="P834" s="808"/>
      <c r="Q834" s="812"/>
      <c r="R834" s="813"/>
      <c r="S834" s="812"/>
      <c r="T834" s="814"/>
      <c r="U834" s="815"/>
    </row>
    <row r="835" spans="1:41" s="713" customFormat="1" ht="11.4">
      <c r="A835" s="816">
        <v>5</v>
      </c>
      <c r="B835" s="817">
        <v>1</v>
      </c>
      <c r="C835" s="817">
        <f>$A835*$B835</f>
        <v>5</v>
      </c>
      <c r="D835" s="818" t="str">
        <f>Elec_Rates!$D$90</f>
        <v>013# Data Point + BACnet IP</v>
      </c>
      <c r="E835" s="818"/>
      <c r="F835" s="818" t="s">
        <v>694</v>
      </c>
      <c r="G835" s="819" t="s">
        <v>696</v>
      </c>
      <c r="H835" s="819"/>
      <c r="I835" s="819"/>
      <c r="J835" s="819"/>
      <c r="K835" s="820"/>
      <c r="L835" s="815"/>
      <c r="M835" s="815"/>
      <c r="N835" s="815"/>
      <c r="O835" s="821"/>
      <c r="P835" s="818"/>
      <c r="Q835" s="822">
        <f ca="1">$B835*Elec_Rates!$R$90</f>
        <v>76.260000000000005</v>
      </c>
      <c r="R835" s="813">
        <f ca="1">$A835*Q835</f>
        <v>381.3</v>
      </c>
      <c r="S835" s="822">
        <f ca="1">$B835*Elec_Rates!$T$90</f>
        <v>4.41</v>
      </c>
      <c r="T835" s="814">
        <f ca="1">$A835*S835</f>
        <v>22.05</v>
      </c>
      <c r="U835" s="583"/>
    </row>
    <row r="836" spans="1:41" s="602" customFormat="1" ht="13.95" customHeight="1">
      <c r="A836" s="70"/>
      <c r="B836" s="610"/>
      <c r="C836" s="610"/>
      <c r="D836" s="610"/>
      <c r="E836" s="610"/>
      <c r="F836" s="610"/>
      <c r="G836" s="610"/>
      <c r="H836" s="773"/>
      <c r="I836" s="610"/>
      <c r="J836" s="64"/>
      <c r="K836" s="776"/>
      <c r="L836" s="777"/>
      <c r="M836" s="610"/>
      <c r="N836" s="610"/>
      <c r="O836" s="64"/>
      <c r="P836" s="610"/>
      <c r="Q836" s="610"/>
      <c r="R836" s="725">
        <f>$A836*Q836</f>
        <v>0</v>
      </c>
      <c r="S836" s="610"/>
      <c r="T836" s="681">
        <f>$A836*S836*$T$1</f>
        <v>0</v>
      </c>
    </row>
    <row r="837" spans="1:41" s="602" customFormat="1" ht="12">
      <c r="A837" s="778" t="s">
        <v>145</v>
      </c>
      <c r="B837" s="779">
        <f>(R836+T836)</f>
        <v>0</v>
      </c>
      <c r="C837" s="663"/>
      <c r="G837" s="780"/>
      <c r="H837" s="780"/>
      <c r="I837" s="780"/>
      <c r="J837" s="780"/>
      <c r="K837" s="781" t="s">
        <v>3</v>
      </c>
      <c r="L837" s="782" t="s">
        <v>688</v>
      </c>
      <c r="M837" s="780"/>
      <c r="N837" s="780"/>
      <c r="O837" s="780"/>
      <c r="P837" s="780"/>
      <c r="Q837" s="783"/>
      <c r="R837" s="784">
        <f ca="1">SUM(R821:R836)</f>
        <v>828.03</v>
      </c>
      <c r="S837" s="785"/>
      <c r="T837" s="784">
        <f ca="1">SUM(T821:T836)</f>
        <v>42.037000000000006</v>
      </c>
      <c r="AG837" s="786">
        <f ca="1">ROUND($R837*$S$2,2)</f>
        <v>1117.8399999999999</v>
      </c>
    </row>
    <row r="838" spans="1:41" s="602" customFormat="1" ht="12" customHeight="1">
      <c r="A838" s="787"/>
      <c r="B838" s="788"/>
      <c r="C838" s="789"/>
      <c r="D838" s="789" t="str">
        <f>$F$3</f>
        <v>ECA (Technician)</v>
      </c>
      <c r="E838" s="789">
        <f>ROUND(($R842*$S$3 + ($T842*$T$3)), 2)</f>
        <v>3792.85</v>
      </c>
      <c r="F838" s="790">
        <f ca="1">$F818-SUMIF($L820:$P823,"SUBI",$F820:$F823)</f>
        <v>3693.4469599975787</v>
      </c>
      <c r="G838" s="601"/>
      <c r="H838" s="601"/>
      <c r="I838" s="601"/>
      <c r="J838" s="601"/>
      <c r="K838" s="774" t="s">
        <v>5</v>
      </c>
      <c r="L838" s="775" t="s">
        <v>688</v>
      </c>
      <c r="M838" s="601"/>
      <c r="N838" s="601"/>
      <c r="O838" s="601"/>
      <c r="P838" s="601"/>
      <c r="Q838" s="601"/>
      <c r="R838" s="791"/>
      <c r="S838" s="601"/>
      <c r="T838" s="791"/>
    </row>
    <row r="839" spans="1:41" s="730" customFormat="1" ht="13.2">
      <c r="A839">
        <v>1</v>
      </c>
      <c r="B839" s="730" t="s">
        <v>141</v>
      </c>
      <c r="D839" s="730" t="s">
        <v>1242</v>
      </c>
      <c r="F839" s="1290" t="s">
        <v>1377</v>
      </c>
      <c r="G839" s="731" t="s">
        <v>1243</v>
      </c>
      <c r="H839" s="732">
        <v>512</v>
      </c>
      <c r="I839" s="730" t="s">
        <v>674</v>
      </c>
      <c r="O839" s="733">
        <v>3</v>
      </c>
      <c r="P839" s="734"/>
      <c r="Q839" s="735">
        <v>2000</v>
      </c>
      <c r="R839" s="736">
        <f>$A839*Q839</f>
        <v>2000</v>
      </c>
      <c r="S839" s="735">
        <v>24</v>
      </c>
      <c r="T839" s="737">
        <f>$A839*S839*$T$1</f>
        <v>24</v>
      </c>
    </row>
    <row r="840" spans="1:41" s="602" customFormat="1" ht="11.4">
      <c r="A840" s="70"/>
      <c r="B840" s="610"/>
      <c r="C840" s="610"/>
      <c r="D840" s="610"/>
      <c r="E840" s="610"/>
      <c r="F840" s="610"/>
      <c r="G840" s="610"/>
      <c r="H840" s="610"/>
      <c r="I840" s="610"/>
      <c r="J840" s="610"/>
      <c r="K840" s="610"/>
      <c r="L840" s="777"/>
      <c r="M840" s="610"/>
      <c r="N840" s="610"/>
      <c r="O840" s="610"/>
      <c r="P840" s="610"/>
      <c r="Q840" s="610"/>
      <c r="R840" s="725">
        <f>$A840*Q840</f>
        <v>0</v>
      </c>
      <c r="S840" s="610"/>
      <c r="T840" s="681">
        <f>$A840*S840*$T$1</f>
        <v>0</v>
      </c>
    </row>
    <row r="841" spans="1:41" s="602" customFormat="1" ht="13.2">
      <c r="A841" s="70"/>
      <c r="B841" s="610"/>
      <c r="C841" s="610"/>
      <c r="D841" s="3"/>
      <c r="E841" s="610"/>
      <c r="F841" s="610"/>
      <c r="G841" s="610"/>
      <c r="H841" s="610"/>
      <c r="I841" s="610"/>
      <c r="J841" s="610"/>
      <c r="K841" s="610"/>
      <c r="L841" s="777"/>
      <c r="M841" s="610"/>
      <c r="N841" s="610"/>
      <c r="O841" s="610"/>
      <c r="P841" s="610"/>
      <c r="Q841" s="610"/>
      <c r="R841" s="725">
        <f>$A841*Q841</f>
        <v>0</v>
      </c>
      <c r="S841" s="610"/>
      <c r="T841" s="681">
        <f>$A841*S841*$T$1</f>
        <v>0</v>
      </c>
    </row>
    <row r="842" spans="1:41" s="602" customFormat="1" ht="12" customHeight="1">
      <c r="A842" s="792" t="s">
        <v>145</v>
      </c>
      <c r="B842" s="793">
        <f>(R841+T841)</f>
        <v>0</v>
      </c>
      <c r="C842" s="794"/>
      <c r="D842" s="794"/>
      <c r="E842" s="794"/>
      <c r="F842" s="794"/>
      <c r="G842" s="783"/>
      <c r="H842" s="783"/>
      <c r="I842" s="783"/>
      <c r="J842" s="783"/>
      <c r="K842" s="795" t="s">
        <v>5</v>
      </c>
      <c r="L842" s="796" t="s">
        <v>688</v>
      </c>
      <c r="M842" s="783"/>
      <c r="N842" s="783"/>
      <c r="O842" s="783"/>
      <c r="P842" s="783"/>
      <c r="Q842" s="783"/>
      <c r="R842" s="784">
        <f>SUM(R838:R841)</f>
        <v>2000</v>
      </c>
      <c r="S842" s="785"/>
      <c r="T842" s="784">
        <f>SUM(T838:T841)</f>
        <v>24</v>
      </c>
      <c r="AG842" s="797">
        <f>ROUND($R842*$S$3,2)</f>
        <v>2700</v>
      </c>
    </row>
    <row r="843" spans="1:41" s="602" customFormat="1" ht="12.75" customHeight="1">
      <c r="A843" s="798"/>
      <c r="B843" s="799"/>
      <c r="E843" s="663"/>
      <c r="F843" s="800"/>
      <c r="G843" s="663"/>
      <c r="H843" s="663"/>
      <c r="I843" s="601"/>
      <c r="J843" s="663"/>
      <c r="K843" s="663"/>
      <c r="L843" s="801"/>
      <c r="M843" s="802"/>
      <c r="N843" s="802"/>
      <c r="O843" s="802"/>
      <c r="P843" s="802"/>
      <c r="Q843" s="665"/>
      <c r="R843" s="791"/>
      <c r="S843" s="663"/>
      <c r="T843" s="791"/>
    </row>
    <row r="844" spans="1:41" s="602" customFormat="1" ht="13.5" customHeight="1" thickBot="1">
      <c r="A844" s="803"/>
      <c r="B844" s="804"/>
      <c r="C844" s="611"/>
      <c r="D844" s="611"/>
      <c r="E844" s="684"/>
      <c r="F844" s="685"/>
      <c r="G844" s="684" t="s">
        <v>146</v>
      </c>
      <c r="H844" s="684"/>
      <c r="I844" s="686"/>
      <c r="J844" s="684"/>
      <c r="K844" s="684"/>
      <c r="L844" s="729" t="s">
        <v>143</v>
      </c>
      <c r="M844" s="687"/>
      <c r="N844" s="687"/>
      <c r="O844" s="687"/>
      <c r="P844" s="687"/>
      <c r="Q844" s="688"/>
      <c r="R844" s="805">
        <f ca="1">SUMIF($L819:$L843,"SUBI",R819:R843)</f>
        <v>2828.0299999999997</v>
      </c>
      <c r="S844" s="684"/>
      <c r="T844" s="805">
        <f ca="1">SUMIF($L819:$L843,"SUBI",T819:T843)</f>
        <v>66.037000000000006</v>
      </c>
      <c r="U844" s="611"/>
      <c r="V844" s="611"/>
      <c r="W844" s="611"/>
      <c r="X844" s="611"/>
      <c r="Y844" s="611"/>
      <c r="Z844" s="611"/>
      <c r="AA844" s="611"/>
      <c r="AB844" s="611"/>
      <c r="AC844" s="611"/>
      <c r="AD844" s="611"/>
      <c r="AE844" s="611"/>
      <c r="AF844" s="611"/>
      <c r="AG844" s="611"/>
      <c r="AH844" s="611"/>
      <c r="AI844" s="611"/>
      <c r="AJ844" s="611"/>
      <c r="AK844" s="611"/>
      <c r="AL844" s="611"/>
      <c r="AM844" s="611"/>
      <c r="AN844" s="611"/>
      <c r="AO844" s="611"/>
    </row>
    <row r="845" spans="1:41" s="602" customFormat="1" thickTop="1">
      <c r="A845" s="63"/>
      <c r="B845" s="63"/>
      <c r="C845" s="3"/>
      <c r="D845" s="3"/>
      <c r="E845" s="63"/>
      <c r="F845" s="63"/>
      <c r="G845" s="63"/>
      <c r="H845" s="63"/>
      <c r="I845" s="63"/>
      <c r="J845" s="63"/>
      <c r="K845" s="63" t="s">
        <v>134</v>
      </c>
      <c r="L845" s="63"/>
      <c r="M845" s="63"/>
      <c r="N845" s="63"/>
      <c r="O845" s="64"/>
      <c r="P845" s="63"/>
      <c r="Q845" s="63"/>
      <c r="R845" s="63"/>
      <c r="S845" s="63"/>
      <c r="T845" s="63"/>
    </row>
    <row r="846" spans="1:41" s="602" customFormat="1" ht="12">
      <c r="A846" s="63"/>
      <c r="B846" s="63"/>
      <c r="C846" s="63" t="s">
        <v>135</v>
      </c>
      <c r="D846" s="37"/>
      <c r="E846" s="63"/>
      <c r="F846" s="63"/>
      <c r="G846" s="63"/>
      <c r="H846" s="63"/>
      <c r="I846" s="63"/>
      <c r="J846" s="63"/>
      <c r="K846" s="63"/>
      <c r="L846" s="63"/>
      <c r="M846" s="63"/>
      <c r="N846" s="63"/>
      <c r="O846" s="64"/>
      <c r="P846" s="63"/>
      <c r="Q846" s="63"/>
      <c r="R846" s="63"/>
      <c r="S846" s="63"/>
      <c r="T846" s="63"/>
    </row>
    <row r="847" spans="1:41" s="602" customFormat="1" ht="12">
      <c r="A847" s="63"/>
      <c r="B847" s="63"/>
      <c r="C847" s="63"/>
      <c r="D847" s="37" t="s">
        <v>1192</v>
      </c>
      <c r="E847" s="63"/>
      <c r="F847" s="63"/>
      <c r="G847" s="63"/>
      <c r="H847" s="63"/>
      <c r="I847" s="63"/>
      <c r="J847" s="63"/>
      <c r="K847" s="63"/>
      <c r="L847" s="63"/>
      <c r="M847" s="63"/>
      <c r="N847" s="63"/>
      <c r="O847" s="64"/>
      <c r="P847" s="63"/>
      <c r="Q847" s="63"/>
      <c r="R847" s="63"/>
      <c r="S847" s="38"/>
      <c r="T847" s="38"/>
    </row>
    <row r="848" spans="1:41" s="3" customFormat="1" thickBot="1">
      <c r="A848" s="611"/>
      <c r="O848" s="158"/>
    </row>
    <row r="849" spans="1:41" s="602" customFormat="1" thickTop="1">
      <c r="A849" s="63"/>
      <c r="B849" s="41"/>
      <c r="C849" s="63"/>
      <c r="E849" s="42" t="s">
        <v>138</v>
      </c>
      <c r="F849" s="42" t="s">
        <v>139</v>
      </c>
      <c r="G849" s="63"/>
      <c r="H849" s="63"/>
      <c r="I849" s="63"/>
      <c r="J849" s="63"/>
      <c r="K849" s="63" t="s">
        <v>140</v>
      </c>
      <c r="L849" s="751"/>
      <c r="M849" s="63"/>
      <c r="N849" s="63"/>
      <c r="O849" s="64"/>
      <c r="P849" s="63"/>
      <c r="Q849"/>
      <c r="R849"/>
      <c r="S849"/>
      <c r="T849" s="41"/>
      <c r="AG849" s="667" t="s">
        <v>278</v>
      </c>
      <c r="AH849" s="667" t="s">
        <v>279</v>
      </c>
      <c r="AI849" s="667" t="s">
        <v>280</v>
      </c>
      <c r="AJ849" s="667" t="s">
        <v>281</v>
      </c>
      <c r="AK849" s="667" t="s">
        <v>282</v>
      </c>
      <c r="AM849" s="668" t="s">
        <v>291</v>
      </c>
      <c r="AN849" s="669" t="s">
        <v>292</v>
      </c>
      <c r="AO849" s="603" t="s">
        <v>288</v>
      </c>
    </row>
    <row r="850" spans="1:41" s="602" customFormat="1" ht="13.2">
      <c r="A850" s="670">
        <v>1</v>
      </c>
      <c r="B850" s="838" t="s">
        <v>312</v>
      </c>
      <c r="C850" s="672"/>
      <c r="D850" s="673" t="s">
        <v>405</v>
      </c>
      <c r="E850" s="752">
        <f>IF(AND($A850=0,$A$1="DIF"),0, ROUND(ROUND(SUMIF($L852:$L858,"SUBI",$E852:$E858)/$A850,2)*$C$12,2))</f>
        <v>2902.99</v>
      </c>
      <c r="F850" s="753">
        <f>ROUND($A850*$E850,2)</f>
        <v>2902.99</v>
      </c>
      <c r="G850" s="676" t="s">
        <v>142</v>
      </c>
      <c r="H850" s="664"/>
      <c r="I850" s="677"/>
      <c r="J850" s="664"/>
      <c r="K850" s="754"/>
      <c r="L850" s="709" t="s">
        <v>143</v>
      </c>
      <c r="M850" s="678"/>
      <c r="N850" s="678"/>
      <c r="O850" s="678"/>
      <c r="P850" s="678"/>
      <c r="Q850"/>
      <c r="R850"/>
      <c r="S850"/>
      <c r="T850" s="755" t="str">
        <f>IF(AND($R863=0,$T863=0),"0.00","mu :" &amp; ROUND($F850/$C$12/($R863+$T863*$D$9),2))</f>
        <v>mu :1.4</v>
      </c>
      <c r="W850" s="604"/>
      <c r="AG850" s="756">
        <f>IF(A850=0,0,ROUND(SUM(AG852:AG863)/A850,2))</f>
        <v>135</v>
      </c>
      <c r="AH850" s="756">
        <f>$AG850*$A850</f>
        <v>135</v>
      </c>
      <c r="AI850" s="756">
        <f>$E850-$AG850</f>
        <v>2767.99</v>
      </c>
      <c r="AJ850" s="756">
        <f>$A850*$AI850</f>
        <v>2767.99</v>
      </c>
      <c r="AK850" s="757">
        <f>ROUND(($AG850+$AI850)*$A850,2)</f>
        <v>2902.99</v>
      </c>
      <c r="AM850" s="607">
        <f>ROUND(R863,2)</f>
        <v>100</v>
      </c>
      <c r="AN850" s="608">
        <f>ROUND(T863,2)</f>
        <v>74</v>
      </c>
      <c r="AO850" s="609">
        <f>ROUND(AM850+AN850,2)*A850</f>
        <v>174</v>
      </c>
    </row>
    <row r="851" spans="1:41" s="602" customFormat="1" ht="19.95" customHeight="1">
      <c r="A851" s="1068"/>
      <c r="B851" s="1069"/>
      <c r="C851" s="672"/>
      <c r="D851" s="1368" t="s">
        <v>1191</v>
      </c>
      <c r="E851" s="1369"/>
      <c r="F851" s="1369"/>
      <c r="G851" s="1369"/>
      <c r="H851" s="1369"/>
      <c r="I851" s="1369"/>
      <c r="J851" s="1369"/>
      <c r="K851" s="1369"/>
      <c r="L851" s="1369"/>
      <c r="M851" s="1369"/>
      <c r="N851" s="1369"/>
      <c r="O851" s="1369"/>
      <c r="P851" s="1369"/>
      <c r="Q851" s="1369"/>
      <c r="R851" s="1369"/>
      <c r="S851" s="1369"/>
      <c r="T851" s="1369"/>
    </row>
    <row r="852" spans="1:41" s="602" customFormat="1" ht="12">
      <c r="A852" s="758"/>
      <c r="B852" s="759"/>
      <c r="C852" s="663"/>
      <c r="D852" s="664"/>
      <c r="E852" s="760">
        <f>F850/$C$12-SUMIF($L849:$L863,"SUBI",$E849:$E863)</f>
        <v>-1.5465963115275372E-3</v>
      </c>
      <c r="F852" s="761" t="s">
        <v>687</v>
      </c>
      <c r="G852" s="762"/>
      <c r="H852" s="762"/>
      <c r="I852" s="763"/>
      <c r="J852" s="762"/>
      <c r="K852" s="762"/>
      <c r="L852" s="764"/>
      <c r="M852" s="765"/>
      <c r="N852" s="765"/>
      <c r="O852" s="765"/>
      <c r="P852" s="765"/>
      <c r="Q852" s="766"/>
      <c r="R852" s="767"/>
      <c r="S852" s="766"/>
      <c r="T852" s="768"/>
    </row>
    <row r="853" spans="1:41" s="602" customFormat="1" ht="12" customHeight="1">
      <c r="A853" s="769"/>
      <c r="B853" s="770"/>
      <c r="C853" s="771"/>
      <c r="D853" s="771" t="str">
        <f>$F$2</f>
        <v>Electrical</v>
      </c>
      <c r="E853" s="771">
        <f>ROUND(($R857*$S$2 + ($T857*$T$2)), 2)</f>
        <v>1766.12</v>
      </c>
      <c r="F853" s="772">
        <f>$E853*$C$12</f>
        <v>1719.8339411660145</v>
      </c>
      <c r="G853" s="610"/>
      <c r="H853" s="773"/>
      <c r="I853" s="610"/>
      <c r="J853" s="64"/>
      <c r="K853" s="774" t="s">
        <v>3</v>
      </c>
      <c r="L853" s="775" t="s">
        <v>688</v>
      </c>
      <c r="M853" s="610"/>
      <c r="N853" s="610"/>
      <c r="O853" s="64"/>
      <c r="P853" s="610"/>
      <c r="Q853" s="610"/>
      <c r="R853"/>
      <c r="S853"/>
      <c r="T853"/>
    </row>
    <row r="854" spans="1:41" s="730" customFormat="1" ht="13.2">
      <c r="A854" s="167">
        <v>1</v>
      </c>
      <c r="B854" s="730" t="s">
        <v>141</v>
      </c>
      <c r="D854" s="730" t="s">
        <v>1244</v>
      </c>
      <c r="F854" s="730" t="s">
        <v>1245</v>
      </c>
      <c r="G854" s="731" t="s">
        <v>1246</v>
      </c>
      <c r="H854" s="732">
        <v>880</v>
      </c>
      <c r="I854" s="730" t="s">
        <v>674</v>
      </c>
      <c r="O854" s="733">
        <v>3</v>
      </c>
      <c r="P854" s="734">
        <v>38687</v>
      </c>
      <c r="Q854" s="735"/>
      <c r="R854" s="736">
        <f>$A854*Q854</f>
        <v>0</v>
      </c>
      <c r="S854" s="735">
        <f>40*1.1</f>
        <v>44</v>
      </c>
      <c r="T854" s="737">
        <f>$A854*S854*$T$1</f>
        <v>44</v>
      </c>
    </row>
    <row r="855" spans="1:41" s="730" customFormat="1" ht="13.2">
      <c r="A855" s="167">
        <v>1</v>
      </c>
      <c r="B855" s="730" t="s">
        <v>141</v>
      </c>
      <c r="D855" s="730" t="s">
        <v>965</v>
      </c>
      <c r="G855" s="731" t="s">
        <v>966</v>
      </c>
      <c r="H855" s="732">
        <v>880</v>
      </c>
      <c r="I855" s="730" t="s">
        <v>674</v>
      </c>
      <c r="O855" s="733">
        <v>3</v>
      </c>
      <c r="P855" s="734"/>
      <c r="Q855" s="735">
        <v>100</v>
      </c>
      <c r="R855" s="736">
        <f>$A855*Q855</f>
        <v>100</v>
      </c>
      <c r="S855" s="735"/>
      <c r="T855" s="737">
        <f>$A855*S855*$T$1</f>
        <v>0</v>
      </c>
    </row>
    <row r="856" spans="1:41" s="602" customFormat="1" ht="13.95" customHeight="1">
      <c r="A856" s="70"/>
      <c r="B856" s="610"/>
      <c r="C856" s="610"/>
      <c r="D856" s="610"/>
      <c r="E856" s="610"/>
      <c r="F856" s="610"/>
      <c r="G856" s="610"/>
      <c r="H856" s="773"/>
      <c r="I856" s="610"/>
      <c r="J856" s="64"/>
      <c r="K856" s="776"/>
      <c r="L856" s="777"/>
      <c r="M856" s="610"/>
      <c r="N856" s="610"/>
      <c r="O856" s="64"/>
      <c r="P856" s="610"/>
      <c r="Q856" s="610"/>
      <c r="R856" s="725">
        <f>$A856*Q856</f>
        <v>0</v>
      </c>
      <c r="S856" s="610"/>
      <c r="T856" s="681">
        <f>$A856*S856*$T$1</f>
        <v>0</v>
      </c>
    </row>
    <row r="857" spans="1:41" s="602" customFormat="1" ht="12">
      <c r="A857" s="778" t="s">
        <v>145</v>
      </c>
      <c r="B857" s="779">
        <f>(R856+T856)</f>
        <v>0</v>
      </c>
      <c r="C857" s="663"/>
      <c r="G857" s="780"/>
      <c r="H857" s="780"/>
      <c r="I857" s="780"/>
      <c r="J857" s="780"/>
      <c r="K857" s="781" t="s">
        <v>3</v>
      </c>
      <c r="L857" s="782" t="s">
        <v>688</v>
      </c>
      <c r="M857" s="780"/>
      <c r="N857" s="780"/>
      <c r="O857" s="780"/>
      <c r="P857" s="780"/>
      <c r="Q857" s="783"/>
      <c r="R857" s="784">
        <f>SUM(R853:R856)</f>
        <v>100</v>
      </c>
      <c r="S857" s="785"/>
      <c r="T857" s="784">
        <f>SUM(T853:T856)</f>
        <v>44</v>
      </c>
      <c r="AG857" s="786">
        <f>ROUND($R857*$S$2,2)</f>
        <v>135</v>
      </c>
    </row>
    <row r="858" spans="1:41" s="602" customFormat="1" ht="12" customHeight="1">
      <c r="A858" s="787"/>
      <c r="B858" s="878"/>
      <c r="C858" s="880"/>
      <c r="D858" s="880" t="str">
        <f>$F$4</f>
        <v>ECA (Engineer)</v>
      </c>
      <c r="E858" s="880">
        <f>ROUND(($R861*$S$4 + ($T861*$T$4)),2)</f>
        <v>1215</v>
      </c>
      <c r="F858" s="881">
        <f ca="1">$F850-SUMIF($L852:$P855,"SUBI",$F852:$F855)</f>
        <v>1183.1560588339853</v>
      </c>
      <c r="G858" s="601"/>
      <c r="H858" s="601"/>
      <c r="I858" s="601"/>
      <c r="J858" s="601"/>
      <c r="K858" s="774" t="s">
        <v>8</v>
      </c>
      <c r="L858" s="775" t="s">
        <v>688</v>
      </c>
      <c r="M858" s="601"/>
      <c r="N858" s="601"/>
      <c r="O858" s="601"/>
      <c r="P858" s="601"/>
      <c r="Q858" s="601"/>
      <c r="R858" s="791"/>
      <c r="S858" s="601"/>
      <c r="T858" s="791"/>
    </row>
    <row r="859" spans="1:41" s="730" customFormat="1" ht="13.2">
      <c r="A859">
        <v>1</v>
      </c>
      <c r="B859" s="730" t="s">
        <v>141</v>
      </c>
      <c r="D859" s="730" t="s">
        <v>1242</v>
      </c>
      <c r="F859" s="1290" t="s">
        <v>1377</v>
      </c>
      <c r="G859" s="731" t="s">
        <v>1243</v>
      </c>
      <c r="H859" s="732">
        <v>512</v>
      </c>
      <c r="I859" s="730" t="s">
        <v>674</v>
      </c>
      <c r="O859" s="733">
        <v>3</v>
      </c>
      <c r="P859" s="734"/>
      <c r="Q859" s="735"/>
      <c r="R859" s="736">
        <f>$A859*Q859</f>
        <v>0</v>
      </c>
      <c r="S859" s="735">
        <v>30</v>
      </c>
      <c r="T859" s="737">
        <f>$A859*S859*$T$1</f>
        <v>30</v>
      </c>
    </row>
    <row r="860" spans="1:41" s="602" customFormat="1" ht="13.2">
      <c r="A860" s="70"/>
      <c r="B860" s="610"/>
      <c r="C860" s="610"/>
      <c r="D860" s="3"/>
      <c r="E860" s="610"/>
      <c r="F860" s="610"/>
      <c r="G860" s="610"/>
      <c r="H860" s="610"/>
      <c r="I860" s="610"/>
      <c r="J860" s="610"/>
      <c r="K860" s="610"/>
      <c r="L860" s="777"/>
      <c r="M860" s="610"/>
      <c r="N860" s="610"/>
      <c r="O860" s="610"/>
      <c r="P860" s="610"/>
      <c r="Q860" s="610"/>
      <c r="R860" s="725">
        <f>$A860*Q860</f>
        <v>0</v>
      </c>
      <c r="S860" s="610"/>
      <c r="T860" s="681">
        <f>$A860*S860*$T$1</f>
        <v>0</v>
      </c>
    </row>
    <row r="861" spans="1:41" s="602" customFormat="1" ht="12" customHeight="1">
      <c r="A861" s="792" t="s">
        <v>145</v>
      </c>
      <c r="B861" s="793">
        <f>(R860+T860)</f>
        <v>0</v>
      </c>
      <c r="C861" s="794"/>
      <c r="D861" s="794"/>
      <c r="E861" s="794"/>
      <c r="F861" s="794"/>
      <c r="G861" s="783"/>
      <c r="H861" s="783"/>
      <c r="I861" s="783"/>
      <c r="J861" s="783"/>
      <c r="K861" s="795" t="s">
        <v>8</v>
      </c>
      <c r="L861" s="796" t="s">
        <v>688</v>
      </c>
      <c r="M861" s="783"/>
      <c r="N861" s="783"/>
      <c r="O861" s="783"/>
      <c r="P861" s="783"/>
      <c r="Q861" s="783"/>
      <c r="R861" s="784">
        <f>SUM(R858:R860)</f>
        <v>0</v>
      </c>
      <c r="S861" s="785"/>
      <c r="T861" s="784">
        <f>SUM(T858:T860)</f>
        <v>30</v>
      </c>
      <c r="AG861" s="885">
        <f>ROUND($R861*$S$4,2)</f>
        <v>0</v>
      </c>
    </row>
    <row r="862" spans="1:41" s="602" customFormat="1" ht="12.75" customHeight="1">
      <c r="A862" s="798"/>
      <c r="B862" s="799"/>
      <c r="E862" s="663"/>
      <c r="F862" s="800"/>
      <c r="G862" s="663"/>
      <c r="H862" s="663"/>
      <c r="I862" s="601"/>
      <c r="J862" s="663"/>
      <c r="K862" s="663"/>
      <c r="L862" s="801"/>
      <c r="M862" s="802"/>
      <c r="N862" s="802"/>
      <c r="O862" s="802"/>
      <c r="P862" s="802"/>
      <c r="Q862" s="665"/>
      <c r="R862" s="791"/>
      <c r="S862" s="663"/>
      <c r="T862" s="791"/>
    </row>
    <row r="863" spans="1:41" s="602" customFormat="1" ht="13.5" customHeight="1" thickBot="1">
      <c r="A863" s="803"/>
      <c r="B863" s="804"/>
      <c r="C863" s="611"/>
      <c r="D863" s="611"/>
      <c r="E863" s="684"/>
      <c r="F863" s="685"/>
      <c r="G863" s="684" t="s">
        <v>146</v>
      </c>
      <c r="H863" s="684"/>
      <c r="I863" s="686"/>
      <c r="J863" s="684"/>
      <c r="K863" s="684"/>
      <c r="L863" s="729" t="s">
        <v>143</v>
      </c>
      <c r="M863" s="687"/>
      <c r="N863" s="687"/>
      <c r="O863" s="687"/>
      <c r="P863" s="687"/>
      <c r="Q863" s="688"/>
      <c r="R863" s="805">
        <f>SUMIF($L851:$L862,"SUBI",R851:R862)</f>
        <v>100</v>
      </c>
      <c r="S863" s="684"/>
      <c r="T863" s="805">
        <f>SUMIF($L851:$L862,"SUBI",T851:T862)</f>
        <v>74</v>
      </c>
      <c r="U863" s="611"/>
      <c r="V863" s="611"/>
      <c r="W863" s="611"/>
      <c r="X863" s="611"/>
      <c r="Y863" s="611"/>
      <c r="Z863" s="611"/>
      <c r="AA863" s="611"/>
      <c r="AB863" s="611"/>
      <c r="AC863" s="611"/>
      <c r="AD863" s="611"/>
      <c r="AE863" s="611"/>
      <c r="AF863" s="611"/>
      <c r="AG863" s="611"/>
      <c r="AH863" s="611"/>
      <c r="AI863" s="611"/>
      <c r="AJ863" s="611"/>
      <c r="AK863" s="611"/>
      <c r="AL863" s="611"/>
      <c r="AM863" s="611"/>
      <c r="AN863" s="611"/>
      <c r="AO863" s="611"/>
    </row>
    <row r="864" spans="1:41" s="602" customFormat="1" thickTop="1">
      <c r="A864" s="63"/>
      <c r="B864" s="63"/>
      <c r="C864" s="3"/>
      <c r="D864" s="3"/>
      <c r="E864" s="63"/>
      <c r="F864" s="63"/>
      <c r="G864" s="63"/>
      <c r="H864" s="63"/>
      <c r="I864" s="63"/>
      <c r="J864" s="63"/>
      <c r="K864" s="63" t="s">
        <v>134</v>
      </c>
      <c r="L864" s="63"/>
      <c r="M864" s="63"/>
      <c r="N864" s="63"/>
      <c r="O864" s="64"/>
      <c r="P864" s="63"/>
      <c r="Q864" s="63"/>
      <c r="R864" s="63"/>
      <c r="S864" s="63"/>
      <c r="T864" s="63"/>
    </row>
    <row r="865" spans="1:41" s="602" customFormat="1" ht="12">
      <c r="A865" s="63"/>
      <c r="B865" s="63"/>
      <c r="C865" s="63" t="s">
        <v>135</v>
      </c>
      <c r="D865" s="37"/>
      <c r="E865" s="63"/>
      <c r="F865" s="63"/>
      <c r="G865" s="63"/>
      <c r="H865" s="63"/>
      <c r="I865" s="63"/>
      <c r="J865" s="63"/>
      <c r="K865" s="63"/>
      <c r="L865" s="63"/>
      <c r="M865" s="63"/>
      <c r="N865" s="63"/>
      <c r="O865" s="64"/>
      <c r="P865" s="63"/>
      <c r="Q865" s="63"/>
      <c r="R865" s="63"/>
      <c r="S865" s="63"/>
      <c r="T865" s="63"/>
    </row>
    <row r="866" spans="1:41" s="602" customFormat="1" ht="12">
      <c r="A866" s="63"/>
      <c r="B866" s="63"/>
      <c r="C866" s="63"/>
      <c r="D866" s="37" t="s">
        <v>1190</v>
      </c>
      <c r="E866" s="63"/>
      <c r="F866" s="63"/>
      <c r="G866" s="63"/>
      <c r="H866" s="63"/>
      <c r="I866" s="63"/>
      <c r="J866" s="63"/>
      <c r="K866" s="63"/>
      <c r="L866" s="63"/>
      <c r="M866" s="63"/>
      <c r="N866" s="63"/>
      <c r="O866" s="64"/>
      <c r="P866" s="63"/>
      <c r="Q866" s="63"/>
      <c r="R866" s="63"/>
      <c r="S866" s="38"/>
      <c r="T866" s="38"/>
    </row>
    <row r="867" spans="1:41" s="3" customFormat="1" thickBot="1">
      <c r="A867" s="611"/>
      <c r="O867" s="158"/>
    </row>
    <row r="868" spans="1:41" s="602" customFormat="1" thickTop="1">
      <c r="A868" s="63"/>
      <c r="B868" s="41"/>
      <c r="C868" s="63"/>
      <c r="E868" s="42" t="s">
        <v>138</v>
      </c>
      <c r="F868" s="42" t="s">
        <v>139</v>
      </c>
      <c r="G868" s="63"/>
      <c r="H868" s="63"/>
      <c r="I868" s="63"/>
      <c r="J868" s="63"/>
      <c r="K868" s="63" t="s">
        <v>140</v>
      </c>
      <c r="L868" s="751"/>
      <c r="M868" s="63"/>
      <c r="N868" s="63"/>
      <c r="O868" s="64"/>
      <c r="P868" s="63"/>
      <c r="Q868"/>
      <c r="R868"/>
      <c r="S868"/>
      <c r="T868" s="41"/>
      <c r="AG868" s="667" t="s">
        <v>278</v>
      </c>
      <c r="AH868" s="667" t="s">
        <v>279</v>
      </c>
      <c r="AI868" s="667" t="s">
        <v>280</v>
      </c>
      <c r="AJ868" s="667" t="s">
        <v>281</v>
      </c>
      <c r="AK868" s="667" t="s">
        <v>282</v>
      </c>
      <c r="AM868" s="668" t="s">
        <v>291</v>
      </c>
      <c r="AN868" s="669" t="s">
        <v>292</v>
      </c>
      <c r="AO868" s="603" t="s">
        <v>288</v>
      </c>
    </row>
    <row r="869" spans="1:41" s="602" customFormat="1" ht="13.2">
      <c r="A869" s="670">
        <v>1</v>
      </c>
      <c r="B869" s="838" t="s">
        <v>312</v>
      </c>
      <c r="C869" s="672"/>
      <c r="D869" s="673" t="s">
        <v>406</v>
      </c>
      <c r="E869" s="752">
        <f>IF(AND($A869=0,$A$1="DIF"),0, ROUND(ROUND(SUMIF($L871:$L877,"SUBI",$E871:$E877)/$A869,2)*$C$12,2))</f>
        <v>2267.64</v>
      </c>
      <c r="F869" s="753">
        <f>ROUND($A869*$E869,2)</f>
        <v>2267.64</v>
      </c>
      <c r="G869" s="676" t="s">
        <v>142</v>
      </c>
      <c r="H869" s="664"/>
      <c r="I869" s="677"/>
      <c r="J869" s="664"/>
      <c r="K869" s="754"/>
      <c r="L869" s="709" t="s">
        <v>143</v>
      </c>
      <c r="M869" s="678"/>
      <c r="N869" s="678"/>
      <c r="O869" s="678"/>
      <c r="P869" s="678"/>
      <c r="Q869"/>
      <c r="R869"/>
      <c r="S869"/>
      <c r="T869" s="755" t="str">
        <f>IF(AND($R882=0,$T882=0),"0.00","mu :" &amp; ROUND($F869/$C$12/($R882+$T882*$D$9),2))</f>
        <v>mu :1.41</v>
      </c>
      <c r="W869" s="604"/>
      <c r="AG869" s="756">
        <f>IF(A869=0,0,ROUND(SUM(AG871:AG882)/A869,2))</f>
        <v>135</v>
      </c>
      <c r="AH869" s="756">
        <f>$AG869*$A869</f>
        <v>135</v>
      </c>
      <c r="AI869" s="756">
        <f>$E869-$AG869</f>
        <v>2132.64</v>
      </c>
      <c r="AJ869" s="756">
        <f>$A869*$AI869</f>
        <v>2132.64</v>
      </c>
      <c r="AK869" s="757">
        <f>ROUND(($AG869+$AI869)*$A869,2)</f>
        <v>2267.64</v>
      </c>
      <c r="AM869" s="607">
        <f>ROUND(R882,2)</f>
        <v>100</v>
      </c>
      <c r="AN869" s="608">
        <f>ROUND(T882,2)</f>
        <v>56.4</v>
      </c>
      <c r="AO869" s="609">
        <f>ROUND(AM869+AN869,2)*A869</f>
        <v>156.4</v>
      </c>
    </row>
    <row r="870" spans="1:41" s="602" customFormat="1" ht="19.95" customHeight="1">
      <c r="A870" s="1068"/>
      <c r="B870" s="1069"/>
      <c r="C870" s="672"/>
      <c r="D870" s="1368" t="s">
        <v>1189</v>
      </c>
      <c r="E870" s="1369"/>
      <c r="F870" s="1369"/>
      <c r="G870" s="1369"/>
      <c r="H870" s="1369"/>
      <c r="I870" s="1369"/>
      <c r="J870" s="1369"/>
      <c r="K870" s="1369"/>
      <c r="L870" s="1369"/>
      <c r="M870" s="1369"/>
      <c r="N870" s="1369"/>
      <c r="O870" s="1369"/>
      <c r="P870" s="1369"/>
      <c r="Q870" s="1369"/>
      <c r="R870" s="1369"/>
      <c r="S870" s="1369"/>
      <c r="T870" s="1369"/>
    </row>
    <row r="871" spans="1:41" s="602" customFormat="1" ht="12">
      <c r="A871" s="758"/>
      <c r="B871" s="759"/>
      <c r="C871" s="663"/>
      <c r="D871" s="664"/>
      <c r="E871" s="760">
        <f>F869/$C$12-SUMIF($L868:$L882,"SUBI",$E868:$E882)</f>
        <v>-7.8320065176740172E-4</v>
      </c>
      <c r="F871" s="761" t="s">
        <v>687</v>
      </c>
      <c r="G871" s="762"/>
      <c r="H871" s="762"/>
      <c r="I871" s="763"/>
      <c r="J871" s="762"/>
      <c r="K871" s="762"/>
      <c r="L871" s="764"/>
      <c r="M871" s="765"/>
      <c r="N871" s="765"/>
      <c r="O871" s="765"/>
      <c r="P871" s="765"/>
      <c r="Q871" s="766"/>
      <c r="R871" s="767"/>
      <c r="S871" s="766"/>
      <c r="T871" s="768"/>
    </row>
    <row r="872" spans="1:41" s="602" customFormat="1" ht="12" customHeight="1">
      <c r="A872" s="769"/>
      <c r="B872" s="770"/>
      <c r="C872" s="771"/>
      <c r="D872" s="771" t="str">
        <f>$F$2</f>
        <v>Electrical</v>
      </c>
      <c r="E872" s="771">
        <f>ROUND(($R876*$S$2 + ($T876*$T$2)), 2)</f>
        <v>1113.67</v>
      </c>
      <c r="F872" s="772">
        <f>$E872*$C$12</f>
        <v>1084.4831977772494</v>
      </c>
      <c r="G872" s="610"/>
      <c r="H872" s="773"/>
      <c r="I872" s="610"/>
      <c r="J872" s="64"/>
      <c r="K872" s="774" t="s">
        <v>3</v>
      </c>
      <c r="L872" s="775" t="s">
        <v>688</v>
      </c>
      <c r="M872" s="610"/>
      <c r="N872" s="610"/>
      <c r="O872" s="64"/>
      <c r="P872" s="610"/>
      <c r="Q872" s="610"/>
      <c r="R872"/>
      <c r="S872"/>
      <c r="T872"/>
    </row>
    <row r="873" spans="1:41" s="730" customFormat="1" ht="13.2">
      <c r="A873" s="167">
        <v>1</v>
      </c>
      <c r="B873" s="730" t="s">
        <v>141</v>
      </c>
      <c r="D873" s="730" t="s">
        <v>1244</v>
      </c>
      <c r="F873" s="730" t="s">
        <v>1245</v>
      </c>
      <c r="G873" s="731" t="s">
        <v>1246</v>
      </c>
      <c r="H873" s="732">
        <v>880</v>
      </c>
      <c r="I873" s="730" t="s">
        <v>674</v>
      </c>
      <c r="O873" s="733">
        <v>3</v>
      </c>
      <c r="P873" s="734">
        <v>38687</v>
      </c>
      <c r="Q873" s="735"/>
      <c r="R873" s="736">
        <f>$A873*Q873</f>
        <v>0</v>
      </c>
      <c r="S873" s="735">
        <f>24*1.1</f>
        <v>26.400000000000002</v>
      </c>
      <c r="T873" s="737">
        <f>$A873*S873*$T$1</f>
        <v>26.400000000000002</v>
      </c>
    </row>
    <row r="874" spans="1:41" s="730" customFormat="1" ht="13.2">
      <c r="A874" s="167">
        <v>1</v>
      </c>
      <c r="B874" s="730" t="s">
        <v>141</v>
      </c>
      <c r="D874" s="730" t="s">
        <v>965</v>
      </c>
      <c r="G874" s="731" t="s">
        <v>966</v>
      </c>
      <c r="H874" s="732">
        <v>880</v>
      </c>
      <c r="I874" s="730" t="s">
        <v>674</v>
      </c>
      <c r="O874" s="733">
        <v>3</v>
      </c>
      <c r="P874" s="734"/>
      <c r="Q874" s="735">
        <v>100</v>
      </c>
      <c r="R874" s="736">
        <f>$A874*Q874</f>
        <v>100</v>
      </c>
      <c r="S874" s="735"/>
      <c r="T874" s="737">
        <f>$A874*S874*$T$1</f>
        <v>0</v>
      </c>
    </row>
    <row r="875" spans="1:41" s="602" customFormat="1" ht="13.95" customHeight="1">
      <c r="A875" s="70"/>
      <c r="B875" s="610"/>
      <c r="C875" s="610"/>
      <c r="D875" s="610"/>
      <c r="E875" s="610"/>
      <c r="F875" s="610"/>
      <c r="G875" s="610"/>
      <c r="H875" s="773"/>
      <c r="I875" s="610"/>
      <c r="J875" s="64"/>
      <c r="K875" s="776"/>
      <c r="L875" s="777"/>
      <c r="M875" s="610"/>
      <c r="N875" s="610"/>
      <c r="O875" s="64"/>
      <c r="P875" s="610"/>
      <c r="Q875" s="610"/>
      <c r="R875" s="725">
        <f>$A875*Q875</f>
        <v>0</v>
      </c>
      <c r="S875" s="610"/>
      <c r="T875" s="681">
        <f>$A875*S875*$T$1</f>
        <v>0</v>
      </c>
    </row>
    <row r="876" spans="1:41" s="602" customFormat="1" ht="12">
      <c r="A876" s="778" t="s">
        <v>145</v>
      </c>
      <c r="B876" s="779">
        <f>(R875+T875)</f>
        <v>0</v>
      </c>
      <c r="C876" s="663"/>
      <c r="G876" s="780"/>
      <c r="H876" s="780"/>
      <c r="I876" s="780"/>
      <c r="J876" s="780"/>
      <c r="K876" s="781" t="s">
        <v>3</v>
      </c>
      <c r="L876" s="782" t="s">
        <v>688</v>
      </c>
      <c r="M876" s="780"/>
      <c r="N876" s="780"/>
      <c r="O876" s="780"/>
      <c r="P876" s="780"/>
      <c r="Q876" s="783"/>
      <c r="R876" s="784">
        <f>SUM(R872:R875)</f>
        <v>100</v>
      </c>
      <c r="S876" s="785"/>
      <c r="T876" s="784">
        <f>SUM(T872:T875)</f>
        <v>26.400000000000002</v>
      </c>
      <c r="AG876" s="786">
        <f>ROUND($R876*$S$2,2)</f>
        <v>135</v>
      </c>
    </row>
    <row r="877" spans="1:41" s="602" customFormat="1" ht="12" customHeight="1">
      <c r="A877" s="787"/>
      <c r="B877" s="878"/>
      <c r="C877" s="880"/>
      <c r="D877" s="880" t="str">
        <f>$F$4</f>
        <v>ECA (Engineer)</v>
      </c>
      <c r="E877" s="880">
        <f>ROUND(($R880*$S$4 + ($T880*$T$4)),2)</f>
        <v>1215</v>
      </c>
      <c r="F877" s="881">
        <f ca="1">$F869-SUMIF($L871:$P874,"SUBI",$F871:$F874)</f>
        <v>1183.1568022227505</v>
      </c>
      <c r="G877" s="601"/>
      <c r="H877" s="601"/>
      <c r="I877" s="601"/>
      <c r="J877" s="601"/>
      <c r="K877" s="774" t="s">
        <v>8</v>
      </c>
      <c r="L877" s="775" t="s">
        <v>688</v>
      </c>
      <c r="M877" s="601"/>
      <c r="N877" s="601"/>
      <c r="O877" s="601"/>
      <c r="P877" s="601"/>
      <c r="Q877" s="601"/>
      <c r="R877" s="791"/>
      <c r="S877" s="601"/>
      <c r="T877" s="791"/>
    </row>
    <row r="878" spans="1:41" s="730" customFormat="1" ht="13.2">
      <c r="A878">
        <v>1</v>
      </c>
      <c r="B878" s="730" t="s">
        <v>141</v>
      </c>
      <c r="D878" s="730" t="s">
        <v>1242</v>
      </c>
      <c r="F878" s="1290" t="s">
        <v>1377</v>
      </c>
      <c r="G878" s="731" t="s">
        <v>1243</v>
      </c>
      <c r="H878" s="732">
        <v>512</v>
      </c>
      <c r="I878" s="730" t="s">
        <v>674</v>
      </c>
      <c r="O878" s="733">
        <v>3</v>
      </c>
      <c r="P878" s="734"/>
      <c r="Q878" s="735"/>
      <c r="R878" s="736">
        <f>$A878*Q878</f>
        <v>0</v>
      </c>
      <c r="S878" s="735">
        <v>30</v>
      </c>
      <c r="T878" s="737">
        <f>$A878*S878*$T$1</f>
        <v>30</v>
      </c>
    </row>
    <row r="879" spans="1:41" s="602" customFormat="1" ht="13.2">
      <c r="A879" s="70"/>
      <c r="B879" s="610"/>
      <c r="C879" s="610"/>
      <c r="D879" s="3"/>
      <c r="E879" s="610"/>
      <c r="F879" s="610"/>
      <c r="G879" s="610"/>
      <c r="H879" s="610"/>
      <c r="I879" s="610"/>
      <c r="J879" s="610"/>
      <c r="K879" s="610"/>
      <c r="L879" s="777"/>
      <c r="M879" s="610"/>
      <c r="N879" s="610"/>
      <c r="O879" s="610"/>
      <c r="P879" s="610"/>
      <c r="Q879" s="610"/>
      <c r="R879" s="725">
        <f>$A879*Q879</f>
        <v>0</v>
      </c>
      <c r="S879" s="610"/>
      <c r="T879" s="681">
        <f>$A879*S879*$T$1</f>
        <v>0</v>
      </c>
    </row>
    <row r="880" spans="1:41" s="602" customFormat="1" ht="12" customHeight="1">
      <c r="A880" s="792" t="s">
        <v>145</v>
      </c>
      <c r="B880" s="793">
        <f>(R879+T879)</f>
        <v>0</v>
      </c>
      <c r="C880" s="794"/>
      <c r="D880" s="794"/>
      <c r="E880" s="794"/>
      <c r="F880" s="794"/>
      <c r="G880" s="783"/>
      <c r="H880" s="783"/>
      <c r="I880" s="783"/>
      <c r="J880" s="783"/>
      <c r="K880" s="795" t="s">
        <v>8</v>
      </c>
      <c r="L880" s="796" t="s">
        <v>688</v>
      </c>
      <c r="M880" s="783"/>
      <c r="N880" s="783"/>
      <c r="O880" s="783"/>
      <c r="P880" s="783"/>
      <c r="Q880" s="783"/>
      <c r="R880" s="784">
        <f>SUM(R877:R879)</f>
        <v>0</v>
      </c>
      <c r="S880" s="785"/>
      <c r="T880" s="784">
        <f>SUM(T877:T879)</f>
        <v>30</v>
      </c>
      <c r="AG880" s="885">
        <f>ROUND($R880*$S$4,2)</f>
        <v>0</v>
      </c>
    </row>
    <row r="881" spans="1:41" s="602" customFormat="1" ht="12.75" customHeight="1">
      <c r="A881" s="798"/>
      <c r="B881" s="799"/>
      <c r="E881" s="663"/>
      <c r="F881" s="800"/>
      <c r="G881" s="663"/>
      <c r="H881" s="663"/>
      <c r="I881" s="601"/>
      <c r="J881" s="663"/>
      <c r="K881" s="663"/>
      <c r="L881" s="801"/>
      <c r="M881" s="802"/>
      <c r="N881" s="802"/>
      <c r="O881" s="802"/>
      <c r="P881" s="802"/>
      <c r="Q881" s="665"/>
      <c r="R881" s="791"/>
      <c r="S881" s="663"/>
      <c r="T881" s="791"/>
    </row>
    <row r="882" spans="1:41" s="602" customFormat="1" ht="13.5" customHeight="1" thickBot="1">
      <c r="A882" s="803"/>
      <c r="B882" s="804"/>
      <c r="C882" s="611"/>
      <c r="D882" s="611"/>
      <c r="E882" s="684"/>
      <c r="F882" s="685"/>
      <c r="G882" s="684" t="s">
        <v>146</v>
      </c>
      <c r="H882" s="684"/>
      <c r="I882" s="686"/>
      <c r="J882" s="684"/>
      <c r="K882" s="684"/>
      <c r="L882" s="729" t="s">
        <v>143</v>
      </c>
      <c r="M882" s="687"/>
      <c r="N882" s="687"/>
      <c r="O882" s="687"/>
      <c r="P882" s="687"/>
      <c r="Q882" s="688"/>
      <c r="R882" s="805">
        <f>SUMIF($L870:$L881,"SUBI",R870:R881)</f>
        <v>100</v>
      </c>
      <c r="S882" s="684"/>
      <c r="T882" s="805">
        <f>SUMIF($L870:$L881,"SUBI",T870:T881)</f>
        <v>56.400000000000006</v>
      </c>
      <c r="U882" s="611"/>
      <c r="V882" s="611"/>
      <c r="W882" s="611"/>
      <c r="X882" s="611"/>
      <c r="Y882" s="611"/>
      <c r="Z882" s="611"/>
      <c r="AA882" s="611"/>
      <c r="AB882" s="611"/>
      <c r="AC882" s="611"/>
      <c r="AD882" s="611"/>
      <c r="AE882" s="611"/>
      <c r="AF882" s="611"/>
      <c r="AG882" s="611"/>
      <c r="AH882" s="611"/>
      <c r="AI882" s="611"/>
      <c r="AJ882" s="611"/>
      <c r="AK882" s="611"/>
      <c r="AL882" s="611"/>
      <c r="AM882" s="611"/>
      <c r="AN882" s="611"/>
      <c r="AO882" s="611"/>
    </row>
    <row r="883" spans="1:41" s="602" customFormat="1" thickTop="1">
      <c r="A883" s="63"/>
      <c r="B883" s="63"/>
      <c r="C883" s="3"/>
      <c r="D883" s="3"/>
      <c r="E883" s="63"/>
      <c r="F883" s="63"/>
      <c r="G883" s="63"/>
      <c r="H883" s="63"/>
      <c r="I883" s="63"/>
      <c r="J883" s="63"/>
      <c r="K883" s="63" t="s">
        <v>134</v>
      </c>
      <c r="L883" s="63"/>
      <c r="M883" s="63"/>
      <c r="N883" s="63"/>
      <c r="O883" s="64"/>
      <c r="P883" s="63"/>
      <c r="Q883" s="63"/>
      <c r="R883" s="63"/>
      <c r="S883" s="63"/>
      <c r="T883" s="63"/>
    </row>
    <row r="884" spans="1:41" s="602" customFormat="1" ht="12">
      <c r="A884" s="63"/>
      <c r="B884" s="63"/>
      <c r="C884" s="63" t="s">
        <v>135</v>
      </c>
      <c r="D884" s="37"/>
      <c r="E884" s="63"/>
      <c r="F884" s="63"/>
      <c r="G884" s="63"/>
      <c r="H884" s="63"/>
      <c r="I884" s="63"/>
      <c r="J884" s="63"/>
      <c r="K884" s="63"/>
      <c r="L884" s="63"/>
      <c r="M884" s="63"/>
      <c r="N884" s="63"/>
      <c r="O884" s="64"/>
      <c r="P884" s="63"/>
      <c r="Q884" s="63"/>
      <c r="R884" s="63"/>
      <c r="S884" s="63"/>
      <c r="T884" s="63"/>
    </row>
    <row r="885" spans="1:41" s="602" customFormat="1" ht="12">
      <c r="A885" s="63"/>
      <c r="B885" s="63"/>
      <c r="C885" s="63"/>
      <c r="D885" s="37" t="s">
        <v>1188</v>
      </c>
      <c r="E885" s="63"/>
      <c r="F885" s="63"/>
      <c r="G885" s="63"/>
      <c r="H885" s="63"/>
      <c r="I885" s="63"/>
      <c r="J885" s="63"/>
      <c r="K885" s="63"/>
      <c r="L885" s="63"/>
      <c r="M885" s="63"/>
      <c r="N885" s="63"/>
      <c r="O885" s="64"/>
      <c r="P885" s="63"/>
      <c r="Q885" s="63"/>
      <c r="R885" s="63"/>
      <c r="S885" s="38"/>
      <c r="T885" s="38"/>
    </row>
    <row r="886" spans="1:41" s="3" customFormat="1" thickBot="1">
      <c r="A886" s="611"/>
      <c r="O886" s="158"/>
    </row>
    <row r="887" spans="1:41" s="602" customFormat="1" thickTop="1">
      <c r="A887" s="63"/>
      <c r="B887" s="41"/>
      <c r="C887" s="63"/>
      <c r="E887" s="42" t="s">
        <v>138</v>
      </c>
      <c r="F887" s="42" t="s">
        <v>139</v>
      </c>
      <c r="G887" s="63"/>
      <c r="H887" s="63"/>
      <c r="I887" s="63"/>
      <c r="J887" s="63"/>
      <c r="K887" s="63" t="s">
        <v>140</v>
      </c>
      <c r="L887" s="751"/>
      <c r="M887" s="63"/>
      <c r="N887" s="63"/>
      <c r="O887" s="64"/>
      <c r="P887" s="63"/>
      <c r="Q887"/>
      <c r="R887"/>
      <c r="S887"/>
      <c r="T887" s="41"/>
      <c r="AG887" s="667" t="s">
        <v>278</v>
      </c>
      <c r="AH887" s="667" t="s">
        <v>279</v>
      </c>
      <c r="AI887" s="667" t="s">
        <v>280</v>
      </c>
      <c r="AJ887" s="667" t="s">
        <v>281</v>
      </c>
      <c r="AK887" s="667" t="s">
        <v>282</v>
      </c>
      <c r="AM887" s="668" t="s">
        <v>291</v>
      </c>
      <c r="AN887" s="669" t="s">
        <v>292</v>
      </c>
      <c r="AO887" s="603" t="s">
        <v>288</v>
      </c>
    </row>
    <row r="888" spans="1:41" s="602" customFormat="1" ht="13.2">
      <c r="A888" s="670">
        <v>1</v>
      </c>
      <c r="B888" s="838" t="s">
        <v>312</v>
      </c>
      <c r="C888" s="672"/>
      <c r="D888" s="673" t="s">
        <v>407</v>
      </c>
      <c r="E888" s="752">
        <f ca="1">IF(AND($A888=0,$A$1="DIF"),0,ROUND(ROUND(SUMIF($L890:$L934,"SUBI",$E890:$E934)/$A888,2)*$C$12,2))</f>
        <v>152433.92000000001</v>
      </c>
      <c r="F888" s="753">
        <f ca="1">ROUND($A888*$E888,2)</f>
        <v>152433.92000000001</v>
      </c>
      <c r="G888" s="676" t="s">
        <v>142</v>
      </c>
      <c r="H888" s="664"/>
      <c r="I888" s="677"/>
      <c r="J888" s="664"/>
      <c r="K888" s="754"/>
      <c r="L888" s="709" t="s">
        <v>143</v>
      </c>
      <c r="M888" s="678"/>
      <c r="N888" s="678"/>
      <c r="O888" s="678"/>
      <c r="P888" s="678"/>
      <c r="Q888"/>
      <c r="R888"/>
      <c r="S888"/>
      <c r="T888" s="755" t="str">
        <f ca="1">IF(AND($R939=0,$T939=0),"0.00","mu :" &amp; ROUND($F888/$C$12/($R939+$T939*$D$9),2))</f>
        <v>mu :1.36</v>
      </c>
      <c r="W888" s="604"/>
      <c r="AG888" s="756">
        <f ca="1">IF(A888=0,0,ROUND(SUM(AG890:AG939)/A888,2))</f>
        <v>63294.34</v>
      </c>
      <c r="AH888" s="756">
        <f ca="1">$AG888*$A888</f>
        <v>63294.34</v>
      </c>
      <c r="AI888" s="756">
        <f ca="1">$E888-$AG888</f>
        <v>89139.580000000016</v>
      </c>
      <c r="AJ888" s="756">
        <f ca="1">$A888*$AI888</f>
        <v>89139.580000000016</v>
      </c>
      <c r="AK888" s="757">
        <f ca="1">ROUND(($AG888+$AI888)*$A888,2)</f>
        <v>152433.92000000001</v>
      </c>
      <c r="AM888" s="607">
        <f ca="1">ROUND(R939,2)</f>
        <v>46884.69</v>
      </c>
      <c r="AN888" s="608">
        <f ca="1">ROUND(T939,2)</f>
        <v>2476.62</v>
      </c>
      <c r="AO888" s="609">
        <f ca="1">ROUND(AM888+AN888,2)*A888</f>
        <v>49361.31</v>
      </c>
    </row>
    <row r="889" spans="1:41" s="602" customFormat="1" ht="21.6" customHeight="1">
      <c r="A889" s="672"/>
      <c r="B889"/>
      <c r="C889" s="672"/>
      <c r="D889" s="673" t="s">
        <v>1205</v>
      </c>
      <c r="F889" s="664"/>
      <c r="G889" s="664"/>
      <c r="H889" s="664"/>
      <c r="I889" s="677"/>
      <c r="J889" s="664"/>
      <c r="K889" s="664" t="s">
        <v>144</v>
      </c>
      <c r="L889" s="712"/>
      <c r="M889" s="664"/>
      <c r="N889" s="664"/>
      <c r="O889" s="664"/>
      <c r="P889" s="664"/>
      <c r="Q889" s="63"/>
      <c r="R889" s="610"/>
      <c r="S889" s="680"/>
      <c r="T889" s="664"/>
    </row>
    <row r="890" spans="1:41" s="602" customFormat="1" ht="12">
      <c r="A890" s="870"/>
      <c r="B890" s="871"/>
      <c r="C890" s="663"/>
      <c r="D890" s="781"/>
      <c r="E890" s="872">
        <f ca="1">F888/$C$12-SUMIF($L887:$L939,"SUBI",$E887:$E939)</f>
        <v>-1.0228896280750632E-3</v>
      </c>
      <c r="F890" s="873" t="s">
        <v>687</v>
      </c>
      <c r="G890" s="762"/>
      <c r="H890" s="762"/>
      <c r="I890" s="763"/>
      <c r="J890" s="762"/>
      <c r="K890" s="762"/>
      <c r="L890" s="764"/>
      <c r="M890" s="765"/>
      <c r="N890" s="765"/>
      <c r="O890" s="765"/>
      <c r="P890" s="765"/>
      <c r="Q890" s="766"/>
      <c r="R890" s="767"/>
      <c r="S890" s="766"/>
      <c r="T890" s="768"/>
    </row>
    <row r="891" spans="1:41" s="602" customFormat="1" ht="12" customHeight="1">
      <c r="A891" s="769"/>
      <c r="B891" s="770"/>
      <c r="C891" s="771"/>
      <c r="D891" s="771" t="str">
        <f>$F$2</f>
        <v>Electrical</v>
      </c>
      <c r="E891" s="771">
        <f ca="1">ROUND(($R929*$S$2 + ($T929*$T$2)), 2)</f>
        <v>125691.4</v>
      </c>
      <c r="F891" s="772">
        <f ca="1">$E891*$C$12</f>
        <v>122397.3092613605</v>
      </c>
      <c r="G891" s="610"/>
      <c r="H891" s="773"/>
      <c r="I891" s="610"/>
      <c r="J891" s="64"/>
      <c r="K891" s="774" t="s">
        <v>3</v>
      </c>
      <c r="L891" s="775" t="s">
        <v>688</v>
      </c>
      <c r="M891" s="610"/>
      <c r="N891" s="610"/>
      <c r="O891" s="64"/>
      <c r="P891" s="610"/>
      <c r="Q891" s="610"/>
      <c r="R891"/>
      <c r="S891"/>
      <c r="T891"/>
    </row>
    <row r="892" spans="1:41" s="602" customFormat="1" ht="14.4" customHeight="1">
      <c r="A892" s="70"/>
      <c r="B892" s="1071" t="s">
        <v>1201</v>
      </c>
      <c r="C892" s="610"/>
      <c r="D892" s="1184" t="s">
        <v>1247</v>
      </c>
      <c r="E892" s="610"/>
      <c r="F892" s="610"/>
      <c r="G892" s="610"/>
      <c r="H892" s="773"/>
      <c r="I892" s="610"/>
      <c r="J892" s="64"/>
      <c r="K892" s="776"/>
      <c r="L892" s="777"/>
      <c r="M892" s="610"/>
      <c r="N892" s="610"/>
      <c r="O892" s="64"/>
      <c r="P892" s="610"/>
      <c r="Q892" s="610"/>
      <c r="R892" s="725">
        <f>$A892*Q892</f>
        <v>0</v>
      </c>
      <c r="S892" s="610"/>
      <c r="T892" s="681">
        <f>$A892*S892*$T$1</f>
        <v>0</v>
      </c>
    </row>
    <row r="893" spans="1:41" s="713" customFormat="1" ht="13.2">
      <c r="A893"/>
      <c r="B893" s="807"/>
      <c r="C893" s="807" t="s">
        <v>692</v>
      </c>
      <c r="D893" s="807" t="str">
        <f ca="1">CELL("Address",Elec_Rates!D$19)</f>
        <v>[E25_0477_IH_Retro_Elec_Est_Rev_A_AW.xlsx]Elec_Rates!$D$19</v>
      </c>
      <c r="E893" s="808"/>
      <c r="F893" s="808"/>
      <c r="G893" s="809" t="s">
        <v>693</v>
      </c>
      <c r="H893" s="809"/>
      <c r="I893" s="809"/>
      <c r="J893" s="809"/>
      <c r="K893" s="810"/>
      <c r="L893" s="808"/>
      <c r="M893" s="808"/>
      <c r="N893" s="808"/>
      <c r="O893" s="811"/>
      <c r="P893" s="808"/>
      <c r="Q893" s="812"/>
      <c r="R893" s="813"/>
      <c r="S893" s="812"/>
      <c r="T893" s="814"/>
      <c r="U893" s="815"/>
    </row>
    <row r="894" spans="1:41" s="713" customFormat="1" ht="11.4">
      <c r="A894" s="816">
        <f>BMS_Points!E51+BMS_Points!E86</f>
        <v>202</v>
      </c>
      <c r="B894" s="817">
        <v>1</v>
      </c>
      <c r="C894" s="817">
        <f>$A894*$B894</f>
        <v>202</v>
      </c>
      <c r="D894" s="818" t="str">
        <f>Elec_Rates!$D$19</f>
        <v>004# BMS point  (Low level - Digital and Analogue) - Level 2</v>
      </c>
      <c r="E894" s="818"/>
      <c r="F894" s="818" t="s">
        <v>694</v>
      </c>
      <c r="G894" s="819" t="s">
        <v>695</v>
      </c>
      <c r="H894" s="819"/>
      <c r="I894" s="819"/>
      <c r="J894" s="819"/>
      <c r="K894" s="820"/>
      <c r="L894" s="815"/>
      <c r="M894" s="815"/>
      <c r="N894" s="815"/>
      <c r="O894" s="821"/>
      <c r="P894" s="818"/>
      <c r="Q894" s="822">
        <f ca="1">$B894*Elec_Rates!$R$19</f>
        <v>56.85</v>
      </c>
      <c r="R894" s="813">
        <f ca="1">$A894*Q894</f>
        <v>11483.7</v>
      </c>
      <c r="S894" s="822">
        <f ca="1">$B894*Elec_Rates!$T$19</f>
        <v>4.3899999999999997</v>
      </c>
      <c r="T894" s="814">
        <f ca="1">$A894*S894</f>
        <v>886.78</v>
      </c>
      <c r="U894" s="816">
        <v>36</v>
      </c>
    </row>
    <row r="895" spans="1:41" s="713" customFormat="1" ht="13.2">
      <c r="A895"/>
      <c r="B895" s="807"/>
      <c r="C895" s="807" t="s">
        <v>692</v>
      </c>
      <c r="D895" s="807" t="str">
        <f ca="1">CELL("Address",Elec_Rates!D$30)</f>
        <v>[E25_0477_IH_Retro_Elec_Est_Rev_A_AW.xlsx]Elec_Rates!$D$30</v>
      </c>
      <c r="E895" s="808"/>
      <c r="F895" s="808"/>
      <c r="G895" s="809" t="s">
        <v>693</v>
      </c>
      <c r="H895" s="809"/>
      <c r="I895" s="809"/>
      <c r="J895" s="809"/>
      <c r="K895" s="810"/>
      <c r="L895" s="808"/>
      <c r="M895" s="808"/>
      <c r="N895" s="808"/>
      <c r="O895" s="811"/>
      <c r="P895" s="808"/>
      <c r="Q895" s="812"/>
      <c r="R895" s="813"/>
      <c r="S895" s="812"/>
      <c r="T895" s="814"/>
      <c r="U895"/>
    </row>
    <row r="896" spans="1:41" s="713" customFormat="1" ht="11.4">
      <c r="A896" s="816">
        <f>BMS_Points!F51+BMS_Points!F86</f>
        <v>72</v>
      </c>
      <c r="B896" s="817">
        <v>1</v>
      </c>
      <c r="C896" s="817">
        <f>$A896*$B896</f>
        <v>72</v>
      </c>
      <c r="D896" s="818" t="str">
        <f>Elec_Rates!$D$30</f>
        <v>005# BMS point  (High level Modbus RTU/BACnet) - Level 2</v>
      </c>
      <c r="E896" s="818"/>
      <c r="F896" s="818" t="s">
        <v>694</v>
      </c>
      <c r="G896" s="819" t="s">
        <v>696</v>
      </c>
      <c r="H896" s="819"/>
      <c r="I896" s="819"/>
      <c r="J896" s="819"/>
      <c r="K896" s="820"/>
      <c r="L896" s="815"/>
      <c r="M896" s="815"/>
      <c r="N896" s="815"/>
      <c r="O896" s="821"/>
      <c r="P896" s="818"/>
      <c r="Q896" s="822">
        <f ca="1">$B896*Elec_Rates!$R$30</f>
        <v>60.69</v>
      </c>
      <c r="R896" s="813">
        <f ca="1">$A896*Q896</f>
        <v>4369.68</v>
      </c>
      <c r="S896" s="822">
        <f ca="1">$B896*Elec_Rates!$T$30</f>
        <v>4.29</v>
      </c>
      <c r="T896" s="814">
        <f ca="1">$A896*S896</f>
        <v>308.88</v>
      </c>
      <c r="U896" s="816">
        <v>15</v>
      </c>
    </row>
    <row r="897" spans="1:256" s="602" customFormat="1" ht="14.4" customHeight="1">
      <c r="A897" s="70"/>
      <c r="B897" s="1071" t="s">
        <v>1201</v>
      </c>
      <c r="C897" s="610"/>
      <c r="D897" s="1184" t="s">
        <v>1248</v>
      </c>
      <c r="E897" s="610"/>
      <c r="F897" s="610"/>
      <c r="G897" s="610"/>
      <c r="H897" s="773"/>
      <c r="I897" s="610"/>
      <c r="J897" s="64"/>
      <c r="K897" s="776"/>
      <c r="L897" s="777"/>
      <c r="M897" s="610"/>
      <c r="N897" s="610"/>
      <c r="O897" s="64"/>
      <c r="P897" s="610"/>
      <c r="Q897" s="610"/>
      <c r="R897" s="725">
        <f>$A897*Q897</f>
        <v>0</v>
      </c>
      <c r="S897" s="610"/>
      <c r="T897" s="681">
        <f>$A897*S897*$T$1</f>
        <v>0</v>
      </c>
      <c r="U897" s="70"/>
    </row>
    <row r="898" spans="1:256" s="713" customFormat="1" ht="13.2">
      <c r="A898"/>
      <c r="B898" s="807"/>
      <c r="C898" s="807" t="s">
        <v>692</v>
      </c>
      <c r="D898" s="807" t="str">
        <f ca="1">CELL("Address",Elec_Rates!D$42)</f>
        <v>[E25_0477_IH_Retro_Elec_Est_Rev_A_AW.xlsx]Elec_Rates!$D$42</v>
      </c>
      <c r="E898" s="808"/>
      <c r="F898" s="808"/>
      <c r="G898" s="809" t="s">
        <v>693</v>
      </c>
      <c r="H898" s="809"/>
      <c r="I898" s="809"/>
      <c r="J898" s="809"/>
      <c r="K898" s="810"/>
      <c r="L898" s="808"/>
      <c r="M898" s="808"/>
      <c r="N898" s="808"/>
      <c r="O898" s="811"/>
      <c r="P898" s="808"/>
      <c r="Q898" s="812"/>
      <c r="R898" s="813"/>
      <c r="S898" s="812"/>
      <c r="T898" s="814"/>
      <c r="U898"/>
    </row>
    <row r="899" spans="1:256" s="713" customFormat="1" ht="11.4">
      <c r="A899" s="816">
        <f>BMS_Points!E86</f>
        <v>80</v>
      </c>
      <c r="B899" s="817">
        <v>1</v>
      </c>
      <c r="C899" s="817">
        <f>$A899*$B899</f>
        <v>80</v>
      </c>
      <c r="D899" s="818" t="str">
        <f>Elec_Rates!$D$42</f>
        <v>004# BMS point  (Low level - Digital and Analogue) - Level 4</v>
      </c>
      <c r="E899" s="818"/>
      <c r="F899" s="818" t="s">
        <v>694</v>
      </c>
      <c r="G899" s="819" t="s">
        <v>695</v>
      </c>
      <c r="H899" s="819"/>
      <c r="I899" s="819"/>
      <c r="J899" s="819"/>
      <c r="K899" s="820"/>
      <c r="L899" s="815"/>
      <c r="M899" s="815"/>
      <c r="N899" s="815"/>
      <c r="O899" s="821"/>
      <c r="P899" s="818"/>
      <c r="Q899" s="822">
        <f ca="1">$B899*Elec_Rates!$R$42</f>
        <v>120.91</v>
      </c>
      <c r="R899" s="813">
        <f ca="1">$A899*Q899</f>
        <v>9672.7999999999993</v>
      </c>
      <c r="S899" s="822">
        <f ca="1">$B899*Elec_Rates!$T$42</f>
        <v>8.07</v>
      </c>
      <c r="T899" s="814">
        <f ca="1">$A899*S899</f>
        <v>645.6</v>
      </c>
      <c r="U899" s="816">
        <v>84</v>
      </c>
    </row>
    <row r="900" spans="1:256" s="713" customFormat="1" ht="13.2">
      <c r="A900"/>
      <c r="B900" s="807"/>
      <c r="C900" s="807" t="s">
        <v>692</v>
      </c>
      <c r="D900" s="807" t="str">
        <f ca="1">CELL("Address",Elec_Rates!D$66)</f>
        <v>[E25_0477_IH_Retro_Elec_Est_Rev_A_AW.xlsx]Elec_Rates!$D$66</v>
      </c>
      <c r="E900" s="808"/>
      <c r="F900" s="808"/>
      <c r="G900" s="809" t="s">
        <v>693</v>
      </c>
      <c r="H900" s="809"/>
      <c r="I900" s="809"/>
      <c r="J900" s="809"/>
      <c r="K900" s="810"/>
      <c r="L900" s="808"/>
      <c r="M900" s="808"/>
      <c r="N900" s="808"/>
      <c r="O900" s="811"/>
      <c r="P900" s="808"/>
      <c r="Q900" s="812"/>
      <c r="R900" s="813"/>
      <c r="S900" s="812"/>
      <c r="T900" s="814"/>
      <c r="U900"/>
    </row>
    <row r="901" spans="1:256" s="713" customFormat="1" ht="11.4">
      <c r="A901" s="816">
        <f>BMS_Points!F52-26</f>
        <v>20</v>
      </c>
      <c r="B901" s="817">
        <v>1</v>
      </c>
      <c r="C901" s="817">
        <f>$A901*$B901</f>
        <v>20</v>
      </c>
      <c r="D901" s="818" t="str">
        <f>Elec_Rates!$D$66</f>
        <v>005# BMS point  (High level Modbus RTU/BACnet) - Level 4</v>
      </c>
      <c r="E901" s="818"/>
      <c r="F901" s="818" t="s">
        <v>694</v>
      </c>
      <c r="G901" s="819" t="s">
        <v>696</v>
      </c>
      <c r="H901" s="819"/>
      <c r="I901" s="819"/>
      <c r="J901" s="819"/>
      <c r="K901" s="820"/>
      <c r="L901" s="815"/>
      <c r="M901" s="815"/>
      <c r="N901" s="815"/>
      <c r="O901" s="821"/>
      <c r="P901" s="818"/>
      <c r="Q901" s="822">
        <f ca="1">$B901*Elec_Rates!$R$66</f>
        <v>19.07</v>
      </c>
      <c r="R901" s="813">
        <f ca="1">$A901*Q901</f>
        <v>381.4</v>
      </c>
      <c r="S901" s="822">
        <f ca="1">$B901*Elec_Rates!$T$66</f>
        <v>2.37</v>
      </c>
      <c r="T901" s="814">
        <f ca="1">$A901*S901</f>
        <v>47.400000000000006</v>
      </c>
      <c r="U901" s="816">
        <f>46-26</f>
        <v>20</v>
      </c>
    </row>
    <row r="902" spans="1:256" s="713" customFormat="1" ht="13.2">
      <c r="A902"/>
      <c r="B902" s="807"/>
      <c r="C902" s="807" t="s">
        <v>692</v>
      </c>
      <c r="D902" s="807" t="str">
        <f ca="1">CELL("Address",Elec_Rates!D$78)</f>
        <v>[E25_0477_IH_Retro_Elec_Est_Rev_A_AW.xlsx]Elec_Rates!$D$78</v>
      </c>
      <c r="E902" s="808"/>
      <c r="F902" s="808"/>
      <c r="G902" s="809" t="s">
        <v>693</v>
      </c>
      <c r="H902" s="809"/>
      <c r="I902" s="809"/>
      <c r="J902" s="809"/>
      <c r="K902" s="810"/>
      <c r="L902" s="808"/>
      <c r="M902" s="808"/>
      <c r="N902" s="808"/>
      <c r="O902" s="811"/>
      <c r="P902" s="808"/>
      <c r="Q902" s="812"/>
      <c r="R902" s="813"/>
      <c r="S902" s="812"/>
      <c r="T902" s="814"/>
      <c r="U902"/>
    </row>
    <row r="903" spans="1:256" s="713" customFormat="1" ht="11.4">
      <c r="A903" s="816">
        <v>26</v>
      </c>
      <c r="B903" s="817">
        <v>1</v>
      </c>
      <c r="C903" s="817">
        <f>$A903*$B903</f>
        <v>26</v>
      </c>
      <c r="D903" s="818" t="str">
        <f>Elec_Rates!$D$78</f>
        <v>005# BMS point  (High level Modbus RTU/BACnet) - AHUS</v>
      </c>
      <c r="E903" s="818"/>
      <c r="F903" s="818" t="s">
        <v>694</v>
      </c>
      <c r="G903" s="819" t="s">
        <v>695</v>
      </c>
      <c r="H903" s="819"/>
      <c r="I903" s="819"/>
      <c r="J903" s="819"/>
      <c r="K903" s="820"/>
      <c r="L903" s="815"/>
      <c r="M903" s="815"/>
      <c r="N903" s="815"/>
      <c r="O903" s="821"/>
      <c r="P903" s="818"/>
      <c r="Q903" s="822">
        <f ca="1">$B903*Elec_Rates!$R$78</f>
        <v>143.53</v>
      </c>
      <c r="R903" s="813">
        <f ca="1">$A903*Q903</f>
        <v>3731.78</v>
      </c>
      <c r="S903" s="822">
        <f ca="1">$B903*Elec_Rates!$T$78</f>
        <v>9.24</v>
      </c>
      <c r="T903" s="814">
        <f ca="1">$A903*S903</f>
        <v>240.24</v>
      </c>
      <c r="U903" s="816">
        <v>26</v>
      </c>
    </row>
    <row r="904" spans="1:256" s="713" customFormat="1" ht="11.4">
      <c r="A904" s="816"/>
      <c r="B904" s="817"/>
      <c r="C904" s="817"/>
      <c r="D904" s="1184" t="s">
        <v>1378</v>
      </c>
      <c r="E904" s="818"/>
      <c r="F904" s="818"/>
      <c r="G904" s="819"/>
      <c r="H904" s="819"/>
      <c r="I904" s="819"/>
      <c r="J904" s="819"/>
      <c r="K904" s="820"/>
      <c r="L904" s="815"/>
      <c r="M904" s="815"/>
      <c r="N904" s="815"/>
      <c r="O904" s="821"/>
      <c r="P904" s="818"/>
      <c r="Q904" s="822"/>
      <c r="R904" s="813"/>
      <c r="S904" s="822"/>
      <c r="T904" s="814"/>
      <c r="U904" s="816"/>
    </row>
    <row r="905" spans="1:256" s="713" customFormat="1" ht="13.2">
      <c r="A905"/>
      <c r="B905" s="807"/>
      <c r="C905" s="807" t="s">
        <v>692</v>
      </c>
      <c r="D905" s="807" t="str">
        <f ca="1">CELL("Address",Elec_Rates!D$54)</f>
        <v>[E25_0477_IH_Retro_Elec_Est_Rev_A_AW.xlsx]Elec_Rates!$D$54</v>
      </c>
      <c r="E905" s="808"/>
      <c r="F905" s="808"/>
      <c r="G905" s="809" t="s">
        <v>693</v>
      </c>
      <c r="H905" s="809"/>
      <c r="I905" s="809"/>
      <c r="J905" s="809"/>
      <c r="K905" s="810"/>
      <c r="L905" s="808"/>
      <c r="M905" s="808"/>
      <c r="N905" s="808"/>
      <c r="O905" s="811"/>
      <c r="P905" s="808"/>
      <c r="Q905" s="812"/>
      <c r="R905" s="813"/>
      <c r="S905" s="812"/>
      <c r="T905" s="814"/>
      <c r="U905"/>
    </row>
    <row r="906" spans="1:256" s="713" customFormat="1" ht="11.4">
      <c r="A906" s="816">
        <v>20</v>
      </c>
      <c r="B906" s="817">
        <v>1</v>
      </c>
      <c r="C906" s="817">
        <f>$A906*$B906</f>
        <v>20</v>
      </c>
      <c r="D906" s="818" t="str">
        <f>Elec_Rates!$D$54</f>
        <v>004# Isolator Interlocks for equipment in level 2</v>
      </c>
      <c r="E906" s="818"/>
      <c r="F906" s="818" t="s">
        <v>694</v>
      </c>
      <c r="G906" s="819" t="s">
        <v>695</v>
      </c>
      <c r="H906" s="819"/>
      <c r="I906" s="819"/>
      <c r="J906" s="819"/>
      <c r="K906" s="820"/>
      <c r="L906" s="815"/>
      <c r="M906" s="815"/>
      <c r="N906" s="815"/>
      <c r="O906" s="821"/>
      <c r="P906" s="818"/>
      <c r="Q906" s="822">
        <f ca="1">$B906*Elec_Rates!$R$54</f>
        <v>58.6</v>
      </c>
      <c r="R906" s="813">
        <f ca="1">$A906*Q906</f>
        <v>1172</v>
      </c>
      <c r="S906" s="822">
        <f ca="1">$B906*Elec_Rates!$T$54</f>
        <v>4.3899999999999997</v>
      </c>
      <c r="T906" s="814">
        <f ca="1">$A906*S906</f>
        <v>87.8</v>
      </c>
      <c r="U906" s="816">
        <v>12</v>
      </c>
    </row>
    <row r="907" spans="1:256" s="602" customFormat="1" ht="14.4" customHeight="1">
      <c r="A907" s="70"/>
      <c r="B907" s="1071"/>
      <c r="C907" s="610"/>
      <c r="D907" s="1184" t="s">
        <v>1249</v>
      </c>
      <c r="E907" s="610"/>
      <c r="F907" s="610"/>
      <c r="G907" s="610"/>
      <c r="H907" s="773"/>
      <c r="I907" s="610"/>
      <c r="J907" s="64"/>
      <c r="K907" s="776"/>
      <c r="L907" s="777"/>
      <c r="M907" s="610"/>
      <c r="N907" s="610"/>
      <c r="O907" s="64"/>
      <c r="P907" s="610"/>
      <c r="Q907" s="610"/>
      <c r="R907" s="736">
        <f>$A907*Q907</f>
        <v>0</v>
      </c>
      <c r="S907" s="735"/>
      <c r="T907" s="737">
        <f>$A907*S907*$T$1</f>
        <v>0</v>
      </c>
    </row>
    <row r="908" spans="1:256" s="602" customFormat="1" ht="13.95" customHeight="1">
      <c r="A908" s="1185"/>
      <c r="B908" s="1186" t="s">
        <v>1201</v>
      </c>
      <c r="C908" s="1187"/>
      <c r="D908" s="1188" t="s">
        <v>1379</v>
      </c>
      <c r="E908" s="1187"/>
      <c r="F908" s="1247" t="s">
        <v>1391</v>
      </c>
      <c r="G908" s="1187"/>
      <c r="H908" s="1189"/>
      <c r="I908" s="1187"/>
      <c r="J908" s="1190"/>
      <c r="K908" s="1191"/>
      <c r="L908" s="1192"/>
      <c r="M908" s="1187"/>
      <c r="N908" s="1187"/>
      <c r="O908" s="1190"/>
      <c r="P908" s="1187"/>
      <c r="Q908" s="1187"/>
      <c r="R908" s="1193">
        <f>$A908*Q908</f>
        <v>0</v>
      </c>
      <c r="S908" s="1194"/>
      <c r="T908" s="1195">
        <f>$A908*S908*$T$1</f>
        <v>0</v>
      </c>
    </row>
    <row r="909" spans="1:256" s="713" customFormat="1" ht="13.2">
      <c r="A909" s="863"/>
      <c r="B909" s="1264"/>
      <c r="C909" s="1264" t="s">
        <v>692</v>
      </c>
      <c r="D909" s="1264" t="str">
        <f ca="1">CELL("Address",Elec_Rates!D$90)</f>
        <v>[E25_0477_IH_Retro_Elec_Est_Rev_A_AW.xlsx]Elec_Rates!$D$90</v>
      </c>
      <c r="E909" s="1265"/>
      <c r="F909" s="1265"/>
      <c r="G909" s="1266" t="s">
        <v>693</v>
      </c>
      <c r="H909" s="1266"/>
      <c r="I909" s="1266"/>
      <c r="J909" s="1266"/>
      <c r="K909" s="1267"/>
      <c r="L909" s="1265"/>
      <c r="M909" s="1265"/>
      <c r="N909" s="1265"/>
      <c r="O909" s="1268"/>
      <c r="P909" s="1265"/>
      <c r="Q909" s="1269"/>
      <c r="R909" s="1270"/>
      <c r="S909" s="1269"/>
      <c r="T909" s="1271"/>
      <c r="U909" s="815"/>
    </row>
    <row r="910" spans="1:256" s="713" customFormat="1" ht="11.4">
      <c r="A910" s="1244">
        <v>0</v>
      </c>
      <c r="B910" s="1272">
        <v>1</v>
      </c>
      <c r="C910" s="1272">
        <f>$A910*$B910</f>
        <v>0</v>
      </c>
      <c r="D910" s="1273" t="str">
        <f>Elec_Rates!$D$90</f>
        <v>013# Data Point + BACnet IP</v>
      </c>
      <c r="E910" s="1273"/>
      <c r="F910" s="1273" t="s">
        <v>694</v>
      </c>
      <c r="G910" s="1274" t="s">
        <v>696</v>
      </c>
      <c r="H910" s="1274"/>
      <c r="I910" s="1274"/>
      <c r="J910" s="1274"/>
      <c r="K910" s="1275"/>
      <c r="L910" s="1276"/>
      <c r="M910" s="1276"/>
      <c r="N910" s="1276"/>
      <c r="O910" s="1277"/>
      <c r="P910" s="1273"/>
      <c r="Q910" s="1278">
        <f ca="1">$B910*Elec_Rates!$R$90</f>
        <v>76.260000000000005</v>
      </c>
      <c r="R910" s="1270">
        <f ca="1">$A910*Q910</f>
        <v>0</v>
      </c>
      <c r="S910" s="1278">
        <f ca="1">$B910*Elec_Rates!$T$90</f>
        <v>4.41</v>
      </c>
      <c r="T910" s="1271">
        <f ca="1">$A910*S910</f>
        <v>0</v>
      </c>
      <c r="U910" s="583"/>
    </row>
    <row r="911" spans="1:256" ht="13.2">
      <c r="A911" s="1245"/>
      <c r="B911" s="1246"/>
      <c r="C911" s="1261"/>
      <c r="D911" s="1188" t="s">
        <v>1250</v>
      </c>
      <c r="E911" s="1247"/>
      <c r="F911" s="1247" t="s">
        <v>1391</v>
      </c>
      <c r="G911" s="1248"/>
      <c r="H911" s="1249"/>
      <c r="I911" s="1246"/>
      <c r="J911" s="1246"/>
      <c r="K911" s="1194"/>
      <c r="L911" s="1246"/>
      <c r="M911" s="1246"/>
      <c r="N911" s="1246"/>
      <c r="O911" s="1250"/>
      <c r="P911" s="1251"/>
      <c r="Q911" s="1194"/>
      <c r="R911" s="1193"/>
      <c r="S911" s="1194"/>
      <c r="T911" s="1195"/>
      <c r="U911" s="730"/>
      <c r="V911" s="730"/>
      <c r="W911" s="730"/>
      <c r="X911" s="602"/>
      <c r="Y911" s="1199"/>
      <c r="Z911" s="730"/>
      <c r="AA911" s="730"/>
      <c r="AB911" s="730"/>
      <c r="AC911" s="730"/>
      <c r="AD911" s="730"/>
      <c r="AE911" s="730"/>
      <c r="AF911" s="730"/>
      <c r="AG911" s="730"/>
      <c r="AH911" s="730"/>
      <c r="AI911" s="730"/>
      <c r="AJ911" s="730"/>
      <c r="AK911" s="730"/>
      <c r="AL911" s="730"/>
      <c r="AM911" s="730"/>
      <c r="AN911" s="730"/>
      <c r="AO911" s="730"/>
      <c r="AP911" s="730"/>
      <c r="AQ911" s="730"/>
      <c r="AR911" s="730"/>
      <c r="AS911" s="730"/>
      <c r="AT911" s="730"/>
      <c r="AU911" s="730"/>
      <c r="AV911" s="730"/>
      <c r="AW911" s="730"/>
      <c r="AX911" s="730"/>
      <c r="AY911" s="730"/>
      <c r="AZ911" s="730"/>
      <c r="BA911" s="730"/>
      <c r="BB911" s="730"/>
      <c r="BC911" s="730"/>
      <c r="BD911" s="730"/>
      <c r="BE911" s="730"/>
      <c r="BF911" s="730"/>
      <c r="BG911" s="730"/>
      <c r="BH911" s="730"/>
      <c r="BI911" s="730"/>
      <c r="BJ911" s="730"/>
      <c r="BK911" s="730"/>
      <c r="BL911" s="730"/>
      <c r="BM911" s="730"/>
      <c r="BN911" s="730"/>
      <c r="BO911" s="730"/>
      <c r="BP911" s="730"/>
      <c r="BQ911" s="730"/>
      <c r="BR911" s="730"/>
      <c r="BS911" s="730"/>
      <c r="BT911" s="730"/>
      <c r="BU911" s="730"/>
      <c r="BV911" s="730"/>
      <c r="BW911" s="730"/>
      <c r="BX911" s="730"/>
      <c r="BY911" s="730"/>
      <c r="BZ911" s="730"/>
      <c r="CA911" s="730"/>
      <c r="CB911" s="730"/>
      <c r="CC911" s="730"/>
      <c r="CD911" s="730"/>
      <c r="CE911" s="730"/>
      <c r="CF911" s="730"/>
      <c r="CG911" s="730"/>
      <c r="CH911" s="730"/>
      <c r="CI911" s="730"/>
      <c r="CJ911" s="730"/>
      <c r="CK911" s="730"/>
      <c r="CL911" s="730"/>
      <c r="CM911" s="730"/>
      <c r="CN911" s="730"/>
      <c r="CO911" s="730"/>
      <c r="CP911" s="730"/>
      <c r="CQ911" s="730"/>
      <c r="CR911" s="730"/>
      <c r="CS911" s="730"/>
      <c r="CT911" s="730"/>
      <c r="CU911" s="730"/>
      <c r="CV911" s="730"/>
      <c r="CW911" s="730"/>
      <c r="CX911" s="730"/>
      <c r="CY911" s="730"/>
      <c r="CZ911" s="730"/>
      <c r="DA911" s="730"/>
      <c r="DB911" s="730"/>
      <c r="DC911" s="730"/>
      <c r="DD911" s="730"/>
      <c r="DE911" s="730"/>
      <c r="DF911" s="730"/>
      <c r="DG911" s="730"/>
      <c r="DH911" s="730"/>
      <c r="DI911" s="730"/>
      <c r="DJ911" s="730"/>
      <c r="DK911" s="730"/>
      <c r="DL911" s="730"/>
      <c r="DM911" s="730"/>
      <c r="DN911" s="730"/>
      <c r="DO911" s="730"/>
      <c r="DP911" s="730"/>
      <c r="DQ911" s="730"/>
      <c r="DR911" s="730"/>
      <c r="DS911" s="730"/>
      <c r="DT911" s="730"/>
      <c r="DU911" s="730"/>
      <c r="DV911" s="730"/>
      <c r="DW911" s="730"/>
      <c r="DX911" s="730"/>
      <c r="DY911" s="730"/>
      <c r="DZ911" s="730"/>
      <c r="EA911" s="730"/>
      <c r="EB911" s="730"/>
      <c r="EC911" s="730"/>
      <c r="ED911" s="730"/>
      <c r="EE911" s="730"/>
      <c r="EF911" s="730"/>
      <c r="EG911" s="730"/>
      <c r="EH911" s="730"/>
      <c r="EI911" s="730"/>
      <c r="EJ911" s="730"/>
      <c r="EK911" s="730"/>
      <c r="EL911" s="730"/>
      <c r="EM911" s="730"/>
      <c r="EN911" s="730"/>
      <c r="EO911" s="730"/>
      <c r="EP911" s="730"/>
      <c r="EQ911" s="730"/>
      <c r="ER911" s="730"/>
      <c r="ES911" s="730"/>
      <c r="ET911" s="730"/>
      <c r="EU911" s="730"/>
      <c r="EV911" s="730"/>
      <c r="EW911" s="730"/>
      <c r="EX911" s="730"/>
      <c r="EY911" s="730"/>
      <c r="EZ911" s="730"/>
      <c r="FA911" s="730"/>
      <c r="FB911" s="730"/>
      <c r="FC911" s="730"/>
      <c r="FD911" s="730"/>
      <c r="FE911" s="730"/>
      <c r="FF911" s="730"/>
      <c r="FG911" s="730"/>
      <c r="FH911" s="730"/>
      <c r="FI911" s="730"/>
      <c r="FJ911" s="730"/>
      <c r="FK911" s="730"/>
      <c r="FL911" s="730"/>
      <c r="FM911" s="730"/>
      <c r="FN911" s="730"/>
      <c r="FO911" s="730"/>
      <c r="FP911" s="730"/>
      <c r="FQ911" s="730"/>
      <c r="FR911" s="730"/>
      <c r="FS911" s="730"/>
      <c r="FT911" s="730"/>
      <c r="FU911" s="730"/>
      <c r="FV911" s="730"/>
      <c r="FW911" s="730"/>
      <c r="FX911" s="730"/>
      <c r="FY911" s="730"/>
      <c r="FZ911" s="730"/>
      <c r="GA911" s="730"/>
      <c r="GB911" s="730"/>
      <c r="GC911" s="730"/>
      <c r="GD911" s="730"/>
      <c r="GE911" s="730"/>
      <c r="GF911" s="730"/>
      <c r="GG911" s="730"/>
      <c r="GH911" s="730"/>
      <c r="GI911" s="730"/>
      <c r="GJ911" s="730"/>
      <c r="GK911" s="730"/>
      <c r="GL911" s="730"/>
      <c r="GM911" s="730"/>
      <c r="GN911" s="730"/>
      <c r="GO911" s="730"/>
      <c r="GP911" s="730"/>
      <c r="GQ911" s="730"/>
      <c r="GR911" s="730"/>
      <c r="GS911" s="730"/>
      <c r="GT911" s="730"/>
      <c r="GU911" s="730"/>
      <c r="GV911" s="730"/>
      <c r="GW911" s="730"/>
      <c r="GX911" s="730"/>
      <c r="GY911" s="730"/>
      <c r="GZ911" s="730"/>
      <c r="HA911" s="730"/>
      <c r="HB911" s="730"/>
      <c r="HC911" s="730"/>
      <c r="HD911" s="730"/>
      <c r="HE911" s="730"/>
      <c r="HF911" s="730"/>
      <c r="HG911" s="730"/>
      <c r="HH911" s="730"/>
      <c r="HI911" s="730"/>
      <c r="HJ911" s="730"/>
      <c r="HK911" s="730"/>
      <c r="HL911" s="730"/>
      <c r="HM911" s="730"/>
      <c r="HN911" s="730"/>
      <c r="HO911" s="730"/>
      <c r="HP911" s="730"/>
      <c r="HQ911" s="730"/>
      <c r="HR911" s="730"/>
      <c r="HS911" s="730"/>
      <c r="HT911" s="730"/>
      <c r="HU911" s="730"/>
      <c r="HV911" s="730"/>
      <c r="HW911" s="730"/>
      <c r="HX911" s="730"/>
      <c r="HY911" s="730"/>
      <c r="HZ911" s="730"/>
      <c r="IA911" s="730"/>
      <c r="IB911" s="730"/>
      <c r="IC911" s="730"/>
      <c r="ID911" s="730"/>
      <c r="IE911" s="730"/>
      <c r="IF911" s="730"/>
      <c r="IG911" s="730"/>
      <c r="IH911" s="730"/>
      <c r="II911" s="730"/>
      <c r="IJ911" s="730"/>
      <c r="IK911" s="730"/>
      <c r="IL911" s="730"/>
      <c r="IM911" s="730"/>
      <c r="IN911" s="730"/>
      <c r="IO911" s="730"/>
      <c r="IP911" s="730"/>
      <c r="IQ911" s="730"/>
      <c r="IR911" s="730"/>
      <c r="IS911" s="730"/>
      <c r="IT911" s="730"/>
      <c r="IU911" s="730"/>
      <c r="IV911" s="730"/>
    </row>
    <row r="912" spans="1:256" s="730" customFormat="1" ht="11.4">
      <c r="A912" s="1243">
        <v>0</v>
      </c>
      <c r="B912" s="861" t="s">
        <v>326</v>
      </c>
      <c r="C912" s="861"/>
      <c r="D912" s="861" t="s">
        <v>763</v>
      </c>
      <c r="E912" s="861"/>
      <c r="F912" s="861"/>
      <c r="G912" s="1229" t="s">
        <v>764</v>
      </c>
      <c r="H912" s="1230">
        <v>690</v>
      </c>
      <c r="I912" s="861" t="s">
        <v>765</v>
      </c>
      <c r="J912" s="861" t="s">
        <v>766</v>
      </c>
      <c r="K912" s="861"/>
      <c r="L912" s="861"/>
      <c r="M912" s="861"/>
      <c r="N912" s="861"/>
      <c r="O912" s="1231">
        <v>1</v>
      </c>
      <c r="P912" s="1232">
        <v>34669</v>
      </c>
      <c r="Q912" s="1233">
        <v>3.66</v>
      </c>
      <c r="R912" s="1234">
        <f t="shared" ref="R912:R917" si="58">$A912*Q912</f>
        <v>0</v>
      </c>
      <c r="S912" s="1233">
        <f>1.1 *(0.2)</f>
        <v>0.22000000000000003</v>
      </c>
      <c r="T912" s="1252">
        <f t="shared" ref="T912:T928" si="59">$A912*S912*$T$1</f>
        <v>0</v>
      </c>
    </row>
    <row r="913" spans="1:21" s="730" customFormat="1" ht="11.4">
      <c r="A913" s="1243">
        <v>0</v>
      </c>
      <c r="B913" s="861" t="s">
        <v>326</v>
      </c>
      <c r="C913" s="861"/>
      <c r="D913" s="861" t="s">
        <v>781</v>
      </c>
      <c r="E913" s="861"/>
      <c r="F913" s="861" t="s">
        <v>1064</v>
      </c>
      <c r="G913" s="1229" t="s">
        <v>782</v>
      </c>
      <c r="H913" s="1230">
        <v>615</v>
      </c>
      <c r="I913" s="861" t="s">
        <v>561</v>
      </c>
      <c r="J913" s="861"/>
      <c r="K913" s="861" t="s">
        <v>783</v>
      </c>
      <c r="L913" s="861"/>
      <c r="M913" s="861"/>
      <c r="N913" s="861"/>
      <c r="O913" s="1231">
        <v>2</v>
      </c>
      <c r="P913" s="1232">
        <v>38988</v>
      </c>
      <c r="Q913" s="1233">
        <f>0.44*1.1</f>
        <v>0.48400000000000004</v>
      </c>
      <c r="R913" s="1234">
        <f t="shared" si="58"/>
        <v>0</v>
      </c>
      <c r="S913" s="1233">
        <f>1.1 *(0.02)</f>
        <v>2.2000000000000002E-2</v>
      </c>
      <c r="T913" s="1252">
        <f t="shared" si="59"/>
        <v>0</v>
      </c>
    </row>
    <row r="914" spans="1:21" s="730" customFormat="1" ht="11.4">
      <c r="A914" s="1243">
        <v>0</v>
      </c>
      <c r="B914" s="861" t="s">
        <v>141</v>
      </c>
      <c r="C914" s="861"/>
      <c r="D914" s="861" t="s">
        <v>1251</v>
      </c>
      <c r="E914" s="861"/>
      <c r="F914" s="861"/>
      <c r="G914" s="1229" t="s">
        <v>1252</v>
      </c>
      <c r="H914" s="1230">
        <v>705</v>
      </c>
      <c r="I914" s="861" t="s">
        <v>716</v>
      </c>
      <c r="J914" s="861" t="s">
        <v>1253</v>
      </c>
      <c r="K914" s="861"/>
      <c r="L914" s="861"/>
      <c r="M914" s="861"/>
      <c r="N914" s="861"/>
      <c r="O914" s="1231">
        <v>3</v>
      </c>
      <c r="P914" s="1232">
        <v>34700</v>
      </c>
      <c r="Q914" s="1233">
        <v>6.59</v>
      </c>
      <c r="R914" s="1234">
        <f t="shared" si="58"/>
        <v>0</v>
      </c>
      <c r="S914" s="1233">
        <f>1.1 *(0.17)</f>
        <v>0.18700000000000003</v>
      </c>
      <c r="T914" s="1252">
        <f t="shared" si="59"/>
        <v>0</v>
      </c>
    </row>
    <row r="915" spans="1:21" s="730" customFormat="1" ht="13.2">
      <c r="A915" s="1262">
        <v>0</v>
      </c>
      <c r="B915" s="861" t="s">
        <v>141</v>
      </c>
      <c r="C915" s="861"/>
      <c r="D915" s="861" t="s">
        <v>684</v>
      </c>
      <c r="E915" s="861"/>
      <c r="F915" s="861" t="s">
        <v>1254</v>
      </c>
      <c r="G915" s="1229" t="s">
        <v>685</v>
      </c>
      <c r="H915" s="1230">
        <v>900</v>
      </c>
      <c r="I915" s="861" t="s">
        <v>686</v>
      </c>
      <c r="J915" s="861"/>
      <c r="K915" s="861"/>
      <c r="L915" s="861"/>
      <c r="M915" s="861"/>
      <c r="N915" s="861"/>
      <c r="O915" s="1231">
        <v>3</v>
      </c>
      <c r="P915" s="1232"/>
      <c r="Q915" s="1233"/>
      <c r="R915" s="1234">
        <f t="shared" si="58"/>
        <v>0</v>
      </c>
      <c r="S915" s="1233">
        <f>1.1 *(4)</f>
        <v>4.4000000000000004</v>
      </c>
      <c r="T915" s="1252">
        <f t="shared" si="59"/>
        <v>0</v>
      </c>
    </row>
    <row r="916" spans="1:21" s="730" customFormat="1" ht="13.2">
      <c r="A916" s="1263">
        <v>0</v>
      </c>
      <c r="B916" s="1253" t="s">
        <v>141</v>
      </c>
      <c r="C916" s="1253"/>
      <c r="D916" s="1253" t="s">
        <v>676</v>
      </c>
      <c r="E916" s="1253"/>
      <c r="F916" s="1253"/>
      <c r="G916" s="1254" t="s">
        <v>677</v>
      </c>
      <c r="H916" s="1255">
        <v>501</v>
      </c>
      <c r="I916" s="1253" t="s">
        <v>674</v>
      </c>
      <c r="J916" s="1253"/>
      <c r="K916" s="1253" t="s">
        <v>678</v>
      </c>
      <c r="L916" s="1253"/>
      <c r="M916" s="1253"/>
      <c r="N916" s="1253"/>
      <c r="O916" s="1257">
        <v>1</v>
      </c>
      <c r="P916" s="1258"/>
      <c r="Q916" s="1256">
        <v>50</v>
      </c>
      <c r="R916" s="1259">
        <f t="shared" si="58"/>
        <v>0</v>
      </c>
      <c r="S916" s="1256"/>
      <c r="T916" s="1260">
        <f t="shared" si="59"/>
        <v>0</v>
      </c>
    </row>
    <row r="917" spans="1:21" s="730" customFormat="1" ht="13.2">
      <c r="A917"/>
      <c r="D917" s="864" t="s">
        <v>1241</v>
      </c>
      <c r="E917" s="738" t="s">
        <v>1350</v>
      </c>
      <c r="G917" s="731"/>
      <c r="H917" s="732"/>
      <c r="O917" s="733"/>
      <c r="P917" s="734"/>
      <c r="Q917" s="735"/>
      <c r="R917" s="736">
        <f t="shared" si="58"/>
        <v>0</v>
      </c>
      <c r="S917" s="735"/>
      <c r="T917" s="737">
        <f t="shared" si="59"/>
        <v>0</v>
      </c>
    </row>
    <row r="918" spans="1:21" s="713" customFormat="1" ht="13.2">
      <c r="A918"/>
      <c r="B918" s="807"/>
      <c r="C918" s="807" t="s">
        <v>692</v>
      </c>
      <c r="D918" s="807" t="str">
        <f ca="1">CELL("Address",Elec_Rates!D$288)</f>
        <v>[E25_0477_IH_Retro_Elec_Est_Rev_A_AW.xlsx]Elec_Rates!$D$288</v>
      </c>
      <c r="E918" s="808"/>
      <c r="F918" s="808"/>
      <c r="G918" s="809" t="s">
        <v>693</v>
      </c>
      <c r="H918" s="809"/>
      <c r="I918" s="809"/>
      <c r="J918" s="809"/>
      <c r="K918" s="810"/>
      <c r="L918" s="808"/>
      <c r="M918" s="808"/>
      <c r="N918" s="808"/>
      <c r="O918" s="811"/>
      <c r="P918" s="808"/>
      <c r="Q918" s="812"/>
      <c r="R918" s="813"/>
      <c r="S918" s="812"/>
      <c r="T918" s="814"/>
      <c r="U918" s="815"/>
    </row>
    <row r="919" spans="1:21" s="713" customFormat="1" ht="11.4">
      <c r="A919" s="816">
        <v>50</v>
      </c>
      <c r="B919" s="817">
        <v>1</v>
      </c>
      <c r="C919" s="817">
        <f>$A919*$B919</f>
        <v>50</v>
      </c>
      <c r="D919" s="818" t="str">
        <f>Elec_Rates!$D$288</f>
        <v>016# 250mm galvanised steel cable tray</v>
      </c>
      <c r="E919" s="818"/>
      <c r="F919" s="818" t="s">
        <v>694</v>
      </c>
      <c r="G919" s="819" t="s">
        <v>696</v>
      </c>
      <c r="H919" s="819"/>
      <c r="I919" s="819"/>
      <c r="J919" s="819"/>
      <c r="K919" s="820"/>
      <c r="L919" s="815"/>
      <c r="M919" s="815"/>
      <c r="N919" s="815"/>
      <c r="O919" s="821"/>
      <c r="P919" s="818"/>
      <c r="Q919" s="822">
        <f ca="1">$B919*Elec_Rates!$R$288</f>
        <v>8.26</v>
      </c>
      <c r="R919" s="813">
        <f ca="1">$A919*Q919</f>
        <v>413</v>
      </c>
      <c r="S919" s="822">
        <f ca="1">$B919*Elec_Rates!$T$288</f>
        <v>0.35</v>
      </c>
      <c r="T919" s="814">
        <f ca="1">$A919*S919</f>
        <v>17.5</v>
      </c>
      <c r="U919" s="583"/>
    </row>
    <row r="920" spans="1:21" s="713" customFormat="1" ht="13.2">
      <c r="A920"/>
      <c r="B920" s="807"/>
      <c r="C920" s="807" t="s">
        <v>692</v>
      </c>
      <c r="D920" s="807" t="str">
        <f ca="1">CELL("Address",Elec_Rates!D$321)</f>
        <v>[E25_0477_IH_Retro_Elec_Est_Rev_A_AW.xlsx]Elec_Rates!$D$321</v>
      </c>
      <c r="E920" s="808"/>
      <c r="F920" s="808"/>
      <c r="G920" s="809" t="s">
        <v>693</v>
      </c>
      <c r="H920" s="809"/>
      <c r="I920" s="809"/>
      <c r="J920" s="809"/>
      <c r="K920" s="810"/>
      <c r="L920" s="808"/>
      <c r="M920" s="808"/>
      <c r="N920" s="808"/>
      <c r="O920" s="811"/>
      <c r="P920" s="808"/>
      <c r="Q920" s="812"/>
      <c r="R920" s="813"/>
      <c r="S920" s="812"/>
      <c r="T920" s="814"/>
      <c r="U920" s="815"/>
    </row>
    <row r="921" spans="1:21" s="713" customFormat="1" ht="11.4">
      <c r="A921" s="816">
        <v>50</v>
      </c>
      <c r="B921" s="817">
        <v>1</v>
      </c>
      <c r="C921" s="817">
        <f>$A921*$B921</f>
        <v>50</v>
      </c>
      <c r="D921" s="818" t="str">
        <f>Elec_Rates!$D$321</f>
        <v>026# Bracket for 200-300mm cable tray</v>
      </c>
      <c r="E921" s="818"/>
      <c r="F921" s="818" t="s">
        <v>694</v>
      </c>
      <c r="G921" s="819" t="s">
        <v>695</v>
      </c>
      <c r="H921" s="819"/>
      <c r="I921" s="819"/>
      <c r="J921" s="819"/>
      <c r="K921" s="820"/>
      <c r="L921" s="815"/>
      <c r="M921" s="815"/>
      <c r="N921" s="815"/>
      <c r="O921" s="821"/>
      <c r="P921" s="818"/>
      <c r="Q921" s="822">
        <f ca="1">$B921*Elec_Rates!$R$321</f>
        <v>3.72</v>
      </c>
      <c r="R921" s="813">
        <f ca="1">$A921*Q921</f>
        <v>186</v>
      </c>
      <c r="S921" s="822">
        <f ca="1">$B921*Elec_Rates!$T$321</f>
        <v>0.25</v>
      </c>
      <c r="T921" s="814">
        <f ca="1">$A921*S921</f>
        <v>12.5</v>
      </c>
      <c r="U921" s="583"/>
    </row>
    <row r="922" spans="1:21" s="713" customFormat="1" ht="11.4">
      <c r="A922" s="816"/>
      <c r="B922" s="817"/>
      <c r="C922" s="817"/>
      <c r="D922" s="864" t="s">
        <v>1380</v>
      </c>
      <c r="E922" s="818"/>
      <c r="F922" s="818"/>
      <c r="G922" s="819"/>
      <c r="H922" s="819"/>
      <c r="I922" s="819"/>
      <c r="J922" s="819"/>
      <c r="K922" s="820"/>
      <c r="L922" s="815"/>
      <c r="M922" s="815"/>
      <c r="N922" s="815"/>
      <c r="O922" s="821"/>
      <c r="P922" s="818"/>
      <c r="Q922" s="822"/>
      <c r="R922" s="813"/>
      <c r="S922" s="822"/>
      <c r="T922" s="814"/>
      <c r="U922" s="583"/>
    </row>
    <row r="923" spans="1:21" s="730" customFormat="1" ht="13.2">
      <c r="A923" s="863">
        <v>0</v>
      </c>
      <c r="B923" s="861" t="s">
        <v>141</v>
      </c>
      <c r="C923" s="861"/>
      <c r="D923" s="861" t="s">
        <v>1242</v>
      </c>
      <c r="E923" s="861" t="s">
        <v>1381</v>
      </c>
      <c r="F923" s="861" t="s">
        <v>1389</v>
      </c>
      <c r="G923" s="1229" t="s">
        <v>1243</v>
      </c>
      <c r="H923" s="1230">
        <v>512</v>
      </c>
      <c r="I923" s="861" t="s">
        <v>674</v>
      </c>
      <c r="J923" s="861"/>
      <c r="K923" s="861"/>
      <c r="L923" s="861"/>
      <c r="M923" s="861"/>
      <c r="N923" s="861"/>
      <c r="O923" s="1231">
        <v>3</v>
      </c>
      <c r="P923" s="1232"/>
      <c r="Q923" s="1233"/>
      <c r="R923" s="1234">
        <f t="shared" ref="R923:R928" si="60">$A923*Q923</f>
        <v>0</v>
      </c>
      <c r="S923" s="1233">
        <f>1.1 *(0.75)</f>
        <v>0.82500000000000007</v>
      </c>
      <c r="T923" s="1235">
        <f>$A923*S923*$T$1</f>
        <v>0</v>
      </c>
    </row>
    <row r="924" spans="1:21" s="730" customFormat="1" ht="13.2">
      <c r="A924" s="863">
        <v>0</v>
      </c>
      <c r="B924" s="861" t="s">
        <v>141</v>
      </c>
      <c r="C924" s="861"/>
      <c r="D924" s="861" t="s">
        <v>1242</v>
      </c>
      <c r="E924" s="861" t="s">
        <v>1382</v>
      </c>
      <c r="F924" s="861" t="s">
        <v>1405</v>
      </c>
      <c r="G924" s="1229" t="s">
        <v>1243</v>
      </c>
      <c r="H924" s="1230">
        <v>512</v>
      </c>
      <c r="I924" s="861" t="s">
        <v>674</v>
      </c>
      <c r="J924" s="861"/>
      <c r="K924" s="861"/>
      <c r="L924" s="861"/>
      <c r="M924" s="861"/>
      <c r="N924" s="861"/>
      <c r="O924" s="1231">
        <v>3</v>
      </c>
      <c r="P924" s="1232"/>
      <c r="Q924" s="1233"/>
      <c r="R924" s="1234">
        <f t="shared" si="60"/>
        <v>0</v>
      </c>
      <c r="S924" s="1233">
        <f t="shared" ref="S924:S927" si="61">1.1 *(0.75)</f>
        <v>0.82500000000000007</v>
      </c>
      <c r="T924" s="1235">
        <f>$A924*S924*$T$1</f>
        <v>0</v>
      </c>
    </row>
    <row r="925" spans="1:21" s="730" customFormat="1" ht="13.2">
      <c r="A925" s="863">
        <v>0</v>
      </c>
      <c r="B925" s="861" t="s">
        <v>141</v>
      </c>
      <c r="C925" s="861">
        <v>3</v>
      </c>
      <c r="D925" s="861" t="s">
        <v>1242</v>
      </c>
      <c r="E925" s="861" t="s">
        <v>1383</v>
      </c>
      <c r="F925" s="861" t="s">
        <v>1389</v>
      </c>
      <c r="G925" s="1229" t="s">
        <v>1243</v>
      </c>
      <c r="H925" s="1230">
        <v>512</v>
      </c>
      <c r="I925" s="861" t="s">
        <v>674</v>
      </c>
      <c r="J925" s="861"/>
      <c r="K925" s="861"/>
      <c r="L925" s="861"/>
      <c r="M925" s="861"/>
      <c r="N925" s="861"/>
      <c r="O925" s="1231">
        <v>3</v>
      </c>
      <c r="P925" s="1232"/>
      <c r="Q925" s="1233"/>
      <c r="R925" s="1234">
        <f t="shared" si="60"/>
        <v>0</v>
      </c>
      <c r="S925" s="1233">
        <f t="shared" si="61"/>
        <v>0.82500000000000007</v>
      </c>
      <c r="T925" s="1235">
        <f>$A925*S925*$T$1</f>
        <v>0</v>
      </c>
    </row>
    <row r="926" spans="1:21" s="730" customFormat="1" ht="13.2">
      <c r="A926" s="863">
        <v>0</v>
      </c>
      <c r="B926" s="861" t="s">
        <v>141</v>
      </c>
      <c r="C926" s="861">
        <v>16</v>
      </c>
      <c r="D926" s="861" t="s">
        <v>1242</v>
      </c>
      <c r="E926" s="861" t="s">
        <v>1384</v>
      </c>
      <c r="F926" s="861" t="s">
        <v>1388</v>
      </c>
      <c r="G926" s="1229" t="s">
        <v>1243</v>
      </c>
      <c r="H926" s="1230">
        <v>512</v>
      </c>
      <c r="I926" s="861" t="s">
        <v>674</v>
      </c>
      <c r="J926" s="861"/>
      <c r="K926" s="861"/>
      <c r="L926" s="861"/>
      <c r="M926" s="861"/>
      <c r="N926" s="861"/>
      <c r="O926" s="1231">
        <v>3</v>
      </c>
      <c r="P926" s="1232"/>
      <c r="Q926" s="1233"/>
      <c r="R926" s="1234">
        <f t="shared" si="60"/>
        <v>0</v>
      </c>
      <c r="S926" s="1233">
        <f t="shared" si="61"/>
        <v>0.82500000000000007</v>
      </c>
      <c r="T926" s="1235">
        <f>$A926*S926*$T$1</f>
        <v>0</v>
      </c>
    </row>
    <row r="927" spans="1:21" s="730" customFormat="1" ht="13.2">
      <c r="A927" s="863">
        <v>0</v>
      </c>
      <c r="B927" s="861" t="s">
        <v>141</v>
      </c>
      <c r="C927" s="861">
        <v>7</v>
      </c>
      <c r="D927" s="861" t="s">
        <v>1242</v>
      </c>
      <c r="E927" s="861" t="s">
        <v>1264</v>
      </c>
      <c r="F927" s="861" t="s">
        <v>1389</v>
      </c>
      <c r="G927" s="1229" t="s">
        <v>1243</v>
      </c>
      <c r="H927" s="1230">
        <v>512</v>
      </c>
      <c r="I927" s="861" t="s">
        <v>674</v>
      </c>
      <c r="J927" s="861"/>
      <c r="K927" s="861"/>
      <c r="L927" s="861"/>
      <c r="M927" s="861"/>
      <c r="N927" s="861"/>
      <c r="O927" s="1231">
        <v>3</v>
      </c>
      <c r="P927" s="1232"/>
      <c r="Q927" s="1233"/>
      <c r="R927" s="1234">
        <f t="shared" si="60"/>
        <v>0</v>
      </c>
      <c r="S927" s="1233">
        <f t="shared" si="61"/>
        <v>0.82500000000000007</v>
      </c>
      <c r="T927" s="1235">
        <f>$A927*S927*$T$1</f>
        <v>0</v>
      </c>
    </row>
    <row r="928" spans="1:21" s="602" customFormat="1" ht="14.4" customHeight="1">
      <c r="A928" s="70"/>
      <c r="B928" s="610"/>
      <c r="C928" s="610"/>
      <c r="D928" s="610"/>
      <c r="E928" s="610"/>
      <c r="F928" s="610"/>
      <c r="G928" s="610"/>
      <c r="H928" s="773"/>
      <c r="I928" s="610"/>
      <c r="J928" s="64"/>
      <c r="K928" s="776"/>
      <c r="L928" s="777"/>
      <c r="M928" s="610"/>
      <c r="N928" s="610"/>
      <c r="O928" s="64"/>
      <c r="P928" s="610"/>
      <c r="Q928" s="610"/>
      <c r="R928" s="725">
        <f t="shared" si="60"/>
        <v>0</v>
      </c>
      <c r="S928" s="610"/>
      <c r="T928" s="681">
        <f t="shared" si="59"/>
        <v>0</v>
      </c>
    </row>
    <row r="929" spans="1:41" s="602" customFormat="1" ht="12">
      <c r="A929" s="792" t="s">
        <v>145</v>
      </c>
      <c r="B929" s="793">
        <f>(R928+T928)</f>
        <v>0</v>
      </c>
      <c r="C929" s="762"/>
      <c r="G929" s="780"/>
      <c r="H929" s="780"/>
      <c r="I929" s="780"/>
      <c r="J929" s="780"/>
      <c r="K929" s="781" t="s">
        <v>3</v>
      </c>
      <c r="L929" s="782" t="s">
        <v>688</v>
      </c>
      <c r="M929" s="780"/>
      <c r="N929" s="780"/>
      <c r="O929" s="780"/>
      <c r="P929" s="780"/>
      <c r="Q929" s="783"/>
      <c r="R929" s="784">
        <f ca="1">SUM(R891:R928)</f>
        <v>31410.36</v>
      </c>
      <c r="S929" s="785"/>
      <c r="T929" s="784">
        <f ca="1">SUM(T891:T928)</f>
        <v>2246.6999999999998</v>
      </c>
      <c r="AG929" s="786">
        <f ca="1">ROUND($R929*$S$2,2)</f>
        <v>42403.99</v>
      </c>
    </row>
    <row r="930" spans="1:41" s="602" customFormat="1" ht="12" customHeight="1">
      <c r="A930" s="769"/>
      <c r="B930" s="874"/>
      <c r="C930" s="875"/>
      <c r="D930" s="876" t="str">
        <f>$F$3</f>
        <v>ECA (Technician)</v>
      </c>
      <c r="E930" s="876">
        <f>ROUND(($R933*$S$3 + ($T933*$T$3)), 2)</f>
        <v>26703.86</v>
      </c>
      <c r="F930" s="877">
        <f>$E930*$C$12</f>
        <v>26004.011498734792</v>
      </c>
      <c r="G930" s="601"/>
      <c r="H930" s="601"/>
      <c r="I930" s="601"/>
      <c r="J930" s="601"/>
      <c r="K930" s="774" t="s">
        <v>5</v>
      </c>
      <c r="L930" s="775" t="s">
        <v>688</v>
      </c>
      <c r="M930" s="601"/>
      <c r="N930" s="601"/>
      <c r="O930" s="601"/>
      <c r="P930" s="601"/>
      <c r="Q930" s="601"/>
      <c r="R930" s="791"/>
      <c r="S930" s="601"/>
      <c r="T930" s="791"/>
    </row>
    <row r="931" spans="1:41" s="730" customFormat="1" ht="13.2">
      <c r="A931">
        <v>1</v>
      </c>
      <c r="B931" s="730" t="s">
        <v>141</v>
      </c>
      <c r="D931" s="730" t="s">
        <v>1242</v>
      </c>
      <c r="F931" s="1290" t="s">
        <v>1377</v>
      </c>
      <c r="G931" s="731" t="s">
        <v>1243</v>
      </c>
      <c r="H931" s="732">
        <v>512</v>
      </c>
      <c r="I931" s="730" t="s">
        <v>674</v>
      </c>
      <c r="O931" s="733">
        <v>3</v>
      </c>
      <c r="P931" s="734"/>
      <c r="Q931" s="735">
        <v>15474.33</v>
      </c>
      <c r="R931" s="736">
        <f>$A931*Q931</f>
        <v>15474.33</v>
      </c>
      <c r="S931" s="610">
        <v>127.67</v>
      </c>
      <c r="T931" s="737">
        <f>$A931*S931*$T$1</f>
        <v>127.67</v>
      </c>
    </row>
    <row r="932" spans="1:41" s="602" customFormat="1" ht="15.6" customHeight="1">
      <c r="A932" s="70"/>
      <c r="B932" s="610"/>
      <c r="C932" s="610"/>
      <c r="D932" s="3"/>
      <c r="E932" s="610"/>
      <c r="F932" s="610"/>
      <c r="G932" s="610"/>
      <c r="H932" s="610"/>
      <c r="I932" s="610"/>
      <c r="J932" s="610"/>
      <c r="K932" s="610"/>
      <c r="L932" s="777"/>
      <c r="M932" s="610"/>
      <c r="N932" s="610"/>
      <c r="O932" s="610"/>
      <c r="P932" s="610"/>
      <c r="Q932" s="610"/>
      <c r="R932" s="725">
        <f>$A932*Q932</f>
        <v>0</v>
      </c>
      <c r="S932" s="610"/>
      <c r="T932" s="681">
        <f>$A932*S932*$T$1</f>
        <v>0</v>
      </c>
    </row>
    <row r="933" spans="1:41" s="602" customFormat="1" ht="12">
      <c r="A933" s="792" t="s">
        <v>145</v>
      </c>
      <c r="B933" s="793">
        <f>(R932+T932)</f>
        <v>0</v>
      </c>
      <c r="C933" s="762"/>
      <c r="G933" s="780"/>
      <c r="H933" s="780"/>
      <c r="I933" s="780"/>
      <c r="J933" s="780"/>
      <c r="K933" s="795" t="s">
        <v>5</v>
      </c>
      <c r="L933" s="782" t="s">
        <v>688</v>
      </c>
      <c r="M933" s="780"/>
      <c r="N933" s="780"/>
      <c r="O933" s="780"/>
      <c r="P933" s="780"/>
      <c r="Q933" s="783"/>
      <c r="R933" s="784">
        <f>SUM(R930:R932)</f>
        <v>15474.33</v>
      </c>
      <c r="S933" s="785"/>
      <c r="T933" s="784">
        <f>SUM(T930:T932)</f>
        <v>127.67</v>
      </c>
      <c r="AG933" s="797">
        <f>ROUND($R933*$S$3,2)</f>
        <v>20890.349999999999</v>
      </c>
    </row>
    <row r="934" spans="1:41" s="602" customFormat="1" ht="12" customHeight="1">
      <c r="A934" s="787"/>
      <c r="B934" s="878"/>
      <c r="C934" s="879"/>
      <c r="D934" s="880" t="str">
        <f>$F$4</f>
        <v>ECA (Engineer)</v>
      </c>
      <c r="E934" s="880">
        <f>ROUND(($R937*$S$4 + ($T937*$T$4)), 2)</f>
        <v>4141.13</v>
      </c>
      <c r="F934" s="881">
        <f ca="1">$F888-SUMIF($L890:$P931,"SUBI",$F890:$F931)</f>
        <v>4032.5992399047245</v>
      </c>
      <c r="G934" s="601"/>
      <c r="H934" s="601"/>
      <c r="I934" s="601"/>
      <c r="J934" s="601"/>
      <c r="K934" s="882" t="s">
        <v>8</v>
      </c>
      <c r="L934" s="775" t="s">
        <v>688</v>
      </c>
      <c r="M934" s="601"/>
      <c r="N934" s="601"/>
      <c r="O934" s="601"/>
      <c r="P934" s="601"/>
      <c r="Q934" s="601"/>
      <c r="R934" s="791"/>
      <c r="S934" s="601"/>
      <c r="T934" s="791"/>
    </row>
    <row r="935" spans="1:41" s="730" customFormat="1" ht="13.2">
      <c r="A935">
        <v>1</v>
      </c>
      <c r="B935" s="730" t="s">
        <v>141</v>
      </c>
      <c r="D935" s="730" t="s">
        <v>1242</v>
      </c>
      <c r="F935" s="1290" t="s">
        <v>1377</v>
      </c>
      <c r="G935" s="731" t="s">
        <v>1243</v>
      </c>
      <c r="H935" s="732">
        <v>512</v>
      </c>
      <c r="I935" s="730" t="s">
        <v>674</v>
      </c>
      <c r="O935" s="733">
        <v>3</v>
      </c>
      <c r="P935" s="734"/>
      <c r="Q935" s="735"/>
      <c r="R935" s="736">
        <f>$A935*Q935</f>
        <v>0</v>
      </c>
      <c r="S935" s="610">
        <v>102.25</v>
      </c>
      <c r="T935" s="737">
        <f>$A935*S935*$T$1</f>
        <v>102.25</v>
      </c>
    </row>
    <row r="936" spans="1:41" s="602" customFormat="1" ht="12">
      <c r="A936" s="63"/>
      <c r="B936" s="663"/>
      <c r="C936" s="663"/>
      <c r="D936" s="883"/>
      <c r="E936" s="800"/>
      <c r="F936" s="601"/>
      <c r="G936" s="601"/>
      <c r="H936" s="601"/>
      <c r="I936" s="601"/>
      <c r="J936" s="601"/>
      <c r="K936" s="601"/>
      <c r="L936" s="884"/>
      <c r="M936" s="601"/>
      <c r="N936" s="601"/>
      <c r="O936" s="601"/>
      <c r="P936" s="601"/>
      <c r="Q936" s="601"/>
      <c r="R936" s="666">
        <f>$A936*Q936</f>
        <v>0</v>
      </c>
      <c r="S936" s="601"/>
      <c r="T936" s="681">
        <f>$A936*S936*$T$1</f>
        <v>0</v>
      </c>
    </row>
    <row r="937" spans="1:41" s="602" customFormat="1" ht="12.75" customHeight="1">
      <c r="A937" s="792" t="s">
        <v>145</v>
      </c>
      <c r="B937" s="793">
        <f>(R936+T936)</f>
        <v>0</v>
      </c>
      <c r="C937" s="794"/>
      <c r="D937" s="794"/>
      <c r="E937" s="794"/>
      <c r="F937" s="794"/>
      <c r="G937" s="783"/>
      <c r="H937" s="783"/>
      <c r="I937" s="783"/>
      <c r="J937" s="783"/>
      <c r="K937" s="795" t="s">
        <v>8</v>
      </c>
      <c r="L937" s="796" t="s">
        <v>688</v>
      </c>
      <c r="M937" s="783"/>
      <c r="N937" s="783"/>
      <c r="O937" s="783"/>
      <c r="P937" s="783"/>
      <c r="Q937" s="783"/>
      <c r="R937" s="784">
        <f>SUM(R934:R936)</f>
        <v>0</v>
      </c>
      <c r="S937" s="785"/>
      <c r="T937" s="784">
        <f>SUM(T934:T936)</f>
        <v>102.25</v>
      </c>
      <c r="AG937" s="885">
        <f>ROUND($R937*$S$4,2)</f>
        <v>0</v>
      </c>
    </row>
    <row r="938" spans="1:41" s="602" customFormat="1" ht="12.75" customHeight="1">
      <c r="A938" s="798"/>
      <c r="B938" s="799"/>
      <c r="E938" s="663"/>
      <c r="F938" s="800"/>
      <c r="G938" s="663"/>
      <c r="H938" s="663"/>
      <c r="I938" s="601"/>
      <c r="J938" s="663"/>
      <c r="K938" s="663"/>
      <c r="L938" s="801"/>
      <c r="M938" s="802"/>
      <c r="N938" s="802"/>
      <c r="O938" s="802"/>
      <c r="P938" s="802"/>
      <c r="Q938" s="665"/>
      <c r="R938" s="791"/>
      <c r="S938" s="663"/>
      <c r="T938" s="791"/>
    </row>
    <row r="939" spans="1:41" s="602" customFormat="1" ht="13.5" customHeight="1" thickBot="1">
      <c r="A939" s="803"/>
      <c r="B939" s="804"/>
      <c r="C939" s="611"/>
      <c r="D939" s="611"/>
      <c r="E939" s="684"/>
      <c r="F939" s="685"/>
      <c r="G939" s="684" t="s">
        <v>146</v>
      </c>
      <c r="H939" s="684"/>
      <c r="I939" s="686"/>
      <c r="J939" s="684"/>
      <c r="K939" s="684"/>
      <c r="L939" s="729" t="s">
        <v>143</v>
      </c>
      <c r="M939" s="687"/>
      <c r="N939" s="687"/>
      <c r="O939" s="687"/>
      <c r="P939" s="687"/>
      <c r="Q939" s="688"/>
      <c r="R939" s="805">
        <f ca="1">SUMIF($L889:$L938,"SUBI",R889:R938)</f>
        <v>46884.69</v>
      </c>
      <c r="S939" s="886"/>
      <c r="T939" s="805">
        <f ca="1">SUMIF($L889:$L938,"SUBI",T889:T938)</f>
        <v>2476.62</v>
      </c>
      <c r="U939" s="611"/>
      <c r="V939" s="611"/>
      <c r="W939" s="611"/>
      <c r="X939" s="611"/>
      <c r="Y939" s="611"/>
      <c r="Z939" s="611"/>
      <c r="AA939" s="611"/>
      <c r="AB939" s="611"/>
      <c r="AC939" s="611"/>
      <c r="AD939" s="611"/>
      <c r="AE939" s="611"/>
      <c r="AF939" s="611"/>
      <c r="AG939" s="611"/>
      <c r="AH939" s="611"/>
      <c r="AI939" s="611"/>
      <c r="AJ939" s="611"/>
      <c r="AK939" s="611"/>
      <c r="AL939" s="611"/>
      <c r="AM939" s="611"/>
      <c r="AN939" s="611"/>
      <c r="AO939" s="611"/>
    </row>
    <row r="940" spans="1:41" s="602" customFormat="1" ht="12" thickTop="1">
      <c r="A940" s="51" t="s">
        <v>154</v>
      </c>
      <c r="D940" s="13"/>
      <c r="E940" s="42"/>
      <c r="O940" s="698"/>
    </row>
    <row r="941" spans="1:41" s="602" customFormat="1" ht="13.2">
      <c r="B941" s="3"/>
      <c r="O941" s="698"/>
    </row>
    <row r="942" spans="1:41" s="602" customFormat="1" ht="12">
      <c r="B942" s="699">
        <f ca="1">$F942/$C$2-($R942*$S$2+$T942*$T$2)</f>
        <v>1881.3049511938007</v>
      </c>
      <c r="D942" s="700" t="s">
        <v>412</v>
      </c>
      <c r="E942" s="701"/>
      <c r="F942" s="702">
        <f ca="1">SUMIF($L758:$L940,"ITEM",F758:F940)</f>
        <v>172615.99000000002</v>
      </c>
      <c r="G942" s="663"/>
      <c r="H942" s="663"/>
      <c r="I942" s="601"/>
      <c r="J942" s="663"/>
      <c r="K942" s="663"/>
      <c r="L942" s="678" t="s">
        <v>166</v>
      </c>
      <c r="M942" s="678"/>
      <c r="N942" s="678"/>
      <c r="O942" s="678"/>
      <c r="P942" s="678"/>
      <c r="R942" s="702">
        <f ca="1">SUMIF($L758:$L940,"ITEM",R758:R940)</f>
        <v>56179.68</v>
      </c>
      <c r="S942" s="71"/>
      <c r="T942" s="702">
        <f ca="1">SUMIF($L758:$L940,"ITEM",T758:T940)</f>
        <v>2685.0569999999998</v>
      </c>
    </row>
    <row r="943" spans="1:41" s="602" customFormat="1" ht="13.2">
      <c r="A943" s="63"/>
      <c r="B943" s="55" t="s">
        <v>413</v>
      </c>
      <c r="C943" s="63"/>
      <c r="D943" s="3"/>
      <c r="F943" s="703" t="s">
        <v>168</v>
      </c>
      <c r="G943" s="663"/>
      <c r="H943" s="663"/>
      <c r="I943" s="601"/>
      <c r="J943" s="663"/>
      <c r="K943" s="663"/>
      <c r="L943" s="663"/>
      <c r="M943" s="663"/>
      <c r="N943" s="663"/>
      <c r="O943" s="663"/>
      <c r="P943" s="663"/>
      <c r="Q943" s="665"/>
      <c r="R943" s="703" t="s">
        <v>169</v>
      </c>
      <c r="S943" s="38"/>
      <c r="T943" s="703" t="s">
        <v>170</v>
      </c>
    </row>
    <row r="944" spans="1:41" s="602" customFormat="1" ht="13.2">
      <c r="A944" s="663"/>
      <c r="B944" s="3"/>
      <c r="C944" s="663"/>
      <c r="D944" s="3"/>
      <c r="E944" s="3"/>
      <c r="G944" s="3"/>
      <c r="H944" s="3"/>
      <c r="I944" s="3"/>
      <c r="J944" s="3"/>
      <c r="K944" s="3"/>
      <c r="L944" s="3"/>
      <c r="M944" s="3"/>
      <c r="N944" s="3"/>
      <c r="O944" s="158"/>
      <c r="P944" s="3"/>
      <c r="Q944" s="3"/>
      <c r="R944" s="3"/>
      <c r="S944" s="3"/>
      <c r="T944" s="3"/>
    </row>
    <row r="945" spans="1:37" s="602" customFormat="1" ht="12" thickBot="1">
      <c r="A945" s="611"/>
      <c r="B945" s="684"/>
      <c r="C945" s="684"/>
      <c r="D945" s="611"/>
      <c r="E945" s="39"/>
      <c r="F945" s="704"/>
      <c r="G945" s="684"/>
      <c r="H945" s="684"/>
      <c r="I945" s="686"/>
      <c r="J945" s="684"/>
      <c r="K945" s="684"/>
      <c r="L945" s="687"/>
      <c r="M945" s="687"/>
      <c r="N945" s="687"/>
      <c r="O945" s="687"/>
      <c r="P945" s="687"/>
      <c r="Q945" s="688"/>
      <c r="R945" s="704"/>
      <c r="S945" s="705"/>
      <c r="T945" s="704"/>
      <c r="U945" s="611"/>
      <c r="V945" s="611"/>
      <c r="W945" s="611"/>
      <c r="X945" s="611"/>
      <c r="Y945" s="611"/>
      <c r="Z945" s="611"/>
      <c r="AA945" s="611"/>
      <c r="AB945" s="611"/>
      <c r="AC945" s="611"/>
      <c r="AD945" s="611"/>
      <c r="AE945" s="611"/>
      <c r="AF945" s="611"/>
      <c r="AG945" s="611"/>
      <c r="AH945" s="611"/>
      <c r="AI945" s="611"/>
      <c r="AJ945" s="611"/>
      <c r="AK945" s="611"/>
    </row>
    <row r="946" spans="1:37" s="602" customFormat="1" thickTop="1">
      <c r="A946" s="51" t="s">
        <v>154</v>
      </c>
      <c r="B946" s="3"/>
      <c r="C946" s="63"/>
      <c r="D946" s="63"/>
      <c r="E946" s="63"/>
      <c r="F946" s="63"/>
      <c r="G946" s="63"/>
      <c r="H946" s="63"/>
      <c r="I946" s="63"/>
      <c r="J946" s="63"/>
      <c r="K946" s="63"/>
      <c r="L946" s="63"/>
      <c r="M946" s="63"/>
      <c r="N946" s="63"/>
      <c r="O946" s="64"/>
      <c r="P946" s="63"/>
      <c r="Q946" s="63"/>
      <c r="R946" s="63"/>
      <c r="S946" s="63"/>
      <c r="T946" s="63"/>
    </row>
    <row r="947" spans="1:37" s="602" customFormat="1" ht="13.2">
      <c r="A947" s="63"/>
      <c r="B947" s="3"/>
      <c r="C947" s="3"/>
      <c r="E947" s="3"/>
      <c r="F947" s="3"/>
      <c r="G947" s="3"/>
      <c r="H947" s="3"/>
      <c r="I947" s="3"/>
      <c r="J947" s="3"/>
      <c r="K947" s="3"/>
      <c r="L947" s="3"/>
      <c r="M947" s="3"/>
      <c r="N947" s="3"/>
      <c r="O947" s="158"/>
      <c r="P947" s="3"/>
      <c r="Q947" s="3"/>
      <c r="R947" s="3"/>
      <c r="S947" s="3"/>
      <c r="T947" s="3"/>
    </row>
    <row r="948" spans="1:37" s="602" customFormat="1" ht="12">
      <c r="A948" s="63"/>
      <c r="B948" s="699">
        <f ca="1">$F948/$C$2-($R948*$S$2+$T948*$T$2)</f>
        <v>1881.3049511938007</v>
      </c>
      <c r="C948" s="63"/>
      <c r="D948" s="706" t="s">
        <v>419</v>
      </c>
      <c r="E948" s="701"/>
      <c r="F948" s="707">
        <f ca="1">SUMIF($L764:$L946,"PAGE",F764:F946)</f>
        <v>172615.99000000002</v>
      </c>
      <c r="G948" s="663"/>
      <c r="H948" s="663"/>
      <c r="I948" s="601"/>
      <c r="J948" s="663"/>
      <c r="K948" s="663"/>
      <c r="L948" s="172" t="s">
        <v>420</v>
      </c>
      <c r="M948" s="172"/>
      <c r="N948" s="172"/>
      <c r="O948" s="173"/>
      <c r="P948" s="172"/>
      <c r="Q948" s="63"/>
      <c r="R948" s="707">
        <f ca="1">SUMIF($L764:$L946,"PAGE",R764:R946)</f>
        <v>56179.68</v>
      </c>
      <c r="S948" s="63"/>
      <c r="T948" s="707">
        <f ca="1">SUMIF($L764:$L946,"PAGE",T764:T946)</f>
        <v>2685.0569999999998</v>
      </c>
    </row>
    <row r="949" spans="1:37" s="602" customFormat="1" ht="12">
      <c r="A949" s="63"/>
      <c r="B949" s="55" t="s">
        <v>413</v>
      </c>
      <c r="C949" s="63"/>
      <c r="D949" s="706"/>
      <c r="F949" s="708" t="s">
        <v>421</v>
      </c>
      <c r="G949" s="663"/>
      <c r="H949" s="663"/>
      <c r="I949" s="601"/>
      <c r="J949" s="663"/>
      <c r="K949" s="663"/>
      <c r="L949" s="63"/>
      <c r="M949" s="63"/>
      <c r="N949" s="63"/>
      <c r="O949" s="64"/>
      <c r="P949" s="63"/>
      <c r="Q949" s="63"/>
      <c r="R949" s="708" t="s">
        <v>422</v>
      </c>
      <c r="S949" s="38"/>
      <c r="T949" s="708" t="s">
        <v>423</v>
      </c>
    </row>
    <row r="950" spans="1:37" s="602" customFormat="1" ht="11.4">
      <c r="O950" s="698"/>
    </row>
    <row r="951" spans="1:37" s="602" customFormat="1" ht="12" thickBot="1">
      <c r="A951" s="684"/>
      <c r="B951" s="684"/>
      <c r="C951" s="684"/>
      <c r="D951" s="684"/>
      <c r="E951" s="684"/>
      <c r="F951" s="39"/>
      <c r="G951" s="611"/>
      <c r="H951" s="611"/>
      <c r="I951" s="611"/>
      <c r="J951" s="611"/>
      <c r="K951" s="611"/>
      <c r="L951" s="684"/>
      <c r="M951" s="684"/>
      <c r="N951" s="684"/>
      <c r="O951" s="684"/>
      <c r="P951" s="684"/>
      <c r="Q951" s="688"/>
      <c r="R951" s="39"/>
      <c r="S951" s="39"/>
      <c r="T951" s="39"/>
      <c r="U951" s="611"/>
      <c r="V951" s="611"/>
      <c r="W951" s="611"/>
      <c r="X951" s="611"/>
      <c r="Y951" s="611"/>
      <c r="Z951" s="611"/>
      <c r="AA951" s="611"/>
      <c r="AB951" s="611"/>
      <c r="AC951" s="611"/>
      <c r="AD951" s="611"/>
      <c r="AE951" s="611"/>
      <c r="AF951" s="611"/>
      <c r="AG951" s="611"/>
      <c r="AH951" s="611"/>
      <c r="AI951" s="611"/>
      <c r="AJ951" s="611"/>
      <c r="AK951" s="611"/>
    </row>
    <row r="952" spans="1:37" ht="15" thickTop="1" thickBot="1">
      <c r="A952" s="369" t="s">
        <v>147</v>
      </c>
      <c r="B952" s="4"/>
      <c r="C952" s="4"/>
      <c r="D952" s="4"/>
      <c r="E952" s="4"/>
      <c r="F952" s="2"/>
      <c r="G952" s="151"/>
      <c r="H952" s="33"/>
      <c r="I952" s="33"/>
      <c r="J952" s="33"/>
      <c r="K952" s="33"/>
      <c r="L952" s="4"/>
      <c r="M952" s="4"/>
      <c r="N952" s="4"/>
      <c r="O952" s="4"/>
      <c r="P952" s="4"/>
      <c r="Q952" s="56"/>
      <c r="R952" s="33"/>
      <c r="S952" s="33"/>
      <c r="T952" s="33"/>
      <c r="AH952" s="590">
        <f ca="1">SUM(AH$14:AH951)</f>
        <v>278737.6399999999</v>
      </c>
      <c r="AJ952" s="590">
        <f ca="1">SUM(AJ$14:AJ951)</f>
        <v>108253.28000000001</v>
      </c>
      <c r="AK952" s="590">
        <f ca="1">SUM(AK$14:AK951)</f>
        <v>386990.91999999993</v>
      </c>
    </row>
    <row r="953" spans="1:37" ht="14.4" thickTop="1">
      <c r="A953" s="63"/>
      <c r="B953" s="61">
        <f ca="1">$F953/$C$2-($R953*$S$2+$T953*$T$2)</f>
        <v>-2.5902801426127553E-3</v>
      </c>
      <c r="C953" s="33" t="s">
        <v>73</v>
      </c>
      <c r="D953" s="62"/>
      <c r="E953" s="62" t="str">
        <f>$F$2 &amp; " (mu_A) :"</f>
        <v>Electrical (mu_A) :</v>
      </c>
      <c r="F953" s="533">
        <f ca="1">SUMIF($K$13:$K952,"mu_A",F$13:F952)</f>
        <v>147372.96927088292</v>
      </c>
      <c r="G953" s="63"/>
      <c r="H953" s="63"/>
      <c r="I953" s="63"/>
      <c r="J953" s="63"/>
      <c r="K953" s="63"/>
      <c r="L953" s="63"/>
      <c r="M953" s="63"/>
      <c r="N953" s="63"/>
      <c r="O953" s="64"/>
      <c r="P953" s="63"/>
      <c r="Q953" s="63"/>
      <c r="R953" s="65">
        <f ca="1">SUMIF($K$13:$K952,"mu_A",R$13:R$952)</f>
        <v>40888.729999999996</v>
      </c>
      <c r="S953" s="63"/>
      <c r="T953" s="65">
        <f ca="1">SUMIF($K$13:$K952,"mu_A",T$13:T$952)</f>
        <v>2593.3869999999997</v>
      </c>
      <c r="AG953" s="1"/>
      <c r="AH953" s="533">
        <f ca="1">R953*$S$2</f>
        <v>55199.785499999998</v>
      </c>
      <c r="AI953" s="1"/>
      <c r="AJ953" s="533">
        <f ca="1">T953*$T$2</f>
        <v>96139.449477000002</v>
      </c>
      <c r="AK953" s="1"/>
    </row>
    <row r="954" spans="1:37">
      <c r="A954" s="63"/>
      <c r="B954" s="61">
        <f ca="1">$F954/$C$3-($R954*$S$3+$T954*$T$3)</f>
        <v>-7.5784360087709501E-3</v>
      </c>
      <c r="C954" s="33" t="s">
        <v>73</v>
      </c>
      <c r="D954" s="62"/>
      <c r="E954" s="62" t="str">
        <f>$F$3&amp; " (mu_B) :"</f>
        <v>ECA (Technician) (mu_B) :</v>
      </c>
      <c r="F954" s="534">
        <f ca="1">SUMIF($K$13:$K952,"mu_B",F$13:F952)</f>
        <v>42268.426904933833</v>
      </c>
      <c r="G954" s="66"/>
      <c r="H954" s="66"/>
      <c r="I954" s="67"/>
      <c r="J954" s="66"/>
      <c r="K954" s="66"/>
      <c r="L954" s="66"/>
      <c r="M954" s="66"/>
      <c r="N954" s="66"/>
      <c r="O954" s="66"/>
      <c r="P954" s="66"/>
      <c r="Q954" s="68"/>
      <c r="R954" s="69">
        <f>SUMIF($K$13:$K952,"mu_B",R$13:R952)</f>
        <v>24878.050000000003</v>
      </c>
      <c r="S954" s="70"/>
      <c r="T954" s="69">
        <f>SUMIF($K$13:$K952,"mu_B",T$13:T952)</f>
        <v>215.67000000000002</v>
      </c>
      <c r="AG954" s="1"/>
      <c r="AH954" s="534">
        <f>R954*$S$3</f>
        <v>33585.367500000008</v>
      </c>
      <c r="AI954" s="1"/>
      <c r="AJ954" s="534">
        <f>T954*$T$3</f>
        <v>9820.6412849999997</v>
      </c>
      <c r="AK954" s="1"/>
    </row>
    <row r="955" spans="1:37">
      <c r="A955" s="63"/>
      <c r="B955" s="61">
        <f ca="1">$F955/$C$4-($R955*$S$4+$T955*$T$4)</f>
        <v>4.5017819502390921E-3</v>
      </c>
      <c r="C955" s="33" t="s">
        <v>73</v>
      </c>
      <c r="D955" s="62"/>
      <c r="E955" s="62" t="str">
        <f>$F$4&amp; " (mu_C) :"</f>
        <v>ECA (Engineer) (mu_C) :</v>
      </c>
      <c r="F955" s="535">
        <f ca="1">SUMIF($K$13:$K952,"mu_C",F$13:F952)</f>
        <v>11447.053824183262</v>
      </c>
      <c r="G955" s="66"/>
      <c r="H955" s="66"/>
      <c r="I955" s="67"/>
      <c r="J955" s="66"/>
      <c r="K955" s="66"/>
      <c r="L955" s="66"/>
      <c r="M955" s="66"/>
      <c r="N955" s="66"/>
      <c r="O955" s="66"/>
      <c r="P955" s="66"/>
      <c r="Q955" s="63"/>
      <c r="R955" s="69">
        <f>SUMIF($K$13:$K952,"mu_C",R$13:R952)</f>
        <v>3000</v>
      </c>
      <c r="S955" s="71"/>
      <c r="T955" s="69">
        <f>SUMIF($K$13:$K952,"mu_C",T$13:T952)</f>
        <v>190.25</v>
      </c>
      <c r="AG955" s="1"/>
      <c r="AH955" s="535">
        <f>R955*$S$4</f>
        <v>4050.0000000000005</v>
      </c>
      <c r="AI955" s="1"/>
      <c r="AJ955" s="535">
        <f>T955*$T$4</f>
        <v>7705.125</v>
      </c>
      <c r="AK955" s="1"/>
    </row>
    <row r="956" spans="1:37">
      <c r="A956" s="63"/>
      <c r="B956" s="61">
        <f>$F956/$C$5-($R956*$S$5+$T956*$T$5)</f>
        <v>0</v>
      </c>
      <c r="C956" s="33" t="s">
        <v>73</v>
      </c>
      <c r="D956" s="62"/>
      <c r="E956" s="62" t="str">
        <f>$F$5&amp; " (mu_D) :"</f>
        <v>Megaline (mu_D) :</v>
      </c>
      <c r="F956" s="536">
        <f>SUMIF($K$13:$K952,"mu_D",F$13:F952)</f>
        <v>185902.46999999991</v>
      </c>
      <c r="G956" s="66"/>
      <c r="H956" s="66"/>
      <c r="I956" s="67"/>
      <c r="J956" s="66"/>
      <c r="K956" s="66"/>
      <c r="L956" s="66"/>
      <c r="M956" s="66"/>
      <c r="N956" s="66"/>
      <c r="O956" s="66"/>
      <c r="P956" s="66"/>
      <c r="Q956" s="63"/>
      <c r="R956" s="69">
        <f>SUMIF($K$13:$K952,"mu_D",R$13:R952)</f>
        <v>185902.46999999991</v>
      </c>
      <c r="S956" s="71"/>
      <c r="T956" s="69">
        <f>SUMIF($K$13:$K952,"mu_D",T$13:T952)</f>
        <v>0</v>
      </c>
      <c r="AG956" s="1"/>
      <c r="AH956" s="536">
        <f>R956*$S$5</f>
        <v>185902.46999999991</v>
      </c>
      <c r="AI956" s="1"/>
      <c r="AJ956" s="536">
        <f>T956*$T$5</f>
        <v>0</v>
      </c>
      <c r="AK956" s="1"/>
    </row>
    <row r="957" spans="1:37">
      <c r="A957" s="63"/>
      <c r="B957" s="61">
        <f>$F957/$C$6-($R957*$S$6+$T957*$T$6)</f>
        <v>0</v>
      </c>
      <c r="C957" s="33" t="s">
        <v>73</v>
      </c>
      <c r="D957" s="62"/>
      <c r="E957" s="62" t="str">
        <f>$F$6&amp; " (mu_E) :"</f>
        <v>0 (mu_E) :</v>
      </c>
      <c r="F957" s="537">
        <f>SUMIF($K$13:$K952,"mu_E",F$13:F952)</f>
        <v>0</v>
      </c>
      <c r="G957" s="66"/>
      <c r="H957" s="66"/>
      <c r="I957" s="67"/>
      <c r="J957" s="66"/>
      <c r="K957" s="66"/>
      <c r="L957" s="66"/>
      <c r="M957" s="66"/>
      <c r="N957" s="66"/>
      <c r="O957" s="66"/>
      <c r="P957" s="66"/>
      <c r="Q957" s="63"/>
      <c r="R957" s="69">
        <f>SUMIF($K$13:$K952,"mu_E",R$13:R952)</f>
        <v>0</v>
      </c>
      <c r="S957" s="71"/>
      <c r="T957" s="69">
        <f>SUMIF($K$13:$K952,"mu_E",T$13:T952)</f>
        <v>0</v>
      </c>
      <c r="AG957" s="1"/>
      <c r="AH957" s="537">
        <f>R957*$S$6</f>
        <v>0</v>
      </c>
      <c r="AI957" s="1"/>
      <c r="AJ957" s="537">
        <f>T957*$T$6</f>
        <v>0</v>
      </c>
      <c r="AK957" s="1"/>
    </row>
    <row r="958" spans="1:37">
      <c r="A958" s="63"/>
      <c r="B958" s="61">
        <f>$F958/$C$7-($R958*$S$7+$T958*$T$7)</f>
        <v>0</v>
      </c>
      <c r="C958" s="33" t="s">
        <v>73</v>
      </c>
      <c r="D958" s="62"/>
      <c r="E958" s="62" t="str">
        <f>$F$7&amp; " (mu_F) :"</f>
        <v>0 (mu_F) :</v>
      </c>
      <c r="F958" s="538">
        <f>SUMIF($K$13:$K952,"mu_F",F$13:F952)</f>
        <v>0</v>
      </c>
      <c r="G958" s="66"/>
      <c r="H958" s="66"/>
      <c r="I958" s="67"/>
      <c r="J958" s="66"/>
      <c r="K958" s="66"/>
      <c r="L958" s="66"/>
      <c r="M958" s="66"/>
      <c r="N958" s="66"/>
      <c r="O958" s="66"/>
      <c r="P958" s="66"/>
      <c r="Q958" s="63"/>
      <c r="R958" s="69">
        <f>SUMIF($K$13:$K952,"mu_F",R$13:R952)</f>
        <v>0</v>
      </c>
      <c r="S958" s="71"/>
      <c r="T958" s="69">
        <f>SUMIF($K$13:$K952,"mu_F",T$13:T952)</f>
        <v>0</v>
      </c>
      <c r="AG958" s="1"/>
      <c r="AH958" s="538">
        <f>R958*$S$7</f>
        <v>0</v>
      </c>
      <c r="AI958" s="1"/>
      <c r="AJ958" s="538">
        <f>T958*$T$7</f>
        <v>0</v>
      </c>
      <c r="AK958" s="1"/>
    </row>
    <row r="959" spans="1:37">
      <c r="A959" s="63"/>
      <c r="B959" s="61">
        <f>$F959/$C$8-($R959*$S$8+$T959*$T$8)</f>
        <v>0</v>
      </c>
      <c r="C959" s="33" t="s">
        <v>73</v>
      </c>
      <c r="D959" s="62"/>
      <c r="E959" s="62" t="str">
        <f>$F$8&amp; " (mu_G) :"</f>
        <v>0 (mu_G) :</v>
      </c>
      <c r="F959" s="539">
        <f>SUMIF($K$13:$K952,"mu_G",F$13:F952)</f>
        <v>0</v>
      </c>
      <c r="G959" s="66"/>
      <c r="H959" s="66"/>
      <c r="I959" s="67"/>
      <c r="J959" s="66"/>
      <c r="K959" s="66"/>
      <c r="L959" s="66"/>
      <c r="M959" s="66"/>
      <c r="N959" s="66"/>
      <c r="O959" s="66"/>
      <c r="P959" s="66"/>
      <c r="Q959" s="63"/>
      <c r="R959" s="69">
        <f>SUMIF($K$13:$K952,"mu_G",R$13:R952)</f>
        <v>0</v>
      </c>
      <c r="S959" s="71"/>
      <c r="T959" s="69">
        <f>SUMIF($K$13:$K952,"mu_G",T$13:T952)</f>
        <v>0</v>
      </c>
      <c r="AG959" s="1"/>
      <c r="AH959" s="539">
        <f>R959*$S$8</f>
        <v>0</v>
      </c>
      <c r="AI959" s="1"/>
      <c r="AJ959" s="539">
        <f>T959*$T$8</f>
        <v>0</v>
      </c>
      <c r="AK959" s="1"/>
    </row>
    <row r="960" spans="1:37">
      <c r="A960" s="63"/>
      <c r="B960" s="61">
        <f>$F960/$C$9-($R960*$S$9+$T960*$T$9)</f>
        <v>0</v>
      </c>
      <c r="C960" s="33" t="s">
        <v>73</v>
      </c>
      <c r="D960" s="62"/>
      <c r="E960" s="62" t="str">
        <f>$F$9&amp; " (mu_H) :"</f>
        <v>0 (mu_H) :</v>
      </c>
      <c r="F960" s="578">
        <f>SUMIF($K$13:$K952,"mu_H",F$13:F952)</f>
        <v>0</v>
      </c>
      <c r="G960" s="66"/>
      <c r="H960" s="66"/>
      <c r="I960" s="67"/>
      <c r="J960" s="66"/>
      <c r="K960" s="66"/>
      <c r="L960" s="66"/>
      <c r="M960" s="66"/>
      <c r="N960" s="66"/>
      <c r="O960" s="66"/>
      <c r="P960" s="66"/>
      <c r="Q960" s="63"/>
      <c r="R960" s="69">
        <f>SUMIF($K$13:$K952,"mu_H",R$13:R952)</f>
        <v>0</v>
      </c>
      <c r="S960" s="71"/>
      <c r="T960" s="69">
        <f>SUMIF($K$13:$K952,"mu_H",T$13:T952)</f>
        <v>0</v>
      </c>
      <c r="AG960" s="1"/>
      <c r="AH960" s="578">
        <f>R960*$S$9</f>
        <v>0</v>
      </c>
      <c r="AI960" s="1"/>
      <c r="AJ960" s="578">
        <f>T960*$T$9</f>
        <v>0</v>
      </c>
      <c r="AK960" s="1"/>
    </row>
    <row r="961" spans="1:37">
      <c r="A961" s="63"/>
      <c r="B961" s="61">
        <f>$F961/$C$10-($R961*$S$10+$T961*$T$10)</f>
        <v>0</v>
      </c>
      <c r="C961" s="33" t="s">
        <v>73</v>
      </c>
      <c r="D961" s="62"/>
      <c r="E961" s="62" t="str">
        <f>$F$10&amp; " (mu_I) :"</f>
        <v>0 (mu_I) :</v>
      </c>
      <c r="F961" s="579">
        <f>SUMIF($K$13:$K952,"mu_I",F$13:F952)</f>
        <v>0</v>
      </c>
      <c r="G961" s="66"/>
      <c r="H961" s="66"/>
      <c r="I961" s="67"/>
      <c r="J961" s="66"/>
      <c r="K961" s="66"/>
      <c r="L961" s="66"/>
      <c r="M961" s="66"/>
      <c r="N961" s="66"/>
      <c r="O961" s="66"/>
      <c r="P961" s="66"/>
      <c r="Q961" s="63"/>
      <c r="R961" s="69">
        <f>SUMIF($K$13:$K952,"mu_I",R$13:R952)</f>
        <v>0</v>
      </c>
      <c r="S961" s="71"/>
      <c r="T961" s="69">
        <f>SUMIF($K$13:$K952,"mu_I",T$13:T952)</f>
        <v>0</v>
      </c>
      <c r="AG961" s="1"/>
      <c r="AH961" s="579">
        <f>R961*$S$10</f>
        <v>0</v>
      </c>
      <c r="AI961" s="1"/>
      <c r="AJ961" s="579">
        <f>T961*$T$10</f>
        <v>0</v>
      </c>
      <c r="AK961" s="1"/>
    </row>
    <row r="962" spans="1:37">
      <c r="A962" s="63"/>
      <c r="B962" s="61">
        <f ca="1">$F962/$C$11-($R962*$S$11+$T962*$T$11)</f>
        <v>0</v>
      </c>
      <c r="C962" s="33"/>
      <c r="D962" s="62"/>
      <c r="E962" s="62" t="str">
        <f>$F$11&amp; " (mu_J) :"</f>
        <v>0 (mu_J) :</v>
      </c>
      <c r="F962" s="580">
        <f>SUMIF($K$13:$K953,"mu_J",F$13:F953)</f>
        <v>0</v>
      </c>
      <c r="G962" s="66"/>
      <c r="H962" s="66"/>
      <c r="I962" s="67"/>
      <c r="J962" s="66"/>
      <c r="K962" s="66"/>
      <c r="L962" s="66"/>
      <c r="M962" s="66"/>
      <c r="N962" s="66"/>
      <c r="O962" s="66"/>
      <c r="P962" s="66"/>
      <c r="Q962" s="63"/>
      <c r="R962" s="69">
        <f ca="1">SUMIF($K$13:$K953,"mu_J",R$13:R952)</f>
        <v>0</v>
      </c>
      <c r="S962" s="71"/>
      <c r="T962" s="69">
        <f>SUMIF($K$13:$K953,"mu_J",T$13:T953)</f>
        <v>0</v>
      </c>
      <c r="AG962" s="1"/>
      <c r="AH962" s="580">
        <f ca="1">R962*$S$11</f>
        <v>0</v>
      </c>
      <c r="AI962" s="1"/>
      <c r="AJ962" s="580">
        <f>T962*$T$11</f>
        <v>0</v>
      </c>
      <c r="AK962" s="1"/>
    </row>
    <row r="963" spans="1:37" ht="15" thickBot="1">
      <c r="A963" s="72"/>
      <c r="B963" s="72"/>
      <c r="C963" s="73" t="s">
        <v>148</v>
      </c>
      <c r="D963" s="74"/>
      <c r="E963" s="75" t="s">
        <v>149</v>
      </c>
      <c r="F963" s="540">
        <f ca="1">SUM(F953:F962)</f>
        <v>386990.91999999993</v>
      </c>
      <c r="G963" s="596" t="s">
        <v>142</v>
      </c>
      <c r="H963" s="76"/>
      <c r="I963" s="77"/>
      <c r="J963" s="76"/>
      <c r="K963" s="76"/>
      <c r="L963" s="76"/>
      <c r="M963" s="76"/>
      <c r="N963" s="76"/>
      <c r="O963" s="76"/>
      <c r="P963" s="76"/>
      <c r="Q963" s="78"/>
      <c r="R963" s="78">
        <f ca="1">SUM(R953:R962)</f>
        <v>254669.24999999991</v>
      </c>
      <c r="S963" s="79"/>
      <c r="T963" s="78">
        <f ca="1">SUM(T953:T962)</f>
        <v>2999.3069999999998</v>
      </c>
      <c r="U963" s="123"/>
      <c r="V963" s="469"/>
      <c r="W963" s="469"/>
      <c r="X963" s="469"/>
      <c r="Y963" s="469"/>
      <c r="Z963" s="469"/>
      <c r="AA963" s="469"/>
      <c r="AB963" s="469"/>
      <c r="AC963" s="123"/>
      <c r="AD963" s="123"/>
      <c r="AE963" s="123"/>
      <c r="AF963" s="123"/>
      <c r="AG963" s="589"/>
      <c r="AH963" s="590">
        <f ca="1">SUM(AH953:AH962)</f>
        <v>278737.62299999991</v>
      </c>
      <c r="AI963" s="589"/>
      <c r="AJ963" s="590">
        <f ca="1">SUM(AJ953:AJ962)</f>
        <v>113665.21576200001</v>
      </c>
      <c r="AK963" s="590">
        <f ca="1">AH963+AJ963</f>
        <v>392402.83876199991</v>
      </c>
    </row>
    <row r="964" spans="1:37" ht="15" thickTop="1">
      <c r="A964" s="80"/>
      <c r="B964" s="80"/>
      <c r="C964" s="81"/>
      <c r="D964" s="82"/>
      <c r="E964" s="83"/>
      <c r="F964" s="84">
        <f ca="1">F967-F963</f>
        <v>0</v>
      </c>
      <c r="G964" s="85"/>
      <c r="H964" s="85"/>
      <c r="I964" s="85"/>
      <c r="J964" s="85"/>
      <c r="K964" s="85"/>
      <c r="L964" s="85"/>
      <c r="M964" s="85"/>
      <c r="N964" s="85"/>
      <c r="O964" s="85"/>
      <c r="P964" s="85"/>
      <c r="Q964" s="84"/>
      <c r="R964" s="84"/>
      <c r="S964" s="86"/>
      <c r="T964" s="84"/>
      <c r="AH964" s="588">
        <f ca="1">AH952-AH963</f>
        <v>1.6999999992549419E-2</v>
      </c>
      <c r="AJ964" s="588">
        <f ca="1">AJ952-AJ963</f>
        <v>-5411.9357619999937</v>
      </c>
      <c r="AK964" s="588">
        <f ca="1">AK952-AK963</f>
        <v>-5411.9187619999866</v>
      </c>
    </row>
    <row r="965" spans="1:37" ht="14.4" thickBot="1">
      <c r="A965" s="87"/>
      <c r="B965" s="88" t="s">
        <v>229</v>
      </c>
      <c r="C965" s="33"/>
      <c r="D965" s="89"/>
      <c r="E965" s="83" t="s">
        <v>172</v>
      </c>
      <c r="F965" s="45"/>
      <c r="G965" s="45"/>
      <c r="H965" s="45"/>
      <c r="I965" s="45"/>
      <c r="J965" s="45"/>
      <c r="K965" s="45"/>
      <c r="L965" s="90" t="s">
        <v>150</v>
      </c>
      <c r="M965" s="90"/>
      <c r="N965" s="90"/>
      <c r="O965" s="90"/>
      <c r="P965" s="90"/>
      <c r="Q965" s="45"/>
      <c r="R965" s="91">
        <f ca="1">SUMIF($L$13:$L952,"",R$13:R952)</f>
        <v>254669.24999999983</v>
      </c>
      <c r="S965" s="91"/>
      <c r="T965" s="91">
        <f ca="1">SUMIF($L$13:$L952,"",T$13:T952)</f>
        <v>2999.3070000000007</v>
      </c>
    </row>
    <row r="966" spans="1:37">
      <c r="A966" s="92"/>
      <c r="B966" s="93" t="s">
        <v>228</v>
      </c>
      <c r="C966" s="33"/>
      <c r="D966" s="33"/>
      <c r="E966" s="70"/>
      <c r="F966" s="45"/>
      <c r="G966" s="45"/>
      <c r="H966" s="45"/>
      <c r="I966" s="45"/>
      <c r="J966" s="45"/>
      <c r="K966" s="45"/>
      <c r="L966" s="45"/>
      <c r="M966" s="45"/>
      <c r="N966" s="45"/>
      <c r="O966" s="45"/>
      <c r="P966" s="45"/>
      <c r="Q966" s="45"/>
      <c r="R966" s="45"/>
      <c r="S966" s="45"/>
      <c r="T966" s="45"/>
    </row>
    <row r="967" spans="1:37" ht="14.4" thickBot="1">
      <c r="A967" s="370"/>
      <c r="B967" s="94">
        <f ca="1">$F967/$C$2-($R967*$S$2+$T967*$T$2)</f>
        <v>-57584.752869816148</v>
      </c>
      <c r="C967" s="33"/>
      <c r="D967" s="89"/>
      <c r="E967" s="83" t="s">
        <v>171</v>
      </c>
      <c r="F967" s="541">
        <f ca="1">SUMIF($L$13:$L952,"ITEM",F$13:F952)</f>
        <v>386990.91999999993</v>
      </c>
      <c r="G967" s="45"/>
      <c r="H967" s="45"/>
      <c r="I967" s="45"/>
      <c r="J967" s="45"/>
      <c r="K967" s="45"/>
      <c r="L967" s="90" t="s">
        <v>151</v>
      </c>
      <c r="M967" s="90"/>
      <c r="N967" s="90"/>
      <c r="O967" s="90"/>
      <c r="P967" s="90"/>
      <c r="Q967" s="91"/>
      <c r="R967" s="95">
        <f ca="1">SUMIF($L$13:$L952,"ITEM",R$13:R952)</f>
        <v>254669.24999999991</v>
      </c>
      <c r="S967" s="96"/>
      <c r="T967" s="95">
        <f ca="1">SUMIF($L$13:$L952,"ITEM",T$13:T952)</f>
        <v>2999.3069999999998</v>
      </c>
    </row>
    <row r="968" spans="1:37">
      <c r="A968" s="370"/>
      <c r="B968" s="97"/>
      <c r="C968" s="4"/>
      <c r="D968" s="33"/>
      <c r="E968" s="70"/>
      <c r="F968" s="45"/>
      <c r="G968" s="45"/>
      <c r="H968" s="45"/>
      <c r="I968" s="45"/>
      <c r="J968" s="45"/>
      <c r="K968" s="45"/>
      <c r="L968" s="45"/>
      <c r="M968" s="45"/>
      <c r="N968" s="45"/>
      <c r="O968" s="45"/>
      <c r="P968" s="45"/>
      <c r="Q968" s="45"/>
      <c r="R968" s="45"/>
      <c r="S968" s="45"/>
      <c r="T968" s="45"/>
    </row>
    <row r="969" spans="1:37" ht="14.4" thickBot="1">
      <c r="A969" s="370"/>
      <c r="B969" s="94">
        <f ca="1">$F969/$C$2-($R969*$S$2+$T969*$T$2)</f>
        <v>-55883.390035175602</v>
      </c>
      <c r="C969" s="33"/>
      <c r="D969" s="98"/>
      <c r="E969" s="99" t="s">
        <v>152</v>
      </c>
      <c r="F969" s="542">
        <f ca="1">SUMIF($L$13:$L952,"PAGE",F$13:F952)</f>
        <v>380208.77</v>
      </c>
      <c r="G969" s="5"/>
      <c r="H969" s="5"/>
      <c r="I969" s="5"/>
      <c r="J969" s="5"/>
      <c r="K969" s="45"/>
      <c r="L969" s="43" t="s">
        <v>153</v>
      </c>
      <c r="M969" s="43"/>
      <c r="N969" s="43"/>
      <c r="O969" s="43"/>
      <c r="P969" s="43"/>
      <c r="Q969" s="91"/>
      <c r="R969" s="100">
        <f ca="1">SUMIF($L$13:$L952,"PAGE",R$13:R952)</f>
        <v>249403.28000000003</v>
      </c>
      <c r="S969" s="101"/>
      <c r="T969" s="100">
        <f ca="1">SUMIF($L$13:$L952,"PAGE",T$13:T952)</f>
        <v>2957.3069999999998</v>
      </c>
    </row>
    <row r="970" spans="1:37">
      <c r="A970" s="370"/>
      <c r="B970" s="94"/>
      <c r="C970" s="33"/>
      <c r="D970" s="33"/>
      <c r="E970" s="70"/>
      <c r="F970" s="45"/>
      <c r="G970" s="45"/>
      <c r="H970" s="45"/>
      <c r="I970" s="45"/>
      <c r="J970" s="45"/>
      <c r="K970" s="45"/>
      <c r="L970" s="45"/>
      <c r="M970" s="45"/>
      <c r="N970" s="45"/>
      <c r="O970" s="45"/>
      <c r="P970" s="45"/>
      <c r="Q970" s="45"/>
      <c r="R970" s="45"/>
      <c r="S970" s="45"/>
      <c r="T970" s="45"/>
    </row>
    <row r="971" spans="1:37" ht="14.4" thickBot="1">
      <c r="A971" s="371" t="s">
        <v>154</v>
      </c>
      <c r="B971" s="94">
        <f ca="1">$F971/$C$2-($R971*$S$2+$T971*$T$2)</f>
        <v>-55883.390035175602</v>
      </c>
      <c r="C971" s="33"/>
      <c r="D971" s="2"/>
      <c r="E971" s="99" t="s">
        <v>155</v>
      </c>
      <c r="F971" s="543">
        <f ca="1">SUMIF($L$13:$L952,"SECT",F$13:F952)</f>
        <v>380208.77</v>
      </c>
      <c r="G971" s="5"/>
      <c r="H971" s="5"/>
      <c r="I971" s="5"/>
      <c r="J971" s="5"/>
      <c r="K971" s="45"/>
      <c r="L971" s="90" t="s">
        <v>156</v>
      </c>
      <c r="M971" s="90"/>
      <c r="N971" s="90"/>
      <c r="O971" s="90"/>
      <c r="P971" s="90"/>
      <c r="Q971" s="91"/>
      <c r="R971" s="102">
        <f ca="1">SUMIF($L$13:$L952,"SECT",R$13:R952)</f>
        <v>249403.28000000003</v>
      </c>
      <c r="S971" s="91"/>
      <c r="T971" s="102">
        <f ca="1">SUMIF($L$13:$L952,"SECT",T$13:T952)</f>
        <v>2957.3069999999998</v>
      </c>
    </row>
    <row r="972" spans="1:37" ht="14.4" thickBot="1">
      <c r="A972" s="103" t="s">
        <v>157</v>
      </c>
      <c r="B972" s="57"/>
      <c r="C972" s="34"/>
      <c r="D972" s="57"/>
      <c r="E972" s="39"/>
      <c r="F972" s="104"/>
      <c r="G972" s="58"/>
      <c r="H972" s="58"/>
      <c r="I972" s="58"/>
      <c r="J972" s="58"/>
      <c r="K972" s="58"/>
      <c r="L972" s="58"/>
      <c r="M972" s="58"/>
      <c r="N972" s="58"/>
      <c r="O972" s="58"/>
      <c r="P972" s="58"/>
      <c r="Q972" s="58"/>
      <c r="R972" s="104"/>
      <c r="S972" s="104"/>
      <c r="T972" s="104"/>
      <c r="U972" s="123"/>
      <c r="V972" s="469"/>
      <c r="W972" s="469"/>
      <c r="X972" s="469"/>
      <c r="Y972" s="469"/>
      <c r="Z972" s="469"/>
      <c r="AA972" s="469"/>
      <c r="AB972" s="469"/>
      <c r="AC972" s="123"/>
      <c r="AD972" s="123"/>
      <c r="AE972" s="123"/>
      <c r="AF972" s="123"/>
      <c r="AG972" s="123"/>
      <c r="AH972" s="123"/>
      <c r="AI972" s="123"/>
      <c r="AJ972" s="123"/>
      <c r="AK972" s="123"/>
    </row>
    <row r="973" spans="1:37" ht="14.4" thickTop="1">
      <c r="A973" s="105"/>
      <c r="B973" s="581" t="s">
        <v>71</v>
      </c>
      <c r="C973" s="6"/>
      <c r="D973" s="106"/>
      <c r="E973" s="107" t="s">
        <v>158</v>
      </c>
      <c r="F973" s="108"/>
      <c r="G973" s="108"/>
      <c r="H973" s="108"/>
      <c r="I973" s="108"/>
      <c r="J973" s="108"/>
      <c r="K973" s="108"/>
      <c r="L973" s="108"/>
      <c r="M973" s="108"/>
      <c r="N973" s="108"/>
      <c r="O973" s="109"/>
      <c r="P973" s="108"/>
      <c r="Q973" s="110"/>
      <c r="R973" s="111">
        <f ca="1">SUM(R974:R1029)</f>
        <v>254667.67889807938</v>
      </c>
      <c r="S973" s="112"/>
      <c r="T973" s="111">
        <f ca="1">SUM(T974:T1029)</f>
        <v>2999.3099999999995</v>
      </c>
    </row>
    <row r="974" spans="1:37">
      <c r="A974" s="113"/>
      <c r="B974" s="548">
        <v>1</v>
      </c>
      <c r="C974" s="6" t="s">
        <v>73</v>
      </c>
      <c r="D974" s="36" t="s">
        <v>74</v>
      </c>
      <c r="F974" s="114">
        <v>501</v>
      </c>
      <c r="O974" s="115"/>
      <c r="P974" s="36">
        <v>1</v>
      </c>
      <c r="R974" s="116">
        <f ca="1">SUMIF($H$13:$H$952,$F974,R$13:R$952)+Elec_Rates!R355</f>
        <v>802.32379562043798</v>
      </c>
      <c r="S974" s="117"/>
      <c r="T974" s="116">
        <f ca="1">SUMIF($H$13:$H$952,$F974,T$13:T$952)+Elec_Rates!T355</f>
        <v>30.5</v>
      </c>
    </row>
    <row r="975" spans="1:37">
      <c r="A975" s="113"/>
      <c r="B975" s="548">
        <v>2</v>
      </c>
      <c r="C975" s="6" t="s">
        <v>73</v>
      </c>
      <c r="D975" s="36" t="s">
        <v>75</v>
      </c>
      <c r="F975" s="114">
        <v>505</v>
      </c>
      <c r="O975" s="115"/>
      <c r="P975" s="36">
        <v>1</v>
      </c>
      <c r="R975" s="116">
        <f>SUMIF($H$13:$H$952,$F975,R$13:R$952)+Elec_Rates!R356</f>
        <v>0</v>
      </c>
      <c r="S975" s="117"/>
      <c r="T975" s="116">
        <f>SUMIF($H$13:$H$952,$F975,T$13:T$952)+Elec_Rates!T356</f>
        <v>0</v>
      </c>
    </row>
    <row r="976" spans="1:37">
      <c r="A976" s="113"/>
      <c r="B976" s="548">
        <v>3</v>
      </c>
      <c r="C976" s="6" t="s">
        <v>73</v>
      </c>
      <c r="D976" s="36" t="s">
        <v>76</v>
      </c>
      <c r="F976" s="114">
        <v>510</v>
      </c>
      <c r="O976" s="115"/>
      <c r="P976" s="36">
        <v>2</v>
      </c>
      <c r="R976" s="116">
        <f>SUMIF($H$13:$H$952,$F976,R$13:R$952)+Elec_Rates!R357</f>
        <v>1012.0200000000001</v>
      </c>
      <c r="S976" s="117"/>
      <c r="T976" s="116">
        <f>SUMIF($H$13:$H$952,$F976,T$13:T$952)+Elec_Rates!T357</f>
        <v>18</v>
      </c>
    </row>
    <row r="977" spans="1:20">
      <c r="A977" s="113"/>
      <c r="B977" s="548">
        <v>4</v>
      </c>
      <c r="C977" s="6" t="s">
        <v>73</v>
      </c>
      <c r="D977" s="36" t="s">
        <v>77</v>
      </c>
      <c r="F977" s="114">
        <v>511</v>
      </c>
      <c r="O977" s="115"/>
      <c r="P977" s="36">
        <v>2</v>
      </c>
      <c r="R977" s="116">
        <f>SUMIF($H$13:$H$952,$F977,R$13:R$952)+Elec_Rates!R358</f>
        <v>0</v>
      </c>
      <c r="S977" s="117"/>
      <c r="T977" s="116">
        <f>SUMIF($H$13:$H$952,$F977,T$13:T$952)+Elec_Rates!T358</f>
        <v>0</v>
      </c>
    </row>
    <row r="978" spans="1:20">
      <c r="A978" s="113"/>
      <c r="B978" s="548">
        <v>5</v>
      </c>
      <c r="C978" s="6" t="s">
        <v>73</v>
      </c>
      <c r="D978" s="36" t="s">
        <v>78</v>
      </c>
      <c r="F978" s="114">
        <v>512</v>
      </c>
      <c r="O978" s="115"/>
      <c r="P978" s="36">
        <v>2</v>
      </c>
      <c r="R978" s="116">
        <f>SUMIF($H$13:$H$952,$F978,R$13:R$952)+Elec_Rates!R359</f>
        <v>23991.29</v>
      </c>
      <c r="S978" s="117"/>
      <c r="T978" s="116">
        <f>SUMIF($H$13:$H$952,$F978,T$13:T$952)+Elec_Rates!T359</f>
        <v>370.32</v>
      </c>
    </row>
    <row r="979" spans="1:20">
      <c r="A979" s="113"/>
      <c r="B979" s="548">
        <v>6</v>
      </c>
      <c r="C979" s="6" t="s">
        <v>73</v>
      </c>
      <c r="D979" s="36" t="s">
        <v>79</v>
      </c>
      <c r="F979" s="114">
        <v>520</v>
      </c>
      <c r="O979" s="115"/>
      <c r="P979" s="36">
        <v>1</v>
      </c>
      <c r="R979" s="116">
        <f>SUMIF($H$13:$H$952,$F979,R$13:R$952)+Elec_Rates!R360</f>
        <v>0</v>
      </c>
      <c r="S979" s="117"/>
      <c r="T979" s="116">
        <f>SUMIF($H$13:$H$952,$F979,T$13:T$952)+Elec_Rates!T360</f>
        <v>0</v>
      </c>
    </row>
    <row r="980" spans="1:20">
      <c r="A980" s="113"/>
      <c r="B980" s="548">
        <v>7</v>
      </c>
      <c r="C980" s="6" t="s">
        <v>73</v>
      </c>
      <c r="D980" s="36" t="s">
        <v>80</v>
      </c>
      <c r="F980" s="114">
        <v>530</v>
      </c>
      <c r="O980" s="115"/>
      <c r="P980" s="36">
        <v>2</v>
      </c>
      <c r="R980" s="116">
        <f>SUMIF($H$13:$H$952,$F980,R$13:R$952)+Elec_Rates!R361</f>
        <v>0</v>
      </c>
      <c r="S980" s="117"/>
      <c r="T980" s="116">
        <f>SUMIF($H$13:$H$952,$F980,T$13:T$952)+Elec_Rates!T361</f>
        <v>0</v>
      </c>
    </row>
    <row r="981" spans="1:20">
      <c r="A981" s="113"/>
      <c r="B981" s="548">
        <v>8</v>
      </c>
      <c r="C981" s="6" t="s">
        <v>73</v>
      </c>
      <c r="D981" s="36" t="s">
        <v>81</v>
      </c>
      <c r="F981" s="114">
        <v>550</v>
      </c>
      <c r="O981" s="115"/>
      <c r="P981" s="36">
        <v>2</v>
      </c>
      <c r="R981" s="116">
        <f>SUMIF($H$13:$H$952,$F981,R$13:R$952)+Elec_Rates!R362</f>
        <v>0</v>
      </c>
      <c r="S981" s="117"/>
      <c r="T981" s="116">
        <f>SUMIF($H$13:$H$952,$F981,T$13:T$952)+Elec_Rates!T362</f>
        <v>0</v>
      </c>
    </row>
    <row r="982" spans="1:20">
      <c r="A982" s="113"/>
      <c r="B982" s="548">
        <v>9</v>
      </c>
      <c r="C982" s="6" t="s">
        <v>73</v>
      </c>
      <c r="D982" s="36" t="s">
        <v>82</v>
      </c>
      <c r="F982" s="114">
        <v>570</v>
      </c>
      <c r="O982" s="115"/>
      <c r="P982" s="36">
        <v>2</v>
      </c>
      <c r="R982" s="116">
        <f>SUMIF($H$13:$H$952,$F982,R$13:R$952)+Elec_Rates!R363</f>
        <v>4136.76</v>
      </c>
      <c r="S982" s="117"/>
      <c r="T982" s="116">
        <f>SUMIF($H$13:$H$952,$F982,T$13:T$952)+Elec_Rates!T363</f>
        <v>56</v>
      </c>
    </row>
    <row r="983" spans="1:20">
      <c r="A983" s="113"/>
      <c r="B983" s="548">
        <v>10</v>
      </c>
      <c r="C983" s="6" t="s">
        <v>73</v>
      </c>
      <c r="D983" s="36" t="s">
        <v>83</v>
      </c>
      <c r="F983" s="114">
        <v>615</v>
      </c>
      <c r="O983" s="115"/>
      <c r="P983" s="36">
        <v>2</v>
      </c>
      <c r="R983" s="116">
        <f ca="1">SUMIF($H$13:$H$952,$F983,R$13:R$952)+Elec_Rates!R364</f>
        <v>14.520000000000001</v>
      </c>
      <c r="S983" s="117"/>
      <c r="T983" s="116">
        <f ca="1">SUMIF($H$13:$H$952,$F983,T$13:T$952)+Elec_Rates!T364</f>
        <v>0.66</v>
      </c>
    </row>
    <row r="984" spans="1:20">
      <c r="A984" s="113"/>
      <c r="B984" s="548">
        <v>11</v>
      </c>
      <c r="C984" s="6" t="s">
        <v>73</v>
      </c>
      <c r="D984" s="36" t="s">
        <v>85</v>
      </c>
      <c r="F984" s="114">
        <v>616</v>
      </c>
      <c r="O984" s="115"/>
      <c r="P984" s="36">
        <v>2</v>
      </c>
      <c r="R984" s="116">
        <f ca="1">SUMIF($H$13:$H$952,$F984,R$13:R$952)+Elec_Rates!R365</f>
        <v>5678.7</v>
      </c>
      <c r="S984" s="117"/>
      <c r="T984" s="116">
        <f ca="1">SUMIF($H$13:$H$952,$F984,T$13:T$952)+Elec_Rates!T365</f>
        <v>60.730000000000004</v>
      </c>
    </row>
    <row r="985" spans="1:20">
      <c r="A985" s="113"/>
      <c r="B985" s="548">
        <v>12</v>
      </c>
      <c r="C985" s="6" t="s">
        <v>73</v>
      </c>
      <c r="D985" s="36" t="s">
        <v>86</v>
      </c>
      <c r="F985" s="114">
        <v>617</v>
      </c>
      <c r="O985" s="115"/>
      <c r="P985" s="36">
        <v>2</v>
      </c>
      <c r="R985" s="116">
        <f ca="1">SUMIF($H$13:$H$952,$F985,R$13:R$952)+Elec_Rates!R366</f>
        <v>9996.6188524590161</v>
      </c>
      <c r="S985" s="117"/>
      <c r="T985" s="116">
        <f ca="1">SUMIF($H$13:$H$952,$F985,T$13:T$952)+Elec_Rates!T366</f>
        <v>677.6</v>
      </c>
    </row>
    <row r="986" spans="1:20">
      <c r="A986" s="113"/>
      <c r="B986" s="548">
        <v>13</v>
      </c>
      <c r="C986" s="6" t="s">
        <v>73</v>
      </c>
      <c r="D986" s="36" t="s">
        <v>159</v>
      </c>
      <c r="F986" s="114">
        <v>620</v>
      </c>
      <c r="O986" s="115"/>
      <c r="P986" s="36">
        <v>2</v>
      </c>
      <c r="R986" s="116">
        <f ca="1">SUMIF($H$13:$H$952,$F986,R$13:R$952)+Elec_Rates!R367</f>
        <v>2038.8400000000001</v>
      </c>
      <c r="S986" s="117"/>
      <c r="T986" s="116">
        <f ca="1">SUMIF($H$13:$H$952,$F986,T$13:T$952)+Elec_Rates!T367</f>
        <v>193.78800000000001</v>
      </c>
    </row>
    <row r="987" spans="1:20">
      <c r="A987" s="113"/>
      <c r="B987" s="548">
        <v>14</v>
      </c>
      <c r="C987" s="6" t="s">
        <v>73</v>
      </c>
      <c r="D987" s="36" t="s">
        <v>88</v>
      </c>
      <c r="F987" s="114">
        <v>650</v>
      </c>
      <c r="O987" s="115"/>
      <c r="P987" s="36">
        <v>1</v>
      </c>
      <c r="R987" s="116">
        <f ca="1">SUMIF($H$13:$H$952,$F987,R$13:R$952)+Elec_Rates!R368</f>
        <v>597.77625</v>
      </c>
      <c r="S987" s="117"/>
      <c r="T987" s="116">
        <f ca="1">SUMIF($H$13:$H$952,$F987,T$13:T$952)+Elec_Rates!T368</f>
        <v>30</v>
      </c>
    </row>
    <row r="988" spans="1:20">
      <c r="A988" s="113"/>
      <c r="B988" s="548">
        <v>15</v>
      </c>
      <c r="C988" s="6" t="s">
        <v>73</v>
      </c>
      <c r="D988" s="36" t="s">
        <v>89</v>
      </c>
      <c r="F988" s="114">
        <v>651</v>
      </c>
      <c r="O988" s="115"/>
      <c r="P988" s="36">
        <v>1</v>
      </c>
      <c r="R988" s="116">
        <f>SUMIF($H$13:$H$952,$F988,R$13:R$952)+Elec_Rates!R369</f>
        <v>0</v>
      </c>
      <c r="S988" s="117"/>
      <c r="T988" s="116">
        <f>SUMIF($H$13:$H$952,$F988,T$13:T$952)+Elec_Rates!T369</f>
        <v>0</v>
      </c>
    </row>
    <row r="989" spans="1:20">
      <c r="A989" s="113"/>
      <c r="B989" s="548">
        <v>16</v>
      </c>
      <c r="C989" s="6" t="s">
        <v>73</v>
      </c>
      <c r="D989" s="36" t="s">
        <v>90</v>
      </c>
      <c r="F989" s="114">
        <v>652</v>
      </c>
      <c r="O989" s="115"/>
      <c r="P989" s="36">
        <v>1</v>
      </c>
      <c r="R989" s="116">
        <f>SUMIF($H$13:$H$952,$F989,R$13:R$952)+Elec_Rates!R370</f>
        <v>0</v>
      </c>
      <c r="S989" s="117"/>
      <c r="T989" s="116">
        <f>SUMIF($H$13:$H$952,$F989,T$13:T$952)+Elec_Rates!T370</f>
        <v>0</v>
      </c>
    </row>
    <row r="990" spans="1:20">
      <c r="A990" s="113"/>
      <c r="B990" s="548">
        <v>17</v>
      </c>
      <c r="C990" s="6" t="s">
        <v>73</v>
      </c>
      <c r="D990" s="36" t="s">
        <v>91</v>
      </c>
      <c r="F990" s="114">
        <v>654</v>
      </c>
      <c r="O990" s="115"/>
      <c r="P990" s="36">
        <v>1</v>
      </c>
      <c r="R990" s="116">
        <f>SUMIF($H$13:$H$952,$F990,R$13:R$952)+Elec_Rates!R371</f>
        <v>0</v>
      </c>
      <c r="S990" s="117"/>
      <c r="T990" s="116">
        <f>SUMIF($H$13:$H$952,$F990,T$13:T$952)+Elec_Rates!T371</f>
        <v>0</v>
      </c>
    </row>
    <row r="991" spans="1:20">
      <c r="A991" s="113"/>
      <c r="B991" s="548">
        <v>18</v>
      </c>
      <c r="C991" s="6" t="s">
        <v>73</v>
      </c>
      <c r="D991" s="36" t="s">
        <v>92</v>
      </c>
      <c r="F991" s="114">
        <v>675</v>
      </c>
      <c r="O991" s="115"/>
      <c r="P991" s="36">
        <v>1</v>
      </c>
      <c r="R991" s="116">
        <f>SUMIF($H$13:$H$952,$F991,R$13:R$952)+Elec_Rates!R372</f>
        <v>0</v>
      </c>
      <c r="S991" s="117"/>
      <c r="T991" s="116">
        <f>SUMIF($H$13:$H$952,$F991,T$13:T$952)+Elec_Rates!T372</f>
        <v>0</v>
      </c>
    </row>
    <row r="992" spans="1:20">
      <c r="A992" s="113"/>
      <c r="B992" s="548">
        <v>19</v>
      </c>
      <c r="C992" s="6" t="s">
        <v>73</v>
      </c>
      <c r="D992" s="36" t="s">
        <v>93</v>
      </c>
      <c r="F992" s="114">
        <v>676</v>
      </c>
      <c r="O992" s="115"/>
      <c r="P992" s="36">
        <v>1</v>
      </c>
      <c r="R992" s="116">
        <f>SUMIF($H$13:$H$952,$F992,R$13:R$952)+Elec_Rates!R373</f>
        <v>0</v>
      </c>
      <c r="S992" s="117"/>
      <c r="T992" s="116">
        <f>SUMIF($H$13:$H$952,$F992,T$13:T$952)+Elec_Rates!T373</f>
        <v>0</v>
      </c>
    </row>
    <row r="993" spans="1:20">
      <c r="A993" s="113"/>
      <c r="B993" s="548">
        <v>20</v>
      </c>
      <c r="C993" s="6" t="s">
        <v>73</v>
      </c>
      <c r="D993" s="36" t="s">
        <v>94</v>
      </c>
      <c r="F993" s="114">
        <v>680</v>
      </c>
      <c r="O993" s="115"/>
      <c r="P993" s="36">
        <v>1</v>
      </c>
      <c r="R993" s="116">
        <f>SUMIF($H$13:$H$952,$F993,R$13:R$952)+Elec_Rates!R374</f>
        <v>0</v>
      </c>
      <c r="S993" s="117"/>
      <c r="T993" s="116">
        <f>SUMIF($H$13:$H$952,$F993,T$13:T$952)+Elec_Rates!T374</f>
        <v>0</v>
      </c>
    </row>
    <row r="994" spans="1:20">
      <c r="A994" s="113"/>
      <c r="B994" s="548">
        <v>21</v>
      </c>
      <c r="C994" s="6" t="s">
        <v>73</v>
      </c>
      <c r="D994" s="36" t="s">
        <v>96</v>
      </c>
      <c r="F994" s="114">
        <v>681</v>
      </c>
      <c r="O994" s="115"/>
      <c r="P994" s="36">
        <v>1</v>
      </c>
      <c r="R994" s="116">
        <f>SUMIF($H$13:$H$952,$F994,R$13:R$952)+Elec_Rates!R375</f>
        <v>0</v>
      </c>
      <c r="S994" s="117"/>
      <c r="T994" s="116">
        <f>SUMIF($H$13:$H$952,$F994,T$13:T$952)+Elec_Rates!T375</f>
        <v>0</v>
      </c>
    </row>
    <row r="995" spans="1:20">
      <c r="A995" s="113"/>
      <c r="B995" s="548">
        <v>22</v>
      </c>
      <c r="C995" s="6" t="s">
        <v>73</v>
      </c>
      <c r="D995" s="36" t="s">
        <v>97</v>
      </c>
      <c r="F995" s="114">
        <v>690</v>
      </c>
      <c r="O995" s="115"/>
      <c r="P995" s="36">
        <v>1</v>
      </c>
      <c r="R995" s="116">
        <f ca="1">SUMIF($H$13:$H$952,$F995,R$13:R$952)+Elec_Rates!R376</f>
        <v>19129.86</v>
      </c>
      <c r="S995" s="117"/>
      <c r="T995" s="116">
        <f ca="1">SUMIF($H$13:$H$952,$F995,T$13:T$952)+Elec_Rates!T376</f>
        <v>1161.27</v>
      </c>
    </row>
    <row r="996" spans="1:20">
      <c r="A996" s="113"/>
      <c r="B996" s="548">
        <v>23</v>
      </c>
      <c r="C996" s="6" t="s">
        <v>73</v>
      </c>
      <c r="D996" s="36" t="s">
        <v>98</v>
      </c>
      <c r="F996" s="114">
        <v>700</v>
      </c>
      <c r="O996" s="115"/>
      <c r="P996" s="36">
        <v>1</v>
      </c>
      <c r="R996" s="116">
        <f>SUMIF($H$13:$H$952,$F996,R$13:R$952)+Elec_Rates!R377</f>
        <v>0</v>
      </c>
      <c r="S996" s="117"/>
      <c r="T996" s="116">
        <f>SUMIF($H$13:$H$952,$F996,T$13:T$952)+Elec_Rates!T377</f>
        <v>0</v>
      </c>
    </row>
    <row r="997" spans="1:20">
      <c r="A997" s="113"/>
      <c r="B997" s="548">
        <v>24</v>
      </c>
      <c r="C997" s="6" t="s">
        <v>73</v>
      </c>
      <c r="D997" s="36" t="s">
        <v>99</v>
      </c>
      <c r="F997" s="114">
        <v>705</v>
      </c>
      <c r="O997" s="115"/>
      <c r="P997" s="36">
        <v>3</v>
      </c>
      <c r="R997" s="116">
        <f ca="1">SUMIF($H$13:$H$952,$F997,R$13:R$952)+Elec_Rates!R378</f>
        <v>56.59</v>
      </c>
      <c r="S997" s="117"/>
      <c r="T997" s="116">
        <f ca="1">SUMIF($H$13:$H$952,$F997,T$13:T$952)+Elec_Rates!T378</f>
        <v>1.5620000000000001</v>
      </c>
    </row>
    <row r="998" spans="1:20">
      <c r="A998" s="113"/>
      <c r="B998" s="548">
        <v>25</v>
      </c>
      <c r="C998" s="6" t="s">
        <v>73</v>
      </c>
      <c r="D998" s="36" t="s">
        <v>100</v>
      </c>
      <c r="F998" s="114">
        <v>706</v>
      </c>
      <c r="O998" s="115"/>
      <c r="P998" s="36">
        <v>3</v>
      </c>
      <c r="R998" s="116">
        <f>SUMIF($H$13:$H$952,$F998,R$13:R$952)+Elec_Rates!R379</f>
        <v>0</v>
      </c>
      <c r="S998" s="117"/>
      <c r="T998" s="116">
        <f>SUMIF($H$13:$H$952,$F998,T$13:T$952)+Elec_Rates!T379</f>
        <v>0</v>
      </c>
    </row>
    <row r="999" spans="1:20">
      <c r="A999" s="113"/>
      <c r="B999" s="548">
        <v>26</v>
      </c>
      <c r="C999" s="6" t="s">
        <v>73</v>
      </c>
      <c r="D999" s="36" t="s">
        <v>101</v>
      </c>
      <c r="F999" s="114">
        <v>725</v>
      </c>
      <c r="O999" s="115"/>
      <c r="P999" s="36">
        <v>3</v>
      </c>
      <c r="R999" s="116">
        <f>SUMIF($H$13:$H$952,$F999,R$13:R$952)+Elec_Rates!R380</f>
        <v>0</v>
      </c>
      <c r="S999" s="117"/>
      <c r="T999" s="116">
        <f>SUMIF($H$13:$H$952,$F999,T$13:T$952)+Elec_Rates!T380</f>
        <v>0</v>
      </c>
    </row>
    <row r="1000" spans="1:20">
      <c r="A1000" s="113"/>
      <c r="B1000" s="548">
        <v>27</v>
      </c>
      <c r="C1000" s="6" t="s">
        <v>73</v>
      </c>
      <c r="D1000" s="36" t="s">
        <v>102</v>
      </c>
      <c r="F1000" s="114">
        <v>726</v>
      </c>
      <c r="O1000" s="115"/>
      <c r="P1000" s="36">
        <v>3</v>
      </c>
      <c r="R1000" s="116">
        <f>SUMIF($H$13:$H$952,$F1000,R$13:R$952)+Elec_Rates!R381</f>
        <v>0</v>
      </c>
      <c r="S1000" s="117"/>
      <c r="T1000" s="116">
        <f>SUMIF($H$13:$H$952,$F1000,T$13:T$952)+Elec_Rates!T381</f>
        <v>0</v>
      </c>
    </row>
    <row r="1001" spans="1:20">
      <c r="A1001" s="113"/>
      <c r="B1001" s="548">
        <v>28</v>
      </c>
      <c r="C1001" s="6" t="s">
        <v>73</v>
      </c>
      <c r="D1001" s="36" t="s">
        <v>103</v>
      </c>
      <c r="F1001" s="114">
        <v>750</v>
      </c>
      <c r="O1001" s="115"/>
      <c r="P1001" s="36">
        <v>3</v>
      </c>
      <c r="R1001" s="116">
        <f>SUMIF($H$13:$H$952,$F1001,R$13:R$952)+Elec_Rates!R382</f>
        <v>0</v>
      </c>
      <c r="S1001" s="117"/>
      <c r="T1001" s="116">
        <f>SUMIF($H$13:$H$952,$F1001,T$13:T$952)+Elec_Rates!T382</f>
        <v>0</v>
      </c>
    </row>
    <row r="1002" spans="1:20">
      <c r="A1002" s="113"/>
      <c r="B1002" s="548">
        <v>29</v>
      </c>
      <c r="C1002" s="6" t="s">
        <v>73</v>
      </c>
      <c r="D1002" s="36" t="s">
        <v>104</v>
      </c>
      <c r="F1002" s="114">
        <v>751</v>
      </c>
      <c r="O1002" s="115"/>
      <c r="P1002" s="36">
        <v>3</v>
      </c>
      <c r="R1002" s="116">
        <f>SUMIF($H$13:$H$952,$F1002,R$13:R$952)+Elec_Rates!R383</f>
        <v>0</v>
      </c>
      <c r="S1002" s="117"/>
      <c r="T1002" s="116">
        <f>SUMIF($H$13:$H$952,$F1002,T$13:T$952)+Elec_Rates!T383</f>
        <v>0</v>
      </c>
    </row>
    <row r="1003" spans="1:20">
      <c r="A1003" s="113"/>
      <c r="B1003" s="548">
        <v>30</v>
      </c>
      <c r="C1003" s="6" t="s">
        <v>73</v>
      </c>
      <c r="D1003" s="36" t="s">
        <v>105</v>
      </c>
      <c r="F1003" s="114">
        <v>752</v>
      </c>
      <c r="O1003" s="115"/>
      <c r="P1003" s="36">
        <v>3</v>
      </c>
      <c r="R1003" s="116">
        <f>SUMIF($H$13:$H$952,$F1003,R$13:R$952)+Elec_Rates!R384</f>
        <v>0</v>
      </c>
      <c r="S1003" s="117"/>
      <c r="T1003" s="116">
        <f>SUMIF($H$13:$H$952,$F1003,T$13:T$952)+Elec_Rates!T384</f>
        <v>0</v>
      </c>
    </row>
    <row r="1004" spans="1:20">
      <c r="A1004" s="113"/>
      <c r="B1004" s="548">
        <v>31</v>
      </c>
      <c r="C1004" s="6" t="s">
        <v>73</v>
      </c>
      <c r="D1004" s="618" t="s">
        <v>294</v>
      </c>
      <c r="F1004" s="114">
        <v>753</v>
      </c>
      <c r="O1004" s="115"/>
      <c r="P1004" s="36">
        <v>3</v>
      </c>
      <c r="R1004" s="116">
        <f>SUMIF($H$13:$H$952,$F1004,R$13:R$952)+Elec_Rates!R385</f>
        <v>0</v>
      </c>
      <c r="S1004" s="117"/>
      <c r="T1004" s="116">
        <f>SUMIF($H$13:$H$952,$F1004,T$13:T$952)+Elec_Rates!T385</f>
        <v>0</v>
      </c>
    </row>
    <row r="1005" spans="1:20">
      <c r="A1005" s="113"/>
      <c r="B1005" s="548">
        <v>32</v>
      </c>
      <c r="C1005" s="6" t="s">
        <v>73</v>
      </c>
      <c r="D1005" s="36" t="s">
        <v>107</v>
      </c>
      <c r="F1005" s="114">
        <v>770</v>
      </c>
      <c r="O1005" s="115"/>
      <c r="P1005" s="36">
        <v>3</v>
      </c>
      <c r="R1005" s="116">
        <f>SUMIF($H$13:$H$952,$F1005,R$13:R$952)+Elec_Rates!R386</f>
        <v>0</v>
      </c>
      <c r="S1005" s="117"/>
      <c r="T1005" s="116">
        <f>SUMIF($H$13:$H$952,$F1005,T$13:T$952)+Elec_Rates!T386</f>
        <v>0</v>
      </c>
    </row>
    <row r="1006" spans="1:20">
      <c r="A1006" s="113"/>
      <c r="B1006" s="548">
        <v>33</v>
      </c>
      <c r="C1006" s="6" t="s">
        <v>73</v>
      </c>
      <c r="D1006" s="36" t="s">
        <v>108</v>
      </c>
      <c r="F1006" s="114">
        <v>790</v>
      </c>
      <c r="O1006" s="115"/>
      <c r="P1006" s="36">
        <v>3</v>
      </c>
      <c r="R1006" s="116">
        <f>SUMIF($H$13:$H$952,$F1006,R$13:R$952)+Elec_Rates!R387</f>
        <v>0</v>
      </c>
      <c r="S1006" s="117"/>
      <c r="T1006" s="116">
        <f>SUMIF($H$13:$H$952,$F1006,T$13:T$952)+Elec_Rates!T387</f>
        <v>0</v>
      </c>
    </row>
    <row r="1007" spans="1:20">
      <c r="A1007" s="113"/>
      <c r="B1007" s="548">
        <v>34</v>
      </c>
      <c r="C1007" s="6" t="s">
        <v>73</v>
      </c>
      <c r="D1007" s="36" t="s">
        <v>109</v>
      </c>
      <c r="F1007" s="114">
        <v>791</v>
      </c>
      <c r="O1007" s="115"/>
      <c r="P1007" s="36">
        <v>3</v>
      </c>
      <c r="R1007" s="116">
        <f>SUMIF($H$13:$H$952,$F1007,R$13:R$952)+Elec_Rates!R388</f>
        <v>0</v>
      </c>
      <c r="S1007" s="117"/>
      <c r="T1007" s="116">
        <f>SUMIF($H$13:$H$952,$F1007,T$13:T$952)+Elec_Rates!T388</f>
        <v>0</v>
      </c>
    </row>
    <row r="1008" spans="1:20">
      <c r="A1008" s="113"/>
      <c r="B1008" s="548">
        <v>35</v>
      </c>
      <c r="C1008" s="6" t="s">
        <v>73</v>
      </c>
      <c r="D1008" s="36" t="s">
        <v>110</v>
      </c>
      <c r="F1008" s="114">
        <v>810</v>
      </c>
      <c r="O1008" s="115"/>
      <c r="P1008" s="36">
        <v>3</v>
      </c>
      <c r="R1008" s="116">
        <f>SUMIF($H$13:$H$952,$F1008,R$13:R$952)+Elec_Rates!R389</f>
        <v>0</v>
      </c>
      <c r="S1008" s="117"/>
      <c r="T1008" s="116">
        <f>SUMIF($H$13:$H$952,$F1008,T$13:T$952)+Elec_Rates!T389</f>
        <v>0</v>
      </c>
    </row>
    <row r="1009" spans="1:20">
      <c r="A1009" s="113"/>
      <c r="B1009" s="548">
        <v>36</v>
      </c>
      <c r="C1009" s="6" t="s">
        <v>73</v>
      </c>
      <c r="D1009" s="36" t="s">
        <v>111</v>
      </c>
      <c r="F1009" s="114">
        <v>815</v>
      </c>
      <c r="O1009" s="115"/>
      <c r="P1009" s="36">
        <v>3</v>
      </c>
      <c r="R1009" s="116">
        <f>SUMIF($H$13:$H$952,$F1009,R$13:R$952)+Elec_Rates!R390</f>
        <v>0</v>
      </c>
      <c r="S1009" s="117"/>
      <c r="T1009" s="116">
        <f>SUMIF($H$13:$H$952,$F1009,T$13:T$952)+Elec_Rates!T390</f>
        <v>0</v>
      </c>
    </row>
    <row r="1010" spans="1:20">
      <c r="A1010" s="113"/>
      <c r="B1010" s="548">
        <v>37</v>
      </c>
      <c r="C1010" s="6" t="s">
        <v>73</v>
      </c>
      <c r="D1010" s="36" t="s">
        <v>112</v>
      </c>
      <c r="F1010" s="114">
        <v>820</v>
      </c>
      <c r="O1010" s="115"/>
      <c r="P1010" s="36">
        <v>2</v>
      </c>
      <c r="R1010" s="116">
        <f>SUMIF($H$13:$H$952,$F1010,R$13:R$952)+Elec_Rates!R391</f>
        <v>0</v>
      </c>
      <c r="S1010" s="117"/>
      <c r="T1010" s="116">
        <f>SUMIF($H$13:$H$952,$F1010,T$13:T$952)+Elec_Rates!T391</f>
        <v>0</v>
      </c>
    </row>
    <row r="1011" spans="1:20">
      <c r="A1011" s="113"/>
      <c r="B1011" s="548">
        <v>38</v>
      </c>
      <c r="C1011" s="6" t="s">
        <v>73</v>
      </c>
      <c r="D1011" s="36" t="s">
        <v>113</v>
      </c>
      <c r="F1011" s="114">
        <v>821</v>
      </c>
      <c r="O1011" s="115"/>
      <c r="P1011" s="36">
        <v>3</v>
      </c>
      <c r="R1011" s="116">
        <f ca="1">SUMIF($H$13:$H$952,$F1011,R$13:R$952)+Elec_Rates!R392</f>
        <v>25</v>
      </c>
      <c r="S1011" s="117"/>
      <c r="T1011" s="116">
        <f ca="1">SUMIF($H$13:$H$952,$F1011,T$13:T$952)+Elec_Rates!T392</f>
        <v>4.1800000000000006</v>
      </c>
    </row>
    <row r="1012" spans="1:20">
      <c r="A1012" s="113"/>
      <c r="B1012" s="548">
        <v>39</v>
      </c>
      <c r="C1012" s="6" t="s">
        <v>73</v>
      </c>
      <c r="D1012" s="36" t="s">
        <v>114</v>
      </c>
      <c r="F1012" s="114">
        <v>835</v>
      </c>
      <c r="O1012" s="115"/>
      <c r="P1012" s="36">
        <v>3</v>
      </c>
      <c r="R1012" s="116">
        <f ca="1">SUMIF($H$13:$H$952,$F1012,R$13:R$952)+Elec_Rates!R393</f>
        <v>0</v>
      </c>
      <c r="S1012" s="117"/>
      <c r="T1012" s="116">
        <f ca="1">SUMIF($H$13:$H$952,$F1012,T$13:T$952)+Elec_Rates!T393</f>
        <v>0</v>
      </c>
    </row>
    <row r="1013" spans="1:20">
      <c r="A1013" s="113"/>
      <c r="B1013" s="548">
        <v>40</v>
      </c>
      <c r="C1013" s="6" t="s">
        <v>73</v>
      </c>
      <c r="D1013" s="36" t="s">
        <v>115</v>
      </c>
      <c r="F1013" s="114">
        <v>845</v>
      </c>
      <c r="O1013" s="115"/>
      <c r="P1013" s="36">
        <v>2</v>
      </c>
      <c r="R1013" s="116">
        <f>SUMIF($H$13:$H$952,$F1013,R$13:R$952)+Elec_Rates!R394</f>
        <v>0</v>
      </c>
      <c r="S1013" s="117"/>
      <c r="T1013" s="116">
        <f>SUMIF($H$13:$H$952,$F1013,T$13:T$952)+Elec_Rates!T394</f>
        <v>0</v>
      </c>
    </row>
    <row r="1014" spans="1:20">
      <c r="A1014" s="113"/>
      <c r="B1014" s="548">
        <v>41</v>
      </c>
      <c r="C1014" s="6" t="s">
        <v>73</v>
      </c>
      <c r="D1014" s="36" t="s">
        <v>117</v>
      </c>
      <c r="F1014" s="114">
        <v>855</v>
      </c>
      <c r="O1014" s="115"/>
      <c r="P1014" s="36">
        <v>3</v>
      </c>
      <c r="R1014" s="116">
        <f>SUMIF($H$13:$H$952,$F1014,R$13:R$952)+Elec_Rates!R395</f>
        <v>0</v>
      </c>
      <c r="S1014" s="117"/>
      <c r="T1014" s="116">
        <f>SUMIF($H$13:$H$952,$F1014,T$13:T$952)+Elec_Rates!T395</f>
        <v>0</v>
      </c>
    </row>
    <row r="1015" spans="1:20">
      <c r="A1015" s="113"/>
      <c r="B1015" s="548">
        <v>42</v>
      </c>
      <c r="C1015" s="6" t="s">
        <v>73</v>
      </c>
      <c r="D1015" s="36" t="s">
        <v>118</v>
      </c>
      <c r="F1015" s="114">
        <v>856</v>
      </c>
      <c r="O1015" s="115"/>
      <c r="P1015" s="36">
        <v>3</v>
      </c>
      <c r="R1015" s="116">
        <f>SUMIF($H$13:$H$952,$F1015,R$13:R$952)+Elec_Rates!R396</f>
        <v>0</v>
      </c>
      <c r="S1015" s="117"/>
      <c r="T1015" s="116">
        <f>SUMIF($H$13:$H$952,$F1015,T$13:T$952)+Elec_Rates!T396</f>
        <v>0</v>
      </c>
    </row>
    <row r="1016" spans="1:20">
      <c r="A1016" s="113"/>
      <c r="B1016" s="548">
        <v>43</v>
      </c>
      <c r="C1016" s="6" t="s">
        <v>73</v>
      </c>
      <c r="D1016" s="36" t="s">
        <v>274</v>
      </c>
      <c r="F1016" s="114">
        <v>857</v>
      </c>
      <c r="O1016" s="115"/>
      <c r="P1016" s="36">
        <v>3</v>
      </c>
      <c r="R1016" s="116">
        <f>SUMIF($H$13:$H$952,$F1016,R$13:R$952)+Elec_Rates!R397</f>
        <v>0</v>
      </c>
      <c r="S1016" s="117"/>
      <c r="T1016" s="116">
        <f>SUMIF($H$13:$H$952,$F1016,T$13:T$952)+Elec_Rates!T397</f>
        <v>0</v>
      </c>
    </row>
    <row r="1017" spans="1:20">
      <c r="A1017" s="113"/>
      <c r="B1017" s="548">
        <v>44</v>
      </c>
      <c r="C1017" s="6" t="s">
        <v>73</v>
      </c>
      <c r="D1017" s="36" t="s">
        <v>119</v>
      </c>
      <c r="F1017" s="114">
        <v>858</v>
      </c>
      <c r="O1017" s="115"/>
      <c r="P1017" s="36">
        <v>3</v>
      </c>
      <c r="R1017" s="116">
        <f>SUMIF($H$13:$H$952,$F1017,R$13:R$952)+Elec_Rates!R398</f>
        <v>0</v>
      </c>
      <c r="S1017" s="117"/>
      <c r="T1017" s="116">
        <f>SUMIF($H$13:$H$952,$F1017,T$13:T$952)+Elec_Rates!T398</f>
        <v>0</v>
      </c>
    </row>
    <row r="1018" spans="1:20">
      <c r="A1018" s="113"/>
      <c r="B1018" s="548">
        <v>45</v>
      </c>
      <c r="C1018" s="6" t="s">
        <v>73</v>
      </c>
      <c r="D1018" s="36" t="s">
        <v>120</v>
      </c>
      <c r="F1018" s="114">
        <v>865</v>
      </c>
      <c r="O1018" s="115"/>
      <c r="P1018" s="36">
        <v>3</v>
      </c>
      <c r="R1018" s="116">
        <f>SUMIF($H$13:$H$952,$F1018,R$13:R$952)+Elec_Rates!R399</f>
        <v>0</v>
      </c>
      <c r="S1018" s="117"/>
      <c r="T1018" s="116">
        <f>SUMIF($H$13:$H$952,$F1018,T$13:T$952)+Elec_Rates!T399</f>
        <v>0</v>
      </c>
    </row>
    <row r="1019" spans="1:20">
      <c r="A1019" s="113"/>
      <c r="B1019" s="548">
        <v>46</v>
      </c>
      <c r="C1019" s="6" t="s">
        <v>73</v>
      </c>
      <c r="D1019" s="36" t="s">
        <v>121</v>
      </c>
      <c r="F1019" s="114">
        <v>870</v>
      </c>
      <c r="O1019" s="115"/>
      <c r="P1019" s="36">
        <v>4</v>
      </c>
      <c r="R1019" s="116">
        <f>SUMIF($H$13:$H$952,$F1019,R$13:R$952)+Elec_Rates!R400</f>
        <v>0</v>
      </c>
      <c r="S1019" s="117"/>
      <c r="T1019" s="116">
        <f>SUMIF($H$13:$H$952,$F1019,T$13:T$952)+Elec_Rates!T400</f>
        <v>0</v>
      </c>
    </row>
    <row r="1020" spans="1:20">
      <c r="A1020" s="113"/>
      <c r="B1020" s="548">
        <v>47</v>
      </c>
      <c r="C1020" s="6" t="s">
        <v>73</v>
      </c>
      <c r="D1020" s="36" t="s">
        <v>122</v>
      </c>
      <c r="F1020" s="114">
        <v>875</v>
      </c>
      <c r="O1020" s="115"/>
      <c r="P1020" s="36">
        <v>1</v>
      </c>
      <c r="R1020" s="116">
        <f ca="1">SUMIF($H$13:$H$952,$F1020,R$13:R$952)+Elec_Rates!R401</f>
        <v>484.90999999999997</v>
      </c>
      <c r="S1020" s="117"/>
      <c r="T1020" s="116">
        <f ca="1">SUMIF($H$13:$H$952,$F1020,T$13:T$952)+Elec_Rates!T401</f>
        <v>1.1000000000000003</v>
      </c>
    </row>
    <row r="1021" spans="1:20">
      <c r="A1021" s="113"/>
      <c r="B1021" s="548">
        <v>48</v>
      </c>
      <c r="C1021" s="6" t="s">
        <v>73</v>
      </c>
      <c r="D1021" s="36" t="s">
        <v>123</v>
      </c>
      <c r="F1021" s="114">
        <v>880</v>
      </c>
      <c r="O1021" s="115"/>
      <c r="P1021" s="36">
        <v>3</v>
      </c>
      <c r="R1021" s="116">
        <f>SUMIF($H$13:$H$952,$F1021,R$13:R$952)+Elec_Rates!R402</f>
        <v>300</v>
      </c>
      <c r="S1021" s="117"/>
      <c r="T1021" s="116">
        <f>SUMIF($H$13:$H$952,$F1021,T$13:T$952)+Elec_Rates!T402</f>
        <v>79.2</v>
      </c>
    </row>
    <row r="1022" spans="1:20">
      <c r="A1022" s="113"/>
      <c r="B1022" s="548">
        <v>49</v>
      </c>
      <c r="C1022" s="6" t="s">
        <v>73</v>
      </c>
      <c r="D1022" s="36" t="s">
        <v>124</v>
      </c>
      <c r="F1022" s="114">
        <v>885</v>
      </c>
      <c r="O1022" s="115"/>
      <c r="P1022" s="36">
        <v>4</v>
      </c>
      <c r="R1022" s="116">
        <f>SUMIF($H$13:$H$952,$F1022,R$13:R$952)+Elec_Rates!R403</f>
        <v>0</v>
      </c>
      <c r="S1022" s="117"/>
      <c r="T1022" s="116">
        <f>SUMIF($H$13:$H$952,$F1022,T$13:T$952)+Elec_Rates!T403</f>
        <v>0</v>
      </c>
    </row>
    <row r="1023" spans="1:20">
      <c r="A1023" s="113"/>
      <c r="B1023" s="548">
        <v>50</v>
      </c>
      <c r="C1023" s="6" t="s">
        <v>73</v>
      </c>
      <c r="D1023" s="36" t="s">
        <v>68</v>
      </c>
      <c r="F1023" s="114">
        <v>900</v>
      </c>
      <c r="O1023" s="115"/>
      <c r="P1023" s="36">
        <v>3</v>
      </c>
      <c r="R1023" s="116">
        <f ca="1">SUMIF($H$13:$H$952,$F1023,R$13:R$952)+Elec_Rates!R404</f>
        <v>0</v>
      </c>
      <c r="S1023" s="117"/>
      <c r="T1023" s="116">
        <f ca="1">SUMIF($H$13:$H$952,$F1023,T$13:T$952)+Elec_Rates!T404</f>
        <v>235.40000000000003</v>
      </c>
    </row>
    <row r="1024" spans="1:20">
      <c r="A1024" s="113"/>
      <c r="B1024" s="548">
        <v>51</v>
      </c>
      <c r="C1024" s="6" t="s">
        <v>73</v>
      </c>
      <c r="D1024" s="36" t="s">
        <v>126</v>
      </c>
      <c r="F1024" s="114">
        <v>901</v>
      </c>
      <c r="O1024" s="115"/>
      <c r="P1024" s="36">
        <v>1</v>
      </c>
      <c r="R1024" s="116">
        <f>SUMIF($H$13:$H$952,$F1024,R$13:R$952)+Elec_Rates!R405</f>
        <v>0</v>
      </c>
      <c r="S1024" s="117"/>
      <c r="T1024" s="116">
        <f>SUMIF($H$13:$H$952,$F1024,T$13:T$952)+Elec_Rates!T405</f>
        <v>79</v>
      </c>
    </row>
    <row r="1025" spans="1:37">
      <c r="A1025" s="113"/>
      <c r="B1025" s="548">
        <v>52</v>
      </c>
      <c r="C1025" s="6" t="s">
        <v>73</v>
      </c>
      <c r="D1025" s="36" t="s">
        <v>127</v>
      </c>
      <c r="F1025" s="114">
        <v>902</v>
      </c>
      <c r="O1025" s="115"/>
      <c r="P1025" s="36">
        <v>3</v>
      </c>
      <c r="R1025" s="116">
        <f>SUMIF($H$13:$H$952,$F1025,R$13:R$952)+Elec_Rates!R406</f>
        <v>0</v>
      </c>
      <c r="S1025" s="117"/>
      <c r="T1025" s="116">
        <f>SUMIF($H$13:$H$952,$F1025,T$13:T$952)+Elec_Rates!T406</f>
        <v>0</v>
      </c>
    </row>
    <row r="1026" spans="1:37">
      <c r="A1026" s="113"/>
      <c r="B1026" s="548">
        <v>53</v>
      </c>
      <c r="C1026" s="6" t="s">
        <v>73</v>
      </c>
      <c r="D1026" s="118" t="s">
        <v>128</v>
      </c>
      <c r="F1026" s="114">
        <v>960</v>
      </c>
      <c r="O1026" s="115"/>
      <c r="P1026" s="36">
        <v>4</v>
      </c>
      <c r="R1026" s="116">
        <f>SUMIF($H$13:$H$952,$F1026,R$13:R$952)+Elec_Rates!R407</f>
        <v>185902.46999999991</v>
      </c>
      <c r="S1026" s="117"/>
      <c r="T1026" s="116">
        <f>SUMIF($H$13:$H$952,$F1026,T$13:T$952)+Elec_Rates!T407</f>
        <v>0</v>
      </c>
    </row>
    <row r="1027" spans="1:37">
      <c r="A1027" s="113"/>
      <c r="B1027" s="548">
        <v>54</v>
      </c>
      <c r="C1027" s="6" t="s">
        <v>73</v>
      </c>
      <c r="D1027" s="118" t="s">
        <v>129</v>
      </c>
      <c r="F1027" s="114">
        <v>961</v>
      </c>
      <c r="O1027" s="115"/>
      <c r="P1027" s="36">
        <v>3</v>
      </c>
      <c r="R1027" s="116">
        <f>SUMIF($H$13:$H$952,$F1027,R$13:R$952)+Elec_Rates!R408</f>
        <v>0</v>
      </c>
      <c r="S1027" s="117"/>
      <c r="T1027" s="116">
        <f>SUMIF($H$13:$H$952,$F1027,T$13:T$952)+Elec_Rates!T408</f>
        <v>0</v>
      </c>
    </row>
    <row r="1028" spans="1:37">
      <c r="A1028" s="113"/>
      <c r="B1028" s="548">
        <v>55</v>
      </c>
      <c r="C1028" s="6" t="s">
        <v>73</v>
      </c>
      <c r="D1028" s="118" t="s">
        <v>130</v>
      </c>
      <c r="F1028" s="114">
        <v>962</v>
      </c>
      <c r="O1028" s="115"/>
      <c r="P1028" s="36">
        <v>1</v>
      </c>
      <c r="R1028" s="116">
        <f>SUMIF($H$13:$H$952,$F1028,R$13:R$952)+Elec_Rates!R409</f>
        <v>500</v>
      </c>
      <c r="S1028" s="117"/>
      <c r="T1028" s="116">
        <f>SUMIF($H$13:$H$952,$F1028,T$13:T$952)+Elec_Rates!T409</f>
        <v>0</v>
      </c>
    </row>
    <row r="1029" spans="1:37">
      <c r="A1029" s="113"/>
      <c r="B1029" s="548">
        <v>56</v>
      </c>
      <c r="C1029" s="6" t="s">
        <v>73</v>
      </c>
      <c r="D1029" s="118" t="s">
        <v>131</v>
      </c>
      <c r="F1029" s="114">
        <v>970</v>
      </c>
      <c r="O1029" s="115"/>
      <c r="P1029" s="36">
        <v>4</v>
      </c>
      <c r="R1029" s="116">
        <f>SUMIF($H$13:$H$952,$F1029,R$13:R$952)+Elec_Rates!R410</f>
        <v>0</v>
      </c>
      <c r="S1029" s="117"/>
      <c r="T1029" s="116">
        <f>SUMIF($H$13:$H$952,$F1029,T$13:T$952)+Elec_Rates!T410</f>
        <v>0</v>
      </c>
    </row>
    <row r="1030" spans="1:37" ht="14.4" thickBot="1">
      <c r="A1030" s="119"/>
      <c r="B1030" s="120"/>
      <c r="C1030" s="121"/>
      <c r="D1030" s="122"/>
      <c r="E1030" s="123"/>
      <c r="F1030" s="124"/>
      <c r="G1030" s="123"/>
      <c r="H1030" s="123"/>
      <c r="I1030" s="123"/>
      <c r="J1030" s="123"/>
      <c r="K1030" s="123"/>
      <c r="L1030" s="123"/>
      <c r="M1030" s="123"/>
      <c r="N1030" s="123"/>
      <c r="O1030" s="125"/>
      <c r="P1030" s="123"/>
      <c r="Q1030" s="123"/>
      <c r="R1030" s="126"/>
      <c r="S1030" s="127"/>
      <c r="T1030" s="126"/>
      <c r="U1030" s="123"/>
      <c r="V1030" s="469"/>
      <c r="W1030" s="469"/>
      <c r="X1030" s="469"/>
      <c r="Y1030" s="469"/>
      <c r="Z1030" s="469"/>
      <c r="AA1030" s="469"/>
      <c r="AB1030" s="469"/>
      <c r="AC1030" s="123"/>
      <c r="AD1030" s="123"/>
      <c r="AE1030" s="123"/>
      <c r="AF1030" s="123"/>
      <c r="AG1030" s="123"/>
      <c r="AH1030" s="123"/>
      <c r="AI1030" s="123"/>
      <c r="AJ1030" s="123"/>
      <c r="AK1030" s="123"/>
    </row>
    <row r="1031" spans="1:37" ht="14.4" thickTop="1">
      <c r="A1031" s="113"/>
      <c r="B1031" s="128"/>
      <c r="C1031" s="6" t="s">
        <v>73</v>
      </c>
      <c r="D1031" s="129"/>
      <c r="F1031" s="130" t="s">
        <v>160</v>
      </c>
      <c r="G1031" s="131"/>
      <c r="H1031" s="36">
        <v>1</v>
      </c>
      <c r="O1031" s="115"/>
      <c r="R1031" s="116">
        <f ca="1">SUMIF($P974:$P1029,1,R974:R1029)</f>
        <v>21514.870045620439</v>
      </c>
      <c r="T1031" s="116">
        <f ca="1">SUMIF($P974:$P1029,1,T974:T1029)</f>
        <v>1301.8699999999999</v>
      </c>
    </row>
    <row r="1032" spans="1:37">
      <c r="A1032" s="113"/>
      <c r="B1032" s="128"/>
      <c r="C1032" s="6" t="s">
        <v>73</v>
      </c>
      <c r="D1032" s="129"/>
      <c r="F1032" s="130" t="s">
        <v>161</v>
      </c>
      <c r="G1032" s="131"/>
      <c r="H1032" s="36">
        <v>2</v>
      </c>
      <c r="O1032" s="115"/>
      <c r="R1032" s="116">
        <f ca="1">SUMIF($P974:$P1029,2,R974:R1029)</f>
        <v>46868.748852459015</v>
      </c>
      <c r="T1032" s="116">
        <f ca="1">SUMIF($P974:$P1029,2,T974:T1029)</f>
        <v>1377.098</v>
      </c>
    </row>
    <row r="1033" spans="1:37">
      <c r="A1033" s="113"/>
      <c r="B1033" s="128"/>
      <c r="C1033" s="6" t="s">
        <v>73</v>
      </c>
      <c r="D1033" s="129"/>
      <c r="F1033" s="130" t="s">
        <v>162</v>
      </c>
      <c r="G1033" s="131"/>
      <c r="H1033" s="36">
        <v>2</v>
      </c>
      <c r="O1033" s="115"/>
      <c r="R1033" s="116">
        <f ca="1">SUMIF($P974:$P1029,3,R974:R1029)</f>
        <v>381.59000000000003</v>
      </c>
      <c r="T1033" s="116">
        <f ca="1">SUMIF($P974:$P1029,3,T974:T1029)</f>
        <v>320.34200000000004</v>
      </c>
    </row>
    <row r="1034" spans="1:37">
      <c r="A1034" s="113"/>
      <c r="B1034" s="128"/>
      <c r="C1034" s="6" t="s">
        <v>73</v>
      </c>
      <c r="D1034" s="129"/>
      <c r="F1034" s="130" t="s">
        <v>163</v>
      </c>
      <c r="G1034" s="131"/>
      <c r="H1034" s="36">
        <v>3</v>
      </c>
      <c r="O1034" s="115"/>
      <c r="R1034" s="116">
        <f>SUMIF($P974:$P1029,4,R974:R1029)</f>
        <v>185902.46999999991</v>
      </c>
      <c r="T1034" s="116">
        <f>SUMIF($P974:$P1029,4,T974:T1029)</f>
        <v>0</v>
      </c>
    </row>
    <row r="1035" spans="1:37" ht="14.4" thickBot="1">
      <c r="A1035" s="119"/>
      <c r="B1035" s="132"/>
      <c r="C1035" s="121" t="s">
        <v>73</v>
      </c>
      <c r="D1035" s="133"/>
      <c r="E1035" s="123"/>
      <c r="F1035" s="134" t="s">
        <v>164</v>
      </c>
      <c r="G1035" s="135"/>
      <c r="H1035" s="136"/>
      <c r="I1035" s="136"/>
      <c r="J1035" s="136"/>
      <c r="K1035" s="136"/>
      <c r="L1035" s="136"/>
      <c r="M1035" s="136"/>
      <c r="N1035" s="136"/>
      <c r="O1035" s="137"/>
      <c r="P1035" s="136"/>
      <c r="Q1035" s="136"/>
      <c r="R1035" s="138">
        <f ca="1">SUM(R1031:R1034)</f>
        <v>254667.67889807938</v>
      </c>
      <c r="S1035" s="139"/>
      <c r="T1035" s="138">
        <f ca="1">SUM(T1031:T1034)</f>
        <v>2999.31</v>
      </c>
      <c r="U1035" s="123"/>
      <c r="V1035" s="469"/>
      <c r="W1035" s="469"/>
      <c r="X1035" s="469"/>
      <c r="Y1035" s="469"/>
      <c r="Z1035" s="469"/>
      <c r="AA1035" s="469"/>
      <c r="AB1035" s="469"/>
      <c r="AC1035" s="123"/>
      <c r="AD1035" s="123"/>
      <c r="AE1035" s="123"/>
      <c r="AF1035" s="123"/>
      <c r="AG1035" s="123"/>
      <c r="AH1035" s="123"/>
      <c r="AI1035" s="123"/>
      <c r="AJ1035" s="123"/>
      <c r="AK1035" s="123"/>
    </row>
    <row r="1036" spans="1:37" ht="14.4" thickTop="1">
      <c r="A1036" s="63"/>
      <c r="B1036" s="582" t="s">
        <v>190</v>
      </c>
      <c r="C1036" s="129" t="s">
        <v>190</v>
      </c>
      <c r="D1036" s="129"/>
      <c r="O1036" s="115"/>
    </row>
    <row r="1037" spans="1:37">
      <c r="A1037" s="583"/>
      <c r="O1037" s="115"/>
    </row>
    <row r="1038" spans="1:37">
      <c r="A1038" s="583"/>
      <c r="D1038" s="1222" t="s">
        <v>1330</v>
      </c>
      <c r="O1038" s="115"/>
    </row>
    <row r="1039" spans="1:37">
      <c r="A1039" s="583"/>
      <c r="B1039" s="584">
        <f t="shared" ref="B1039:B1045" ca="1" si="62">SUMIF($D$13:$D$952,D1039,$C$13:$C$952)</f>
        <v>202</v>
      </c>
      <c r="D1039" s="585" t="str">
        <f>Elec_Rates!$D$19</f>
        <v>004# BMS point  (Low level - Digital and Analogue) - Level 2</v>
      </c>
      <c r="O1039" s="115"/>
    </row>
    <row r="1040" spans="1:37">
      <c r="A1040" s="583"/>
      <c r="B1040" s="584">
        <f t="shared" ca="1" si="62"/>
        <v>72</v>
      </c>
      <c r="D1040" s="585" t="str">
        <f>Elec_Rates!$D$30</f>
        <v>005# BMS point  (High level Modbus RTU/BACnet) - Level 2</v>
      </c>
      <c r="O1040" s="115"/>
    </row>
    <row r="1041" spans="1:17">
      <c r="A1041" s="583"/>
      <c r="B1041" s="584">
        <f t="shared" ca="1" si="62"/>
        <v>80</v>
      </c>
      <c r="D1041" s="585" t="str">
        <f>Elec_Rates!$D$42</f>
        <v>004# BMS point  (Low level - Digital and Analogue) - Level 4</v>
      </c>
      <c r="O1041" s="115"/>
    </row>
    <row r="1042" spans="1:17">
      <c r="A1042" s="583"/>
      <c r="B1042" s="584">
        <f t="shared" ca="1" si="62"/>
        <v>20</v>
      </c>
      <c r="D1042" s="585" t="str">
        <f>Elec_Rates!$D$54</f>
        <v>004# Isolator Interlocks for equipment in level 2</v>
      </c>
      <c r="O1042" s="115"/>
    </row>
    <row r="1043" spans="1:17">
      <c r="A1043" s="583"/>
      <c r="B1043" s="584">
        <f t="shared" ca="1" si="62"/>
        <v>20</v>
      </c>
      <c r="D1043" s="585" t="str">
        <f>Elec_Rates!$D$66</f>
        <v>005# BMS point  (High level Modbus RTU/BACnet) - Level 4</v>
      </c>
      <c r="O1043" s="115"/>
    </row>
    <row r="1044" spans="1:17">
      <c r="A1044" s="583"/>
      <c r="B1044" s="584">
        <f t="shared" ca="1" si="62"/>
        <v>26</v>
      </c>
      <c r="D1044" s="585" t="str">
        <f>Elec_Rates!$D$78</f>
        <v>005# BMS point  (High level Modbus RTU/BACnet) - AHUS</v>
      </c>
      <c r="O1044" s="115"/>
    </row>
    <row r="1045" spans="1:17">
      <c r="A1045" s="583"/>
      <c r="B1045" s="584">
        <f t="shared" ca="1" si="62"/>
        <v>5</v>
      </c>
      <c r="D1045" s="585" t="str">
        <f>Elec_Rates!$D$90</f>
        <v>013# Data Point + BACnet IP</v>
      </c>
      <c r="O1045" s="115"/>
    </row>
    <row r="1046" spans="1:17">
      <c r="A1046" s="583"/>
      <c r="O1046" s="115"/>
    </row>
    <row r="1047" spans="1:17">
      <c r="A1047" s="583"/>
      <c r="O1047" s="115"/>
    </row>
    <row r="1048" spans="1:17">
      <c r="A1048" s="583"/>
      <c r="B1048" s="584">
        <f t="shared" ref="B1048:B1068" ca="1" si="63">SUMIF($D$13:$D$952,D1048,$C$13:$C$952)</f>
        <v>0</v>
      </c>
      <c r="C1048" s="118"/>
      <c r="D1048" s="585" t="str">
        <f>Elec_Rates!$D$106</f>
        <v>001# Lighting installation galvanised</v>
      </c>
      <c r="O1048" s="115"/>
      <c r="Q1048" s="33"/>
    </row>
    <row r="1049" spans="1:17">
      <c r="A1049" s="583"/>
      <c r="B1049" s="584">
        <f t="shared" ca="1" si="63"/>
        <v>0</v>
      </c>
      <c r="C1049" s="118"/>
      <c r="D1049" s="585" t="str">
        <f>Elec_Rates!D125</f>
        <v>001# Emergency lighting installation galvanised</v>
      </c>
      <c r="O1049" s="115"/>
      <c r="Q1049" s="33"/>
    </row>
    <row r="1050" spans="1:17">
      <c r="A1050" s="583"/>
      <c r="B1050" s="584">
        <f t="shared" ca="1" si="63"/>
        <v>0</v>
      </c>
      <c r="C1050" s="118"/>
      <c r="D1050" s="585" t="str">
        <f>Elec_Rates!$D$140</f>
        <v>002# Power points galvanised installation</v>
      </c>
      <c r="O1050" s="115"/>
    </row>
    <row r="1051" spans="1:17">
      <c r="A1051" s="583"/>
      <c r="B1051" s="584">
        <f t="shared" ca="1" si="63"/>
        <v>0</v>
      </c>
      <c r="C1051" s="118"/>
      <c r="D1051" s="585" t="str">
        <f>Elec_Rates!$D$151</f>
        <v>003# 16amp 5Pin Socket outlet</v>
      </c>
      <c r="O1051" s="115"/>
    </row>
    <row r="1052" spans="1:17">
      <c r="A1052" s="583"/>
      <c r="B1052" s="584">
        <f t="shared" ca="1" si="63"/>
        <v>0</v>
      </c>
      <c r="C1052" s="118"/>
      <c r="D1052" s="585" t="str">
        <f>Elec_Rates!$D$168</f>
        <v>004# 5core x 120sqmm FG16(0)M16 cable</v>
      </c>
      <c r="O1052" s="115"/>
    </row>
    <row r="1053" spans="1:17">
      <c r="A1053" s="583"/>
      <c r="B1053" s="584">
        <f t="shared" ca="1" si="63"/>
        <v>0</v>
      </c>
      <c r="C1053" s="118"/>
      <c r="D1053" s="585" t="str">
        <f>Elec_Rates!$D$179</f>
        <v>005# 4core x 120sqmm FG16(0)M16 cable</v>
      </c>
      <c r="O1053" s="115"/>
    </row>
    <row r="1054" spans="1:17">
      <c r="A1054" s="583"/>
      <c r="B1054" s="584">
        <f t="shared" ca="1" si="63"/>
        <v>0</v>
      </c>
      <c r="C1054" s="118"/>
      <c r="D1054" s="585" t="str">
        <f>Elec_Rates!$D$189</f>
        <v>006# 4core x 95sqmm FG16(0)M16 cable</v>
      </c>
      <c r="O1054" s="115"/>
    </row>
    <row r="1055" spans="1:17">
      <c r="A1055" s="583"/>
      <c r="B1055" s="584">
        <f t="shared" ca="1" si="63"/>
        <v>0</v>
      </c>
      <c r="C1055" s="118"/>
      <c r="D1055" s="585" t="str">
        <f>Elec_Rates!$D$199</f>
        <v>007# 5core x 70sqmm FG16(0)M16 cable</v>
      </c>
      <c r="O1055" s="115"/>
    </row>
    <row r="1056" spans="1:17">
      <c r="A1056" s="583"/>
      <c r="B1056" s="584">
        <f t="shared" ca="1" si="63"/>
        <v>0</v>
      </c>
      <c r="C1056" s="118"/>
      <c r="D1056" s="585" t="str">
        <f>Elec_Rates!$D$210</f>
        <v>008# 5core x 50sqmm FG16(0)M16 cable</v>
      </c>
      <c r="O1056" s="115"/>
    </row>
    <row r="1057" spans="1:37">
      <c r="A1057" s="583"/>
      <c r="B1057" s="584">
        <f t="shared" ca="1" si="63"/>
        <v>0</v>
      </c>
      <c r="C1057" s="118"/>
      <c r="D1057" s="585" t="str">
        <f>Elec_Rates!$D$220</f>
        <v>009# 5core x 35sqmm FG16(0)M16 cable</v>
      </c>
      <c r="O1057" s="115"/>
    </row>
    <row r="1058" spans="1:37">
      <c r="A1058" s="583"/>
      <c r="B1058" s="584">
        <f t="shared" ca="1" si="63"/>
        <v>0</v>
      </c>
      <c r="C1058" s="118"/>
      <c r="D1058" s="585" t="str">
        <f>Elec_Rates!$D$230</f>
        <v>010# 5core x 10sqmm XLPE/LSZH/SWA/LSZH cable</v>
      </c>
      <c r="O1058" s="115"/>
    </row>
    <row r="1059" spans="1:37">
      <c r="A1059" s="583"/>
      <c r="B1059" s="584">
        <f t="shared" ca="1" si="63"/>
        <v>0</v>
      </c>
      <c r="C1059" s="118"/>
      <c r="D1059" s="585" t="str">
        <f>Elec_Rates!$D$240</f>
        <v>011# 4core x 4.0 mm2 XLPE/SWA/LSZH/Cu</v>
      </c>
      <c r="O1059" s="115"/>
    </row>
    <row r="1060" spans="1:37">
      <c r="A1060" s="583"/>
      <c r="B1060" s="584">
        <f t="shared" ca="1" si="63"/>
        <v>0</v>
      </c>
      <c r="C1060" s="118"/>
      <c r="D1060" s="585" t="str">
        <f>Elec_Rates!$D$250</f>
        <v>012# Light fitting Type A - Installation Only</v>
      </c>
      <c r="O1060" s="115"/>
    </row>
    <row r="1061" spans="1:37">
      <c r="A1061" s="583"/>
      <c r="B1061" s="584">
        <f t="shared" ca="1" si="63"/>
        <v>0</v>
      </c>
      <c r="C1061" s="118"/>
      <c r="D1061" s="585" t="str">
        <f>Elec_Rates!$D$258</f>
        <v>013# Light fitting Type E4 - Installation Only</v>
      </c>
      <c r="O1061" s="115"/>
    </row>
    <row r="1062" spans="1:37">
      <c r="A1062" s="583"/>
      <c r="B1062" s="584">
        <f t="shared" ca="1" si="63"/>
        <v>0</v>
      </c>
      <c r="C1062" s="118"/>
      <c r="D1062" s="585" t="str">
        <f>Elec_Rates!$D$266</f>
        <v>014# 50mm galvanised steel cable tray</v>
      </c>
      <c r="O1062" s="115"/>
    </row>
    <row r="1063" spans="1:37">
      <c r="A1063" s="583"/>
      <c r="B1063" s="584">
        <f t="shared" ca="1" si="63"/>
        <v>0</v>
      </c>
      <c r="C1063" s="118"/>
      <c r="D1063" s="585" t="str">
        <f>Elec_Rates!$D$277</f>
        <v>015# 200mm galvanised steel cable tray</v>
      </c>
      <c r="O1063" s="115"/>
    </row>
    <row r="1064" spans="1:37">
      <c r="A1064" s="583"/>
      <c r="B1064" s="584">
        <f t="shared" ca="1" si="63"/>
        <v>50</v>
      </c>
      <c r="C1064" s="118"/>
      <c r="D1064" s="585" t="str">
        <f>Elec_Rates!$D$288</f>
        <v>016# 250mm galvanised steel cable tray</v>
      </c>
      <c r="O1064" s="115"/>
    </row>
    <row r="1065" spans="1:37">
      <c r="A1065" s="583"/>
      <c r="B1065" s="584">
        <f t="shared" ca="1" si="63"/>
        <v>0</v>
      </c>
      <c r="C1065" s="118"/>
      <c r="D1065" s="585" t="str">
        <f>Elec_Rates!D299</f>
        <v>017# 500mm galvanised steel cable tray</v>
      </c>
      <c r="O1065" s="115"/>
    </row>
    <row r="1066" spans="1:37">
      <c r="A1066" s="583"/>
      <c r="B1066" s="584">
        <f t="shared" ca="1" si="63"/>
        <v>0</v>
      </c>
      <c r="C1066" s="118"/>
      <c r="D1066" s="585" t="str">
        <f>Elec_Rates!D310</f>
        <v>025# Bracket for 50mm cable tray</v>
      </c>
      <c r="O1066" s="115"/>
    </row>
    <row r="1067" spans="1:37">
      <c r="A1067" s="583"/>
      <c r="B1067" s="584">
        <f t="shared" ca="1" si="63"/>
        <v>100</v>
      </c>
      <c r="C1067" s="118"/>
      <c r="D1067" s="585" t="str">
        <f>Elec_Rates!D321</f>
        <v>026# Bracket for 200-300mm cable tray</v>
      </c>
      <c r="O1067" s="115"/>
    </row>
    <row r="1068" spans="1:37">
      <c r="A1068" s="583"/>
      <c r="B1068" s="584">
        <f t="shared" ca="1" si="63"/>
        <v>0</v>
      </c>
      <c r="C1068" s="118"/>
      <c r="D1068" s="585" t="str">
        <f>Elec_Rates!D334</f>
        <v>027# Bracket for 400-600mm cable tray</v>
      </c>
      <c r="O1068" s="115"/>
    </row>
    <row r="1069" spans="1:37" ht="14.4" thickBot="1">
      <c r="A1069" s="586"/>
      <c r="B1069" s="123"/>
      <c r="C1069" s="123"/>
      <c r="D1069" s="123"/>
      <c r="E1069" s="123"/>
      <c r="F1069" s="123"/>
      <c r="G1069" s="123"/>
      <c r="H1069" s="123"/>
      <c r="I1069" s="123"/>
      <c r="J1069" s="123"/>
      <c r="K1069" s="123"/>
      <c r="L1069" s="123"/>
      <c r="M1069" s="123"/>
      <c r="N1069" s="123"/>
      <c r="O1069" s="125"/>
      <c r="P1069" s="123"/>
      <c r="Q1069" s="123"/>
      <c r="R1069" s="123"/>
      <c r="S1069" s="123"/>
      <c r="T1069" s="123"/>
      <c r="U1069" s="123"/>
      <c r="V1069" s="469"/>
      <c r="W1069" s="469"/>
      <c r="X1069" s="469"/>
      <c r="Y1069" s="469"/>
      <c r="Z1069" s="469"/>
      <c r="AA1069" s="469"/>
      <c r="AB1069" s="469"/>
      <c r="AC1069" s="123"/>
      <c r="AD1069" s="123"/>
      <c r="AE1069" s="123"/>
      <c r="AF1069" s="123"/>
      <c r="AG1069" s="123"/>
      <c r="AH1069" s="123"/>
      <c r="AI1069" s="123"/>
      <c r="AJ1069" s="123"/>
      <c r="AK1069" s="123"/>
    </row>
    <row r="1070" spans="1:37" ht="14.4" thickTop="1">
      <c r="A1070" s="369" t="s">
        <v>147</v>
      </c>
      <c r="B1070" s="4"/>
      <c r="C1070" s="4"/>
      <c r="D1070" s="4"/>
      <c r="E1070" s="4"/>
      <c r="F1070" s="2"/>
      <c r="G1070" s="33"/>
      <c r="H1070" s="33"/>
      <c r="I1070" s="33"/>
      <c r="J1070" s="33"/>
      <c r="K1070" s="33"/>
      <c r="L1070" s="4"/>
      <c r="M1070" s="4"/>
      <c r="N1070" s="4"/>
      <c r="O1070" s="4"/>
      <c r="P1070" s="4"/>
      <c r="Q1070" s="56"/>
      <c r="R1070" s="33"/>
      <c r="S1070" s="33"/>
      <c r="T1070" s="33"/>
    </row>
  </sheetData>
  <sheetProtection formatCells="0" formatColumns="0" formatRows="0" insertColumns="0" insertRows="0" insertHyperlinks="0" deleteColumns="0" deleteRows="0" sort="0" autoFilter="0" pivotTables="0"/>
  <mergeCells count="39">
    <mergeCell ref="D288:T288"/>
    <mergeCell ref="D34:T34"/>
    <mergeCell ref="D50:T50"/>
    <mergeCell ref="D870:T870"/>
    <mergeCell ref="D520:T520"/>
    <mergeCell ref="D738:T738"/>
    <mergeCell ref="D819:T819"/>
    <mergeCell ref="D851:T851"/>
    <mergeCell ref="D492:T492"/>
    <mergeCell ref="D60:T60"/>
    <mergeCell ref="D70:T70"/>
    <mergeCell ref="D90:T90"/>
    <mergeCell ref="D94:T94"/>
    <mergeCell ref="D116:T116"/>
    <mergeCell ref="D200:T200"/>
    <mergeCell ref="D256:T256"/>
    <mergeCell ref="D422:T422"/>
    <mergeCell ref="D428:T428"/>
    <mergeCell ref="D434:T434"/>
    <mergeCell ref="D446:T446"/>
    <mergeCell ref="D406:T406"/>
    <mergeCell ref="D400:T400"/>
    <mergeCell ref="D292:T292"/>
    <mergeCell ref="D298:T298"/>
    <mergeCell ref="D304:T304"/>
    <mergeCell ref="D310:T310"/>
    <mergeCell ref="D322:T322"/>
    <mergeCell ref="D316:T316"/>
    <mergeCell ref="D328:T328"/>
    <mergeCell ref="D334:T334"/>
    <mergeCell ref="D346:T346"/>
    <mergeCell ref="D352:T352"/>
    <mergeCell ref="D358:T358"/>
    <mergeCell ref="D364:T364"/>
    <mergeCell ref="D370:T370"/>
    <mergeCell ref="D376:T376"/>
    <mergeCell ref="D382:T382"/>
    <mergeCell ref="D388:T388"/>
    <mergeCell ref="D394:T394"/>
  </mergeCells>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8C96-46A7-4EFA-8EF3-E11BF7069B83}">
  <dimension ref="A1:G15"/>
  <sheetViews>
    <sheetView workbookViewId="0">
      <selection activeCell="C9" sqref="C9"/>
    </sheetView>
  </sheetViews>
  <sheetFormatPr defaultRowHeight="13.2"/>
  <cols>
    <col min="1" max="1" width="40.5546875" customWidth="1"/>
    <col min="2" max="2" width="22.33203125" customWidth="1"/>
    <col min="3" max="3" width="25.77734375" bestFit="1" customWidth="1"/>
  </cols>
  <sheetData>
    <row r="1" spans="1:7">
      <c r="A1" s="1335" t="s">
        <v>1432</v>
      </c>
    </row>
    <row r="3" spans="1:7">
      <c r="A3" s="612" t="s">
        <v>1434</v>
      </c>
      <c r="B3" s="1292">
        <v>392402.84999999992</v>
      </c>
      <c r="C3" s="1372" t="s">
        <v>1438</v>
      </c>
    </row>
    <row r="4" spans="1:7">
      <c r="A4" s="612" t="s">
        <v>1406</v>
      </c>
      <c r="B4" s="1292">
        <f>ML_Sum!R26</f>
        <v>185902.46999999991</v>
      </c>
      <c r="C4" s="1372"/>
    </row>
    <row r="5" spans="1:7">
      <c r="A5" s="612" t="s">
        <v>1407</v>
      </c>
      <c r="B5" s="1292">
        <f>B3-B4</f>
        <v>206500.38</v>
      </c>
      <c r="C5" s="1372"/>
    </row>
    <row r="6" spans="1:7">
      <c r="A6" s="612"/>
      <c r="B6" s="1292"/>
    </row>
    <row r="7" spans="1:7" s="1341" customFormat="1" ht="33" customHeight="1">
      <c r="A7" s="613" t="s">
        <v>1437</v>
      </c>
      <c r="B7" s="1339">
        <v>1792000.9200000002</v>
      </c>
      <c r="C7" s="1340" t="s">
        <v>1439</v>
      </c>
    </row>
    <row r="8" spans="1:7">
      <c r="A8" s="612" t="s">
        <v>1408</v>
      </c>
      <c r="B8" s="1292">
        <v>42092.251574000002</v>
      </c>
      <c r="C8" s="1336" t="s">
        <v>1433</v>
      </c>
      <c r="G8" s="1338"/>
    </row>
    <row r="9" spans="1:7">
      <c r="A9" s="612" t="s">
        <v>1409</v>
      </c>
      <c r="B9" s="1293">
        <f>B7-B8</f>
        <v>1749908.668426</v>
      </c>
      <c r="G9" s="1338"/>
    </row>
    <row r="13" spans="1:7">
      <c r="A13" s="612" t="s">
        <v>1410</v>
      </c>
      <c r="B13" s="1293">
        <f>B7-B4</f>
        <v>1606098.4500000002</v>
      </c>
    </row>
    <row r="14" spans="1:7">
      <c r="A14" s="612" t="s">
        <v>1408</v>
      </c>
      <c r="B14" s="1292">
        <v>42092.251574000009</v>
      </c>
    </row>
    <row r="15" spans="1:7">
      <c r="A15" s="863" t="s">
        <v>1411</v>
      </c>
      <c r="B15" s="1325">
        <f>B14/B13</f>
        <v>2.6207765516491222E-2</v>
      </c>
    </row>
  </sheetData>
  <mergeCells count="1">
    <mergeCell ref="C3:C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D7150-B5B1-4C7F-BAC2-D72F07CBE750}">
  <sheetPr>
    <tabColor rgb="FFFFC000"/>
    <pageSetUpPr fitToPage="1"/>
  </sheetPr>
  <dimension ref="A1:J159"/>
  <sheetViews>
    <sheetView topLeftCell="A30" zoomScaleNormal="100" workbookViewId="0">
      <selection activeCell="C58" sqref="C58"/>
    </sheetView>
  </sheetViews>
  <sheetFormatPr defaultColWidth="8.88671875" defaultRowHeight="13.2"/>
  <cols>
    <col min="1" max="1" width="31.33203125" style="1202" customWidth="1"/>
    <col min="2" max="2" width="20.5546875" style="1204" customWidth="1"/>
    <col min="3" max="3" width="20.5546875" style="1205" customWidth="1"/>
    <col min="4" max="6" width="18.6640625" style="1204" customWidth="1"/>
    <col min="7" max="16384" width="8.88671875" style="1202"/>
  </cols>
  <sheetData>
    <row r="1" spans="1:8">
      <c r="B1" s="1203" t="s">
        <v>307</v>
      </c>
      <c r="C1" s="1282" t="s">
        <v>1258</v>
      </c>
      <c r="D1" s="1203" t="s">
        <v>1259</v>
      </c>
      <c r="G1" s="1203" t="s">
        <v>1260</v>
      </c>
    </row>
    <row r="2" spans="1:8">
      <c r="B2" s="1203"/>
      <c r="C2" s="1373" t="s">
        <v>1261</v>
      </c>
      <c r="D2" s="1373"/>
      <c r="E2" s="1373" t="s">
        <v>297</v>
      </c>
      <c r="F2" s="1373"/>
    </row>
    <row r="3" spans="1:8">
      <c r="A3" s="1202" t="s">
        <v>1262</v>
      </c>
      <c r="B3" s="1204">
        <v>1</v>
      </c>
      <c r="C3" s="1205">
        <v>0</v>
      </c>
      <c r="D3" s="1204">
        <v>1</v>
      </c>
      <c r="E3" s="1204">
        <f>C3*B3</f>
        <v>0</v>
      </c>
      <c r="F3" s="1204">
        <f>D3*B3</f>
        <v>1</v>
      </c>
      <c r="G3" s="1204">
        <v>2</v>
      </c>
    </row>
    <row r="4" spans="1:8">
      <c r="A4" s="1202" t="s">
        <v>1263</v>
      </c>
      <c r="B4" s="1204">
        <v>1</v>
      </c>
      <c r="C4" s="1205">
        <v>0</v>
      </c>
      <c r="D4" s="1204">
        <v>1</v>
      </c>
      <c r="E4" s="1204">
        <f t="shared" ref="E4:E41" si="0">C4*B4</f>
        <v>0</v>
      </c>
      <c r="F4" s="1204">
        <f t="shared" ref="F4:F41" si="1">D4*B4</f>
        <v>1</v>
      </c>
      <c r="G4" s="1204">
        <v>2</v>
      </c>
    </row>
    <row r="5" spans="1:8">
      <c r="B5" s="1204">
        <v>4</v>
      </c>
      <c r="C5" s="1205">
        <v>0</v>
      </c>
      <c r="D5" s="1204">
        <v>1</v>
      </c>
      <c r="E5" s="1204">
        <f t="shared" si="0"/>
        <v>0</v>
      </c>
      <c r="F5" s="1204">
        <f t="shared" si="1"/>
        <v>4</v>
      </c>
      <c r="G5" s="1204">
        <v>2</v>
      </c>
    </row>
    <row r="6" spans="1:8">
      <c r="A6" s="1202" t="s">
        <v>1267</v>
      </c>
      <c r="B6" s="1204">
        <v>3</v>
      </c>
      <c r="C6" s="1205">
        <v>4</v>
      </c>
      <c r="D6" s="1204">
        <v>1</v>
      </c>
      <c r="E6" s="1204">
        <f t="shared" si="0"/>
        <v>12</v>
      </c>
      <c r="F6" s="1204">
        <f t="shared" si="1"/>
        <v>3</v>
      </c>
      <c r="G6" s="1204">
        <v>2</v>
      </c>
    </row>
    <row r="7" spans="1:8">
      <c r="A7" s="1202" t="s">
        <v>1268</v>
      </c>
      <c r="B7" s="1204">
        <v>2</v>
      </c>
      <c r="C7" s="1205">
        <v>3</v>
      </c>
      <c r="D7" s="1204">
        <v>0</v>
      </c>
      <c r="E7" s="1204">
        <f t="shared" si="0"/>
        <v>6</v>
      </c>
      <c r="F7" s="1204">
        <f t="shared" si="1"/>
        <v>0</v>
      </c>
      <c r="G7" s="1204">
        <v>2</v>
      </c>
    </row>
    <row r="8" spans="1:8">
      <c r="A8" s="1202" t="s">
        <v>1269</v>
      </c>
      <c r="B8" s="1204">
        <v>1</v>
      </c>
      <c r="C8" s="1205">
        <v>4</v>
      </c>
      <c r="D8" s="1204">
        <v>1</v>
      </c>
      <c r="E8" s="1204">
        <f t="shared" si="0"/>
        <v>4</v>
      </c>
      <c r="F8" s="1204">
        <f t="shared" si="1"/>
        <v>1</v>
      </c>
      <c r="G8" s="1204">
        <v>2</v>
      </c>
    </row>
    <row r="9" spans="1:8">
      <c r="A9" s="1202" t="s">
        <v>1270</v>
      </c>
      <c r="B9" s="1204">
        <v>26</v>
      </c>
      <c r="C9" s="1205">
        <v>0</v>
      </c>
      <c r="D9" s="1204">
        <v>1</v>
      </c>
      <c r="E9" s="1204">
        <f t="shared" si="0"/>
        <v>0</v>
      </c>
      <c r="F9" s="1204">
        <f t="shared" si="1"/>
        <v>26</v>
      </c>
      <c r="G9" s="1204">
        <v>4</v>
      </c>
    </row>
    <row r="10" spans="1:8">
      <c r="A10" s="1202" t="s">
        <v>1271</v>
      </c>
      <c r="B10" s="1204">
        <v>1</v>
      </c>
      <c r="C10" s="1205">
        <v>4</v>
      </c>
      <c r="D10" s="1204">
        <v>1</v>
      </c>
      <c r="E10" s="1204">
        <f t="shared" si="0"/>
        <v>4</v>
      </c>
      <c r="F10" s="1204">
        <f t="shared" si="1"/>
        <v>1</v>
      </c>
      <c r="G10" s="1204">
        <v>4</v>
      </c>
      <c r="H10" s="1202" t="s">
        <v>1332</v>
      </c>
    </row>
    <row r="11" spans="1:8">
      <c r="A11" s="1202" t="s">
        <v>1272</v>
      </c>
      <c r="B11" s="1204">
        <v>1</v>
      </c>
      <c r="C11" s="1205">
        <v>4</v>
      </c>
      <c r="D11" s="1204">
        <v>1</v>
      </c>
      <c r="E11" s="1204">
        <f t="shared" si="0"/>
        <v>4</v>
      </c>
      <c r="F11" s="1204">
        <f t="shared" si="1"/>
        <v>1</v>
      </c>
      <c r="G11" s="1204">
        <v>4</v>
      </c>
      <c r="H11" s="1202" t="s">
        <v>1332</v>
      </c>
    </row>
    <row r="12" spans="1:8">
      <c r="A12" s="1202" t="s">
        <v>1273</v>
      </c>
      <c r="B12" s="1204">
        <v>1</v>
      </c>
      <c r="C12" s="1205">
        <v>4</v>
      </c>
      <c r="D12" s="1204">
        <v>1</v>
      </c>
      <c r="E12" s="1204">
        <f t="shared" si="0"/>
        <v>4</v>
      </c>
      <c r="F12" s="1204">
        <f t="shared" si="1"/>
        <v>1</v>
      </c>
      <c r="G12" s="1204">
        <v>4</v>
      </c>
      <c r="H12" s="1202" t="s">
        <v>1332</v>
      </c>
    </row>
    <row r="13" spans="1:8">
      <c r="A13" s="1202" t="s">
        <v>1274</v>
      </c>
      <c r="B13" s="1204">
        <v>1</v>
      </c>
      <c r="C13" s="1205">
        <v>4</v>
      </c>
      <c r="D13" s="1204">
        <v>1</v>
      </c>
      <c r="E13" s="1204">
        <f t="shared" si="0"/>
        <v>4</v>
      </c>
      <c r="F13" s="1204">
        <f t="shared" si="1"/>
        <v>1</v>
      </c>
      <c r="G13" s="1204">
        <v>4</v>
      </c>
      <c r="H13" s="1202" t="s">
        <v>1332</v>
      </c>
    </row>
    <row r="14" spans="1:8">
      <c r="A14" s="1202" t="s">
        <v>1275</v>
      </c>
      <c r="B14" s="1204">
        <v>1</v>
      </c>
      <c r="C14" s="1205">
        <v>4</v>
      </c>
      <c r="D14" s="1204">
        <v>1</v>
      </c>
      <c r="E14" s="1204">
        <f t="shared" si="0"/>
        <v>4</v>
      </c>
      <c r="F14" s="1204">
        <f t="shared" si="1"/>
        <v>1</v>
      </c>
      <c r="G14" s="1204">
        <v>4</v>
      </c>
      <c r="H14" s="1202" t="s">
        <v>1332</v>
      </c>
    </row>
    <row r="15" spans="1:8">
      <c r="A15" s="1202" t="s">
        <v>1276</v>
      </c>
      <c r="B15" s="1204">
        <v>1</v>
      </c>
      <c r="C15" s="1205">
        <v>4</v>
      </c>
      <c r="D15" s="1204">
        <v>1</v>
      </c>
      <c r="E15" s="1204">
        <f t="shared" si="0"/>
        <v>4</v>
      </c>
      <c r="F15" s="1204">
        <f t="shared" si="1"/>
        <v>1</v>
      </c>
      <c r="G15" s="1204">
        <v>4</v>
      </c>
      <c r="H15" s="1202" t="s">
        <v>1332</v>
      </c>
    </row>
    <row r="16" spans="1:8">
      <c r="A16" s="1202" t="s">
        <v>1277</v>
      </c>
      <c r="B16" s="1204">
        <v>1</v>
      </c>
      <c r="C16" s="1205">
        <v>4</v>
      </c>
      <c r="D16" s="1204">
        <v>1</v>
      </c>
      <c r="E16" s="1204">
        <f t="shared" si="0"/>
        <v>4</v>
      </c>
      <c r="F16" s="1204">
        <f t="shared" si="1"/>
        <v>1</v>
      </c>
      <c r="G16" s="1204">
        <v>4</v>
      </c>
      <c r="H16" s="1202" t="s">
        <v>1332</v>
      </c>
    </row>
    <row r="17" spans="1:10">
      <c r="A17" s="1202" t="s">
        <v>1278</v>
      </c>
      <c r="B17" s="1204">
        <v>1</v>
      </c>
      <c r="C17" s="1205">
        <v>4</v>
      </c>
      <c r="D17" s="1204">
        <v>1</v>
      </c>
      <c r="E17" s="1204">
        <f t="shared" si="0"/>
        <v>4</v>
      </c>
      <c r="F17" s="1204">
        <f t="shared" si="1"/>
        <v>1</v>
      </c>
      <c r="G17" s="1204">
        <v>4</v>
      </c>
      <c r="H17" s="1202" t="s">
        <v>1332</v>
      </c>
    </row>
    <row r="18" spans="1:10">
      <c r="A18" s="1202" t="s">
        <v>1279</v>
      </c>
      <c r="B18" s="1204">
        <v>1</v>
      </c>
      <c r="C18" s="1205">
        <v>4</v>
      </c>
      <c r="D18" s="1204">
        <v>1</v>
      </c>
      <c r="E18" s="1204">
        <f t="shared" si="0"/>
        <v>4</v>
      </c>
      <c r="F18" s="1204">
        <f t="shared" si="1"/>
        <v>1</v>
      </c>
      <c r="G18" s="1204">
        <v>4</v>
      </c>
      <c r="H18" s="1202" t="s">
        <v>1332</v>
      </c>
    </row>
    <row r="19" spans="1:10">
      <c r="A19" s="1202" t="s">
        <v>1280</v>
      </c>
      <c r="B19" s="1204">
        <v>1</v>
      </c>
      <c r="C19" s="1205">
        <v>4</v>
      </c>
      <c r="D19" s="1204">
        <v>1</v>
      </c>
      <c r="E19" s="1204">
        <f t="shared" si="0"/>
        <v>4</v>
      </c>
      <c r="F19" s="1204">
        <f t="shared" si="1"/>
        <v>1</v>
      </c>
      <c r="G19" s="1204">
        <v>4</v>
      </c>
      <c r="H19" s="1202" t="s">
        <v>1332</v>
      </c>
    </row>
    <row r="20" spans="1:10">
      <c r="A20" s="1202" t="s">
        <v>1281</v>
      </c>
      <c r="B20" s="1204">
        <v>1</v>
      </c>
      <c r="C20" s="1205">
        <v>4</v>
      </c>
      <c r="D20" s="1204">
        <v>1</v>
      </c>
      <c r="E20" s="1204">
        <f t="shared" si="0"/>
        <v>4</v>
      </c>
      <c r="F20" s="1204">
        <f t="shared" si="1"/>
        <v>1</v>
      </c>
      <c r="G20" s="1204">
        <v>4</v>
      </c>
      <c r="H20" s="1202" t="s">
        <v>1332</v>
      </c>
    </row>
    <row r="21" spans="1:10">
      <c r="A21" s="1202" t="s">
        <v>1333</v>
      </c>
      <c r="B21" s="1204">
        <v>1</v>
      </c>
      <c r="C21" s="1205">
        <v>4</v>
      </c>
      <c r="D21" s="1204">
        <v>1</v>
      </c>
      <c r="E21" s="1204">
        <f t="shared" si="0"/>
        <v>4</v>
      </c>
      <c r="F21" s="1204">
        <f t="shared" si="1"/>
        <v>1</v>
      </c>
      <c r="G21" s="1204">
        <v>4</v>
      </c>
      <c r="H21" s="1202" t="s">
        <v>1332</v>
      </c>
    </row>
    <row r="22" spans="1:10">
      <c r="A22" s="1202" t="s">
        <v>1334</v>
      </c>
      <c r="B22" s="1204">
        <v>1</v>
      </c>
      <c r="C22" s="1205">
        <v>4</v>
      </c>
      <c r="D22" s="1204">
        <v>1</v>
      </c>
      <c r="E22" s="1204">
        <f t="shared" si="0"/>
        <v>4</v>
      </c>
      <c r="F22" s="1204">
        <f t="shared" si="1"/>
        <v>1</v>
      </c>
      <c r="G22" s="1204">
        <v>4</v>
      </c>
      <c r="H22" s="1202" t="s">
        <v>1332</v>
      </c>
    </row>
    <row r="23" spans="1:10">
      <c r="A23" s="1202" t="s">
        <v>1335</v>
      </c>
      <c r="B23" s="1204">
        <v>1</v>
      </c>
      <c r="C23" s="1205">
        <v>4</v>
      </c>
      <c r="D23" s="1204">
        <v>1</v>
      </c>
      <c r="E23" s="1204">
        <f t="shared" si="0"/>
        <v>4</v>
      </c>
      <c r="F23" s="1204">
        <f t="shared" si="1"/>
        <v>1</v>
      </c>
      <c r="G23" s="1204">
        <v>4</v>
      </c>
      <c r="H23" s="1202" t="s">
        <v>1332</v>
      </c>
    </row>
    <row r="24" spans="1:10">
      <c r="A24" s="1202" t="s">
        <v>1336</v>
      </c>
      <c r="B24" s="1204">
        <v>1</v>
      </c>
      <c r="C24" s="1205">
        <v>4</v>
      </c>
      <c r="D24" s="1204">
        <v>1</v>
      </c>
      <c r="E24" s="1204">
        <f t="shared" si="0"/>
        <v>4</v>
      </c>
      <c r="F24" s="1204">
        <f t="shared" si="1"/>
        <v>1</v>
      </c>
      <c r="G24" s="1204">
        <v>4</v>
      </c>
      <c r="H24" s="1202" t="s">
        <v>1332</v>
      </c>
    </row>
    <row r="25" spans="1:10">
      <c r="A25" s="1202" t="s">
        <v>1337</v>
      </c>
      <c r="B25" s="1204">
        <v>1</v>
      </c>
      <c r="C25" s="1205">
        <v>4</v>
      </c>
      <c r="D25" s="1204">
        <v>1</v>
      </c>
      <c r="E25" s="1204">
        <f t="shared" si="0"/>
        <v>4</v>
      </c>
      <c r="F25" s="1204">
        <f t="shared" si="1"/>
        <v>1</v>
      </c>
      <c r="G25" s="1204">
        <v>4</v>
      </c>
      <c r="H25" s="1202" t="s">
        <v>1332</v>
      </c>
    </row>
    <row r="26" spans="1:10">
      <c r="A26" s="1202" t="s">
        <v>1282</v>
      </c>
      <c r="B26" s="1204">
        <v>1</v>
      </c>
      <c r="C26" s="1205">
        <v>4</v>
      </c>
      <c r="D26" s="1204">
        <v>1</v>
      </c>
      <c r="E26" s="1204">
        <f t="shared" si="0"/>
        <v>4</v>
      </c>
      <c r="F26" s="1204">
        <f t="shared" si="1"/>
        <v>1</v>
      </c>
      <c r="G26" s="1204">
        <v>4</v>
      </c>
      <c r="H26" s="1202" t="s">
        <v>1332</v>
      </c>
    </row>
    <row r="27" spans="1:10">
      <c r="A27" s="1202" t="s">
        <v>1283</v>
      </c>
      <c r="B27" s="1204">
        <v>1</v>
      </c>
      <c r="C27" s="1205">
        <v>4</v>
      </c>
      <c r="D27" s="1204">
        <v>1</v>
      </c>
      <c r="E27" s="1204">
        <f t="shared" si="0"/>
        <v>4</v>
      </c>
      <c r="F27" s="1204">
        <f t="shared" si="1"/>
        <v>1</v>
      </c>
      <c r="G27" s="1204">
        <v>4</v>
      </c>
      <c r="H27" s="1202" t="s">
        <v>1332</v>
      </c>
    </row>
    <row r="28" spans="1:10">
      <c r="A28" s="1202" t="s">
        <v>1284</v>
      </c>
      <c r="B28" s="1204">
        <v>1</v>
      </c>
      <c r="C28" s="1205">
        <v>4</v>
      </c>
      <c r="D28" s="1204">
        <v>1</v>
      </c>
      <c r="E28" s="1204">
        <f t="shared" si="0"/>
        <v>4</v>
      </c>
      <c r="F28" s="1204">
        <f t="shared" si="1"/>
        <v>1</v>
      </c>
      <c r="G28" s="1204">
        <v>4</v>
      </c>
      <c r="H28" s="1202" t="s">
        <v>1332</v>
      </c>
    </row>
    <row r="29" spans="1:10">
      <c r="A29" s="1202" t="s">
        <v>1285</v>
      </c>
      <c r="B29" s="1204">
        <v>1</v>
      </c>
      <c r="C29" s="1205">
        <v>4</v>
      </c>
      <c r="D29" s="1204">
        <v>1</v>
      </c>
      <c r="E29" s="1204">
        <f t="shared" si="0"/>
        <v>4</v>
      </c>
      <c r="F29" s="1204">
        <f t="shared" si="1"/>
        <v>1</v>
      </c>
      <c r="G29" s="1204">
        <v>4</v>
      </c>
      <c r="H29" s="1202" t="s">
        <v>1332</v>
      </c>
    </row>
    <row r="30" spans="1:10">
      <c r="A30" s="1224" t="s">
        <v>1353</v>
      </c>
      <c r="B30" s="1225">
        <v>16</v>
      </c>
      <c r="C30" s="1283">
        <v>1</v>
      </c>
      <c r="D30" s="1225">
        <v>0</v>
      </c>
      <c r="E30" s="1225">
        <f t="shared" ref="E30:E37" si="2">C30*B30</f>
        <v>16</v>
      </c>
      <c r="F30" s="1225">
        <f t="shared" ref="F30:F37" si="3">D30*B30</f>
        <v>0</v>
      </c>
      <c r="G30" s="1225">
        <v>2</v>
      </c>
      <c r="H30" s="1224" t="s">
        <v>1354</v>
      </c>
      <c r="I30" s="1224"/>
      <c r="J30" s="1224"/>
    </row>
    <row r="31" spans="1:10">
      <c r="A31" s="1224" t="s">
        <v>1352</v>
      </c>
      <c r="B31" s="1225">
        <f>20-14</f>
        <v>6</v>
      </c>
      <c r="C31" s="1283">
        <v>1</v>
      </c>
      <c r="D31" s="1225">
        <v>0</v>
      </c>
      <c r="E31" s="1225">
        <f t="shared" si="2"/>
        <v>6</v>
      </c>
      <c r="F31" s="1225">
        <f t="shared" si="3"/>
        <v>0</v>
      </c>
      <c r="G31" s="1225">
        <v>2</v>
      </c>
      <c r="H31" s="1224" t="s">
        <v>1354</v>
      </c>
      <c r="I31" s="1224"/>
      <c r="J31" s="1224"/>
    </row>
    <row r="32" spans="1:10">
      <c r="A32" s="1224" t="s">
        <v>1376</v>
      </c>
      <c r="B32" s="1225">
        <v>14</v>
      </c>
      <c r="C32" s="1283">
        <v>1</v>
      </c>
      <c r="D32" s="1225">
        <v>0</v>
      </c>
      <c r="E32" s="1225">
        <f t="shared" ref="E32" si="4">C32*B32</f>
        <v>14</v>
      </c>
      <c r="F32" s="1225">
        <f t="shared" ref="F32" si="5">D32*B32</f>
        <v>0</v>
      </c>
      <c r="G32" s="1225">
        <v>2</v>
      </c>
      <c r="H32" s="1224" t="s">
        <v>1354</v>
      </c>
      <c r="I32" s="1224"/>
      <c r="J32" s="1224"/>
    </row>
    <row r="33" spans="1:10">
      <c r="A33" s="1224" t="s">
        <v>1356</v>
      </c>
      <c r="B33" s="1225">
        <v>3</v>
      </c>
      <c r="C33" s="1283">
        <v>2</v>
      </c>
      <c r="D33" s="1225">
        <v>0</v>
      </c>
      <c r="E33" s="1225">
        <f t="shared" si="2"/>
        <v>6</v>
      </c>
      <c r="F33" s="1225">
        <f t="shared" si="3"/>
        <v>0</v>
      </c>
      <c r="G33" s="1225">
        <v>2</v>
      </c>
      <c r="H33" s="1224" t="s">
        <v>1354</v>
      </c>
      <c r="I33" s="1224"/>
      <c r="J33" s="1224"/>
    </row>
    <row r="34" spans="1:10">
      <c r="A34" s="1224" t="s">
        <v>1264</v>
      </c>
      <c r="B34" s="1225">
        <v>6</v>
      </c>
      <c r="C34" s="1283">
        <v>1</v>
      </c>
      <c r="D34" s="1225">
        <v>1</v>
      </c>
      <c r="E34" s="1225">
        <f>C34*B34</f>
        <v>6</v>
      </c>
      <c r="F34" s="1225">
        <f>D34*B34</f>
        <v>6</v>
      </c>
      <c r="G34" s="1225">
        <v>2</v>
      </c>
      <c r="H34" s="1224" t="s">
        <v>1354</v>
      </c>
      <c r="I34" s="1224"/>
      <c r="J34" s="1224"/>
    </row>
    <row r="35" spans="1:10">
      <c r="A35" s="1208" t="s">
        <v>1353</v>
      </c>
      <c r="B35" s="1209">
        <v>3</v>
      </c>
      <c r="C35" s="1284">
        <v>1</v>
      </c>
      <c r="D35" s="1209">
        <v>0</v>
      </c>
      <c r="E35" s="1209">
        <f t="shared" si="2"/>
        <v>3</v>
      </c>
      <c r="F35" s="1209">
        <f t="shared" si="3"/>
        <v>0</v>
      </c>
      <c r="G35" s="1209">
        <v>2</v>
      </c>
      <c r="H35" s="1208" t="s">
        <v>1355</v>
      </c>
      <c r="I35" s="1208"/>
    </row>
    <row r="36" spans="1:10">
      <c r="A36" s="1208" t="s">
        <v>1352</v>
      </c>
      <c r="B36" s="1209">
        <f>5-2</f>
        <v>3</v>
      </c>
      <c r="C36" s="1284">
        <v>1</v>
      </c>
      <c r="D36" s="1209">
        <v>0</v>
      </c>
      <c r="E36" s="1209">
        <f t="shared" si="2"/>
        <v>3</v>
      </c>
      <c r="F36" s="1209">
        <f t="shared" si="3"/>
        <v>0</v>
      </c>
      <c r="G36" s="1209">
        <v>2</v>
      </c>
      <c r="H36" s="1208" t="s">
        <v>1355</v>
      </c>
      <c r="I36" s="1208"/>
    </row>
    <row r="37" spans="1:10">
      <c r="A37" s="1208" t="s">
        <v>1264</v>
      </c>
      <c r="B37" s="1209">
        <v>1</v>
      </c>
      <c r="C37" s="1284">
        <v>1</v>
      </c>
      <c r="D37" s="1209">
        <v>1</v>
      </c>
      <c r="E37" s="1209">
        <f t="shared" si="2"/>
        <v>1</v>
      </c>
      <c r="F37" s="1209">
        <f t="shared" si="3"/>
        <v>1</v>
      </c>
      <c r="G37" s="1209">
        <v>2</v>
      </c>
      <c r="H37" s="1208" t="s">
        <v>1355</v>
      </c>
      <c r="I37" s="1208"/>
    </row>
    <row r="38" spans="1:10">
      <c r="A38" s="1208" t="s">
        <v>1376</v>
      </c>
      <c r="B38" s="1209">
        <v>2</v>
      </c>
      <c r="C38" s="1284">
        <v>1</v>
      </c>
      <c r="D38" s="1209">
        <v>0</v>
      </c>
      <c r="E38" s="1209">
        <f t="shared" ref="E38" si="6">C38*B38</f>
        <v>2</v>
      </c>
      <c r="F38" s="1209">
        <f t="shared" ref="F38" si="7">D38*B38</f>
        <v>0</v>
      </c>
      <c r="G38" s="1209">
        <v>2</v>
      </c>
      <c r="H38" s="1208" t="s">
        <v>1355</v>
      </c>
      <c r="I38" s="1208"/>
    </row>
    <row r="39" spans="1:10">
      <c r="A39" s="1202" t="s">
        <v>1286</v>
      </c>
      <c r="B39" s="1204">
        <v>1</v>
      </c>
      <c r="C39" s="1205">
        <v>4</v>
      </c>
      <c r="D39" s="1204">
        <v>1</v>
      </c>
      <c r="E39" s="1204">
        <f t="shared" si="0"/>
        <v>4</v>
      </c>
      <c r="F39" s="1204">
        <f t="shared" si="1"/>
        <v>1</v>
      </c>
      <c r="G39" s="1204">
        <v>2</v>
      </c>
    </row>
    <row r="40" spans="1:10">
      <c r="A40" s="1202" t="s">
        <v>1287</v>
      </c>
      <c r="B40" s="1204">
        <v>1</v>
      </c>
      <c r="C40" s="1205">
        <v>4</v>
      </c>
      <c r="D40" s="1204">
        <v>1</v>
      </c>
      <c r="E40" s="1204">
        <f t="shared" si="0"/>
        <v>4</v>
      </c>
      <c r="F40" s="1204">
        <f t="shared" si="1"/>
        <v>1</v>
      </c>
      <c r="G40" s="1204">
        <v>2</v>
      </c>
    </row>
    <row r="41" spans="1:10">
      <c r="A41" s="1202" t="s">
        <v>1288</v>
      </c>
      <c r="B41" s="1204">
        <v>1</v>
      </c>
      <c r="C41" s="1205">
        <v>4</v>
      </c>
      <c r="D41" s="1204">
        <v>1</v>
      </c>
      <c r="E41" s="1204">
        <f t="shared" si="0"/>
        <v>4</v>
      </c>
      <c r="F41" s="1204">
        <f t="shared" si="1"/>
        <v>1</v>
      </c>
      <c r="G41" s="1204">
        <v>2</v>
      </c>
    </row>
    <row r="42" spans="1:10">
      <c r="A42" s="1202" t="s">
        <v>1402</v>
      </c>
      <c r="B42" s="1204">
        <v>1</v>
      </c>
      <c r="C42" s="1205">
        <v>7</v>
      </c>
      <c r="D42" s="1204">
        <v>1</v>
      </c>
      <c r="E42" s="1204">
        <f t="shared" ref="E42" si="8">C42*B42</f>
        <v>7</v>
      </c>
      <c r="F42" s="1204">
        <f t="shared" ref="F42" si="9">D42*B42</f>
        <v>1</v>
      </c>
      <c r="G42" s="1204">
        <v>2</v>
      </c>
    </row>
    <row r="43" spans="1:10">
      <c r="A43" s="1202" t="s">
        <v>1392</v>
      </c>
      <c r="B43" s="1204">
        <v>12</v>
      </c>
      <c r="C43" s="1205">
        <v>2</v>
      </c>
      <c r="D43" s="1204">
        <v>2</v>
      </c>
      <c r="E43" s="1204">
        <f t="shared" ref="E43" si="10">C43*B43</f>
        <v>24</v>
      </c>
      <c r="F43" s="1204">
        <f t="shared" ref="F43" si="11">D43*B43</f>
        <v>24</v>
      </c>
      <c r="G43" s="1204">
        <v>2</v>
      </c>
    </row>
    <row r="45" spans="1:10">
      <c r="G45" s="1204"/>
    </row>
    <row r="46" spans="1:10">
      <c r="G46" s="1204"/>
    </row>
    <row r="47" spans="1:10">
      <c r="G47" s="1204"/>
    </row>
    <row r="48" spans="1:10">
      <c r="E48" s="1204">
        <f>SUM(E3:E43)</f>
        <v>202</v>
      </c>
      <c r="F48" s="1204">
        <f>SUM(F3:F43)</f>
        <v>91</v>
      </c>
      <c r="G48" s="1204">
        <f>SUM(E48:F48)</f>
        <v>293</v>
      </c>
    </row>
    <row r="50" spans="1:8">
      <c r="E50" s="1203" t="s">
        <v>1258</v>
      </c>
      <c r="F50" s="1203" t="s">
        <v>1259</v>
      </c>
    </row>
    <row r="51" spans="1:8">
      <c r="D51" s="1204" t="s">
        <v>1289</v>
      </c>
      <c r="E51" s="1204">
        <f>SUMIF(G3:G43,2,E3:E43)</f>
        <v>122</v>
      </c>
      <c r="F51" s="1204">
        <f>SUMIF(G3:G43,2,F3:F43)</f>
        <v>45</v>
      </c>
    </row>
    <row r="52" spans="1:8">
      <c r="D52" s="1204" t="s">
        <v>1290</v>
      </c>
      <c r="E52" s="1204">
        <f>SUMIF(G3:G43,4,E3:E43)</f>
        <v>80</v>
      </c>
      <c r="F52" s="1204">
        <f>SUMIF(G3:G43,4,F3:F43)</f>
        <v>46</v>
      </c>
      <c r="G52" s="1204">
        <f>SUM(E51:F52)</f>
        <v>293</v>
      </c>
    </row>
    <row r="57" spans="1:8">
      <c r="A57" s="1223" t="s">
        <v>1351</v>
      </c>
      <c r="G57" s="1204"/>
    </row>
    <row r="58" spans="1:8">
      <c r="A58" s="1202" t="s">
        <v>1346</v>
      </c>
      <c r="B58" s="1204">
        <v>1</v>
      </c>
      <c r="C58" s="1205">
        <v>4</v>
      </c>
      <c r="D58" s="1204">
        <v>1</v>
      </c>
      <c r="E58" s="1204">
        <f t="shared" ref="E58:E79" si="12">C58*B58</f>
        <v>4</v>
      </c>
      <c r="F58" s="1204">
        <f t="shared" ref="F58:F79" si="13">D58*B58</f>
        <v>1</v>
      </c>
      <c r="G58" s="1204">
        <v>2</v>
      </c>
      <c r="H58" s="1202" t="s">
        <v>1331</v>
      </c>
    </row>
    <row r="59" spans="1:8">
      <c r="A59" s="1202" t="s">
        <v>1347</v>
      </c>
      <c r="B59" s="1204">
        <v>1</v>
      </c>
      <c r="C59" s="1205">
        <v>4</v>
      </c>
      <c r="D59" s="1204">
        <v>1</v>
      </c>
      <c r="E59" s="1204">
        <f t="shared" si="12"/>
        <v>4</v>
      </c>
      <c r="F59" s="1204">
        <f t="shared" si="13"/>
        <v>1</v>
      </c>
      <c r="G59" s="1204">
        <v>2</v>
      </c>
      <c r="H59" s="1202" t="s">
        <v>1331</v>
      </c>
    </row>
    <row r="60" spans="1:8">
      <c r="A60" s="1202" t="s">
        <v>1348</v>
      </c>
      <c r="B60" s="1204">
        <v>1</v>
      </c>
      <c r="C60" s="1205">
        <v>4</v>
      </c>
      <c r="D60" s="1204">
        <v>1</v>
      </c>
      <c r="E60" s="1204">
        <f t="shared" si="12"/>
        <v>4</v>
      </c>
      <c r="F60" s="1204">
        <f t="shared" si="13"/>
        <v>1</v>
      </c>
      <c r="G60" s="1204">
        <v>2</v>
      </c>
      <c r="H60" s="1202" t="s">
        <v>1331</v>
      </c>
    </row>
    <row r="61" spans="1:8">
      <c r="A61" s="1202" t="s">
        <v>1349</v>
      </c>
      <c r="B61" s="1204">
        <v>1</v>
      </c>
      <c r="C61" s="1205">
        <v>4</v>
      </c>
      <c r="D61" s="1204">
        <v>1</v>
      </c>
      <c r="E61" s="1204">
        <f t="shared" si="12"/>
        <v>4</v>
      </c>
      <c r="F61" s="1204">
        <f t="shared" si="13"/>
        <v>1</v>
      </c>
      <c r="G61" s="1204">
        <v>2</v>
      </c>
      <c r="H61" s="1202" t="s">
        <v>1331</v>
      </c>
    </row>
    <row r="62" spans="1:8">
      <c r="A62" s="1202" t="s">
        <v>1341</v>
      </c>
      <c r="B62" s="1204">
        <v>1</v>
      </c>
      <c r="C62" s="1205">
        <v>4</v>
      </c>
      <c r="D62" s="1204">
        <v>1</v>
      </c>
      <c r="E62" s="1204">
        <f t="shared" si="12"/>
        <v>4</v>
      </c>
      <c r="F62" s="1204">
        <f t="shared" si="13"/>
        <v>1</v>
      </c>
      <c r="G62" s="1204">
        <v>2</v>
      </c>
      <c r="H62" s="1202" t="s">
        <v>1331</v>
      </c>
    </row>
    <row r="63" spans="1:8">
      <c r="A63" s="1202" t="s">
        <v>1342</v>
      </c>
      <c r="B63" s="1204">
        <v>1</v>
      </c>
      <c r="C63" s="1205">
        <v>4</v>
      </c>
      <c r="D63" s="1204">
        <v>1</v>
      </c>
      <c r="E63" s="1204">
        <f t="shared" si="12"/>
        <v>4</v>
      </c>
      <c r="F63" s="1204">
        <f t="shared" si="13"/>
        <v>1</v>
      </c>
      <c r="G63" s="1204">
        <v>2</v>
      </c>
      <c r="H63" s="1202" t="s">
        <v>1331</v>
      </c>
    </row>
    <row r="64" spans="1:8">
      <c r="A64" s="1202" t="s">
        <v>1343</v>
      </c>
      <c r="B64" s="1204">
        <v>1</v>
      </c>
      <c r="C64" s="1205">
        <v>4</v>
      </c>
      <c r="D64" s="1204">
        <v>1</v>
      </c>
      <c r="E64" s="1204">
        <f t="shared" si="12"/>
        <v>4</v>
      </c>
      <c r="F64" s="1204">
        <f t="shared" si="13"/>
        <v>1</v>
      </c>
      <c r="G64" s="1204">
        <v>2</v>
      </c>
      <c r="H64" s="1202" t="s">
        <v>1331</v>
      </c>
    </row>
    <row r="65" spans="1:8">
      <c r="A65" s="1202" t="s">
        <v>1344</v>
      </c>
      <c r="B65" s="1204">
        <v>1</v>
      </c>
      <c r="C65" s="1205">
        <v>4</v>
      </c>
      <c r="D65" s="1204">
        <v>1</v>
      </c>
      <c r="E65" s="1204">
        <f t="shared" si="12"/>
        <v>4</v>
      </c>
      <c r="F65" s="1204">
        <f t="shared" si="13"/>
        <v>1</v>
      </c>
      <c r="G65" s="1204">
        <v>2</v>
      </c>
      <c r="H65" s="1202" t="s">
        <v>1331</v>
      </c>
    </row>
    <row r="66" spans="1:8">
      <c r="A66" s="1202" t="s">
        <v>1345</v>
      </c>
      <c r="B66" s="1204">
        <v>1</v>
      </c>
      <c r="C66" s="1205">
        <v>4</v>
      </c>
      <c r="D66" s="1204">
        <v>1</v>
      </c>
      <c r="E66" s="1204">
        <f t="shared" si="12"/>
        <v>4</v>
      </c>
      <c r="F66" s="1204">
        <f t="shared" si="13"/>
        <v>1</v>
      </c>
      <c r="G66" s="1204">
        <v>2</v>
      </c>
      <c r="H66" s="1202" t="s">
        <v>1331</v>
      </c>
    </row>
    <row r="67" spans="1:8">
      <c r="A67" s="1202" t="s">
        <v>1338</v>
      </c>
      <c r="B67" s="1204">
        <v>1</v>
      </c>
      <c r="C67" s="1205">
        <v>4</v>
      </c>
      <c r="D67" s="1204">
        <v>1</v>
      </c>
      <c r="E67" s="1204">
        <f t="shared" si="12"/>
        <v>4</v>
      </c>
      <c r="F67" s="1204">
        <f t="shared" si="13"/>
        <v>1</v>
      </c>
      <c r="G67" s="1204">
        <v>2</v>
      </c>
      <c r="H67" s="1202" t="s">
        <v>1331</v>
      </c>
    </row>
    <row r="68" spans="1:8">
      <c r="A68" s="1202" t="s">
        <v>1339</v>
      </c>
      <c r="B68" s="1204">
        <v>1</v>
      </c>
      <c r="C68" s="1205">
        <v>4</v>
      </c>
      <c r="D68" s="1204">
        <v>1</v>
      </c>
      <c r="E68" s="1204">
        <f t="shared" si="12"/>
        <v>4</v>
      </c>
      <c r="F68" s="1204">
        <f t="shared" si="13"/>
        <v>1</v>
      </c>
      <c r="G68" s="1204">
        <v>2</v>
      </c>
      <c r="H68" s="1202" t="s">
        <v>1331</v>
      </c>
    </row>
    <row r="69" spans="1:8">
      <c r="A69" s="1202" t="s">
        <v>1340</v>
      </c>
      <c r="B69" s="1204">
        <v>1</v>
      </c>
      <c r="C69" s="1205">
        <v>4</v>
      </c>
      <c r="D69" s="1204">
        <v>1</v>
      </c>
      <c r="E69" s="1204">
        <f t="shared" si="12"/>
        <v>4</v>
      </c>
      <c r="F69" s="1204">
        <f t="shared" si="13"/>
        <v>1</v>
      </c>
      <c r="G69" s="1204">
        <v>2</v>
      </c>
      <c r="H69" s="1202" t="s">
        <v>1331</v>
      </c>
    </row>
    <row r="70" spans="1:8">
      <c r="A70" s="1202" t="s">
        <v>1265</v>
      </c>
      <c r="B70" s="1204">
        <v>1</v>
      </c>
      <c r="C70" s="1205">
        <v>4</v>
      </c>
      <c r="D70" s="1204">
        <v>1</v>
      </c>
      <c r="E70" s="1204">
        <f t="shared" si="12"/>
        <v>4</v>
      </c>
      <c r="F70" s="1204">
        <f t="shared" si="13"/>
        <v>1</v>
      </c>
      <c r="G70" s="1204">
        <v>2</v>
      </c>
      <c r="H70" s="1202" t="s">
        <v>1331</v>
      </c>
    </row>
    <row r="71" spans="1:8">
      <c r="A71" s="1202" t="s">
        <v>1266</v>
      </c>
      <c r="B71" s="1204">
        <v>1</v>
      </c>
      <c r="C71" s="1205">
        <v>4</v>
      </c>
      <c r="D71" s="1204">
        <v>1</v>
      </c>
      <c r="E71" s="1204">
        <f t="shared" si="12"/>
        <v>4</v>
      </c>
      <c r="F71" s="1204">
        <f t="shared" si="13"/>
        <v>1</v>
      </c>
      <c r="G71" s="1204">
        <v>2</v>
      </c>
      <c r="H71" s="1202" t="s">
        <v>1331</v>
      </c>
    </row>
    <row r="72" spans="1:8">
      <c r="A72" s="1208" t="s">
        <v>1292</v>
      </c>
      <c r="B72" s="1209">
        <v>1</v>
      </c>
      <c r="C72" s="1284">
        <v>4</v>
      </c>
      <c r="D72" s="1209">
        <v>1</v>
      </c>
      <c r="E72" s="1209">
        <f t="shared" si="12"/>
        <v>4</v>
      </c>
      <c r="F72" s="1209">
        <f t="shared" si="13"/>
        <v>1</v>
      </c>
      <c r="G72" s="1209">
        <v>2</v>
      </c>
      <c r="H72" s="1202" t="s">
        <v>1331</v>
      </c>
    </row>
    <row r="73" spans="1:8">
      <c r="A73" s="1208" t="s">
        <v>1293</v>
      </c>
      <c r="B73" s="1209">
        <v>1</v>
      </c>
      <c r="C73" s="1284">
        <v>4</v>
      </c>
      <c r="D73" s="1209">
        <v>1</v>
      </c>
      <c r="E73" s="1209">
        <f t="shared" si="12"/>
        <v>4</v>
      </c>
      <c r="F73" s="1209">
        <f t="shared" si="13"/>
        <v>1</v>
      </c>
      <c r="G73" s="1209">
        <v>2</v>
      </c>
      <c r="H73" s="1202" t="s">
        <v>1331</v>
      </c>
    </row>
    <row r="74" spans="1:8">
      <c r="A74" s="1208" t="s">
        <v>1294</v>
      </c>
      <c r="B74" s="1209">
        <v>1</v>
      </c>
      <c r="C74" s="1284">
        <v>4</v>
      </c>
      <c r="D74" s="1209">
        <v>1</v>
      </c>
      <c r="E74" s="1209">
        <f t="shared" si="12"/>
        <v>4</v>
      </c>
      <c r="F74" s="1209">
        <f t="shared" si="13"/>
        <v>1</v>
      </c>
      <c r="G74" s="1209">
        <v>2</v>
      </c>
      <c r="H74" s="1202" t="s">
        <v>1331</v>
      </c>
    </row>
    <row r="75" spans="1:8">
      <c r="A75" s="1208" t="s">
        <v>1295</v>
      </c>
      <c r="B75" s="1209">
        <v>1</v>
      </c>
      <c r="C75" s="1284">
        <v>4</v>
      </c>
      <c r="D75" s="1209">
        <v>1</v>
      </c>
      <c r="E75" s="1209">
        <f t="shared" si="12"/>
        <v>4</v>
      </c>
      <c r="F75" s="1209">
        <f t="shared" si="13"/>
        <v>1</v>
      </c>
      <c r="G75" s="1209">
        <v>2</v>
      </c>
      <c r="H75" s="1202" t="s">
        <v>1331</v>
      </c>
    </row>
    <row r="76" spans="1:8">
      <c r="A76" s="1208" t="s">
        <v>1296</v>
      </c>
      <c r="B76" s="1209">
        <v>1</v>
      </c>
      <c r="C76" s="1284">
        <v>4</v>
      </c>
      <c r="D76" s="1209">
        <v>1</v>
      </c>
      <c r="E76" s="1209">
        <f t="shared" si="12"/>
        <v>4</v>
      </c>
      <c r="F76" s="1209">
        <f t="shared" si="13"/>
        <v>1</v>
      </c>
      <c r="G76" s="1209">
        <v>2</v>
      </c>
      <c r="H76" s="1202" t="s">
        <v>1331</v>
      </c>
    </row>
    <row r="77" spans="1:8">
      <c r="A77" s="1208" t="s">
        <v>1297</v>
      </c>
      <c r="B77" s="1209">
        <v>1</v>
      </c>
      <c r="C77" s="1284">
        <v>4</v>
      </c>
      <c r="D77" s="1209">
        <v>1</v>
      </c>
      <c r="E77" s="1209">
        <f t="shared" si="12"/>
        <v>4</v>
      </c>
      <c r="F77" s="1209">
        <f t="shared" si="13"/>
        <v>1</v>
      </c>
      <c r="G77" s="1209">
        <v>2</v>
      </c>
      <c r="H77" s="1202" t="s">
        <v>1331</v>
      </c>
    </row>
    <row r="78" spans="1:8">
      <c r="A78" s="1208" t="s">
        <v>1291</v>
      </c>
      <c r="B78" s="1209">
        <v>4</v>
      </c>
      <c r="C78" s="1284">
        <v>0</v>
      </c>
      <c r="D78" s="1209">
        <v>1</v>
      </c>
      <c r="E78" s="1209">
        <f t="shared" si="12"/>
        <v>0</v>
      </c>
      <c r="F78" s="1209">
        <f t="shared" si="13"/>
        <v>4</v>
      </c>
      <c r="G78" s="1209">
        <v>2</v>
      </c>
      <c r="H78" s="1202" t="s">
        <v>1331</v>
      </c>
    </row>
    <row r="79" spans="1:8">
      <c r="A79" s="1208" t="s">
        <v>1065</v>
      </c>
      <c r="B79" s="1209">
        <v>3</v>
      </c>
      <c r="C79" s="1284">
        <v>0</v>
      </c>
      <c r="D79" s="1209">
        <v>1</v>
      </c>
      <c r="E79" s="1209">
        <f t="shared" si="12"/>
        <v>0</v>
      </c>
      <c r="F79" s="1209">
        <f t="shared" si="13"/>
        <v>3</v>
      </c>
      <c r="G79" s="1209">
        <v>2</v>
      </c>
      <c r="H79" s="1202" t="s">
        <v>1331</v>
      </c>
    </row>
    <row r="82" spans="1:10">
      <c r="G82" s="1204"/>
    </row>
    <row r="83" spans="1:10">
      <c r="E83" s="1204">
        <f>SUM(E58:E79)</f>
        <v>80</v>
      </c>
      <c r="F83" s="1204">
        <f>SUM(F58:F79)</f>
        <v>27</v>
      </c>
      <c r="G83" s="1204">
        <f>SUM(E83:F83)</f>
        <v>107</v>
      </c>
    </row>
    <row r="85" spans="1:10">
      <c r="E85" s="1203" t="s">
        <v>1258</v>
      </c>
      <c r="F85" s="1203" t="s">
        <v>1259</v>
      </c>
    </row>
    <row r="86" spans="1:10">
      <c r="D86" s="1204" t="s">
        <v>1289</v>
      </c>
      <c r="E86" s="1204">
        <f>SUMIF(G58:G79,2,E58:E79)</f>
        <v>80</v>
      </c>
      <c r="F86" s="1204">
        <f>SUMIF(G58:G79,2,F58:F79)</f>
        <v>27</v>
      </c>
    </row>
    <row r="87" spans="1:10">
      <c r="D87" s="1204" t="s">
        <v>1290</v>
      </c>
      <c r="E87" s="1204">
        <f>SUMIF(G58:G79,4,E58:E79)</f>
        <v>0</v>
      </c>
      <c r="F87" s="1204">
        <f>SUMIF(G58:G79,4,F58:F79)</f>
        <v>0</v>
      </c>
      <c r="G87" s="1204">
        <f>SUM(E86:F87)</f>
        <v>107</v>
      </c>
    </row>
    <row r="89" spans="1:10">
      <c r="A89" s="1226"/>
      <c r="B89" s="1227"/>
      <c r="C89" s="1285"/>
      <c r="D89" s="1227"/>
      <c r="E89" s="1227"/>
      <c r="F89" s="1227"/>
      <c r="G89" s="1226"/>
      <c r="H89" s="1226"/>
      <c r="I89" s="1226"/>
      <c r="J89" s="1226"/>
    </row>
    <row r="93" spans="1:10">
      <c r="A93" s="1287" t="s">
        <v>1393</v>
      </c>
      <c r="B93" s="1282" t="s">
        <v>1394</v>
      </c>
      <c r="C93" s="1282" t="s">
        <v>1395</v>
      </c>
      <c r="D93" s="1206"/>
      <c r="E93" s="1374"/>
      <c r="F93" s="1206"/>
    </row>
    <row r="94" spans="1:10">
      <c r="A94" s="1280" t="s">
        <v>1381</v>
      </c>
      <c r="B94" s="1205">
        <v>22</v>
      </c>
      <c r="C94" s="1205">
        <f>B30+B35</f>
        <v>19</v>
      </c>
      <c r="D94" s="1206"/>
      <c r="E94" s="1374"/>
      <c r="F94" s="1206"/>
    </row>
    <row r="95" spans="1:10">
      <c r="A95" s="1202" t="s">
        <v>1396</v>
      </c>
      <c r="B95" s="1204">
        <v>7</v>
      </c>
      <c r="C95" s="1205">
        <f>B34+B37</f>
        <v>7</v>
      </c>
      <c r="D95" s="1207"/>
      <c r="E95" s="1205"/>
      <c r="F95" s="1205"/>
    </row>
    <row r="96" spans="1:10">
      <c r="A96" s="1281" t="s">
        <v>1397</v>
      </c>
      <c r="B96" s="1205">
        <v>6</v>
      </c>
      <c r="C96" s="1205">
        <f>B31+B36</f>
        <v>9</v>
      </c>
      <c r="D96" s="1207"/>
      <c r="E96" s="1205"/>
      <c r="F96" s="1205"/>
    </row>
    <row r="97" spans="1:6">
      <c r="A97" s="1281" t="s">
        <v>1398</v>
      </c>
      <c r="B97" s="1205">
        <f>9+6</f>
        <v>15</v>
      </c>
      <c r="C97" s="1205">
        <f>B33+B43</f>
        <v>15</v>
      </c>
      <c r="D97" s="1207"/>
      <c r="E97" s="1205"/>
      <c r="F97" s="1205"/>
    </row>
    <row r="98" spans="1:6">
      <c r="A98" s="1205"/>
      <c r="B98" s="1205"/>
      <c r="D98" s="1207"/>
      <c r="E98" s="1205"/>
      <c r="F98" s="1205"/>
    </row>
    <row r="99" spans="1:6">
      <c r="A99" s="1205"/>
      <c r="B99" s="1205"/>
      <c r="D99" s="1205"/>
      <c r="E99" s="1205"/>
      <c r="F99" s="1205"/>
    </row>
    <row r="100" spans="1:6">
      <c r="A100" s="1205"/>
      <c r="B100" s="1205"/>
      <c r="D100" s="1205"/>
      <c r="E100" s="1205"/>
      <c r="F100" s="1205"/>
    </row>
    <row r="101" spans="1:6">
      <c r="A101" s="1205"/>
      <c r="B101" s="1205"/>
      <c r="D101" s="1205"/>
      <c r="E101" s="1205"/>
      <c r="F101" s="1205"/>
    </row>
    <row r="102" spans="1:6">
      <c r="A102" s="1205"/>
      <c r="B102" s="1205"/>
      <c r="D102" s="1205"/>
      <c r="E102" s="1205"/>
      <c r="F102" s="1205"/>
    </row>
    <row r="103" spans="1:6">
      <c r="A103" s="1205"/>
      <c r="B103" s="1205"/>
      <c r="D103" s="1205"/>
      <c r="E103" s="1205"/>
      <c r="F103" s="1205"/>
    </row>
    <row r="104" spans="1:6">
      <c r="A104" s="1205"/>
      <c r="B104" s="1205"/>
      <c r="D104" s="1205"/>
      <c r="E104" s="1205"/>
      <c r="F104" s="1207"/>
    </row>
    <row r="105" spans="1:6">
      <c r="A105" s="1205"/>
      <c r="B105" s="1205"/>
      <c r="D105" s="1205"/>
      <c r="E105" s="1205"/>
      <c r="F105" s="1205"/>
    </row>
    <row r="106" spans="1:6">
      <c r="A106" s="1205"/>
      <c r="B106" s="1205"/>
      <c r="D106" s="1205"/>
      <c r="E106" s="1205"/>
      <c r="F106" s="1205"/>
    </row>
    <row r="107" spans="1:6">
      <c r="A107" s="1205"/>
      <c r="B107" s="1205"/>
      <c r="D107" s="1205"/>
      <c r="E107" s="1205"/>
      <c r="F107" s="1205"/>
    </row>
    <row r="108" spans="1:6">
      <c r="A108" s="1205"/>
      <c r="B108" s="1205"/>
      <c r="D108" s="1205"/>
      <c r="E108" s="1205"/>
      <c r="F108" s="1205"/>
    </row>
    <row r="109" spans="1:6">
      <c r="A109" s="1205"/>
      <c r="B109" s="1205"/>
      <c r="D109" s="1205"/>
      <c r="E109" s="1205"/>
      <c r="F109" s="1205"/>
    </row>
    <row r="110" spans="1:6">
      <c r="A110" s="1205"/>
      <c r="B110" s="1205"/>
      <c r="D110" s="1205"/>
      <c r="E110" s="1205"/>
      <c r="F110" s="1205"/>
    </row>
    <row r="111" spans="1:6">
      <c r="A111" s="1205"/>
      <c r="B111" s="1205"/>
      <c r="D111" s="1205"/>
      <c r="E111" s="1205"/>
      <c r="F111" s="1205"/>
    </row>
    <row r="112" spans="1:6">
      <c r="A112" s="1205"/>
      <c r="B112" s="1205"/>
      <c r="D112" s="1205"/>
      <c r="E112" s="1205"/>
      <c r="F112" s="1205"/>
    </row>
    <row r="113" spans="1:6">
      <c r="A113" s="1205"/>
      <c r="B113" s="1205"/>
      <c r="D113" s="1205"/>
      <c r="E113" s="1205"/>
      <c r="F113" s="1205"/>
    </row>
    <row r="114" spans="1:6">
      <c r="A114" s="1205"/>
      <c r="B114" s="1205"/>
      <c r="D114" s="1205"/>
      <c r="E114" s="1205"/>
      <c r="F114" s="1205"/>
    </row>
    <row r="115" spans="1:6">
      <c r="A115" s="1205"/>
      <c r="B115" s="1205"/>
      <c r="D115" s="1205"/>
      <c r="E115" s="1205"/>
      <c r="F115" s="1205"/>
    </row>
    <row r="116" spans="1:6">
      <c r="A116" s="1205"/>
      <c r="B116" s="1205"/>
      <c r="D116" s="1205"/>
      <c r="E116" s="1205"/>
      <c r="F116" s="1205"/>
    </row>
    <row r="117" spans="1:6">
      <c r="A117" s="1207"/>
      <c r="B117" s="1207"/>
      <c r="C117" s="1286"/>
      <c r="D117" s="1207"/>
      <c r="E117" s="1207"/>
      <c r="F117" s="1207"/>
    </row>
    <row r="118" spans="1:6">
      <c r="A118" s="1205"/>
      <c r="B118" s="1205"/>
      <c r="D118" s="1205"/>
      <c r="E118" s="1205"/>
      <c r="F118" s="1205"/>
    </row>
    <row r="119" spans="1:6">
      <c r="A119" s="1205"/>
      <c r="B119" s="1205"/>
      <c r="D119" s="1205"/>
      <c r="E119" s="1205"/>
      <c r="F119" s="1205"/>
    </row>
    <row r="120" spans="1:6">
      <c r="A120" s="1205"/>
      <c r="B120" s="1205"/>
      <c r="D120" s="1205"/>
      <c r="E120" s="1205"/>
      <c r="F120" s="1205"/>
    </row>
    <row r="121" spans="1:6">
      <c r="A121" s="1205"/>
      <c r="B121" s="1205"/>
      <c r="D121" s="1205"/>
      <c r="E121" s="1205"/>
      <c r="F121" s="1205"/>
    </row>
    <row r="122" spans="1:6">
      <c r="A122" s="1205"/>
      <c r="B122" s="1205"/>
      <c r="D122" s="1205"/>
      <c r="E122" s="1205"/>
      <c r="F122" s="1205"/>
    </row>
    <row r="123" spans="1:6">
      <c r="A123" s="1205"/>
      <c r="B123" s="1205"/>
      <c r="D123" s="1205"/>
      <c r="E123" s="1205"/>
      <c r="F123" s="1205"/>
    </row>
    <row r="124" spans="1:6">
      <c r="A124" s="1205"/>
      <c r="B124" s="1205"/>
      <c r="D124" s="1205"/>
      <c r="E124" s="1205"/>
      <c r="F124" s="1205"/>
    </row>
    <row r="125" spans="1:6">
      <c r="A125" s="1205"/>
      <c r="B125" s="1205"/>
      <c r="D125" s="1205"/>
      <c r="E125" s="1205"/>
      <c r="F125" s="1205"/>
    </row>
    <row r="126" spans="1:6">
      <c r="A126" s="1205"/>
      <c r="B126" s="1205"/>
      <c r="D126" s="1205"/>
      <c r="E126" s="1205"/>
      <c r="F126" s="1205"/>
    </row>
    <row r="127" spans="1:6">
      <c r="A127" s="1205"/>
      <c r="B127" s="1205"/>
      <c r="D127" s="1205"/>
      <c r="E127" s="1205"/>
      <c r="F127" s="1205"/>
    </row>
    <row r="128" spans="1:6">
      <c r="A128" s="1205"/>
      <c r="B128" s="1205"/>
      <c r="D128" s="1205"/>
      <c r="E128" s="1205"/>
      <c r="F128" s="1205"/>
    </row>
    <row r="129" spans="1:6">
      <c r="A129" s="1205"/>
      <c r="B129" s="1205"/>
      <c r="D129" s="1205"/>
      <c r="E129" s="1205"/>
      <c r="F129" s="1205"/>
    </row>
    <row r="130" spans="1:6">
      <c r="A130" s="1205"/>
      <c r="B130" s="1205"/>
      <c r="D130" s="1205"/>
      <c r="E130" s="1205"/>
      <c r="F130" s="1205"/>
    </row>
    <row r="131" spans="1:6">
      <c r="A131" s="1205"/>
      <c r="B131" s="1205"/>
      <c r="D131" s="1205"/>
      <c r="E131" s="1205"/>
      <c r="F131" s="1205"/>
    </row>
    <row r="132" spans="1:6">
      <c r="A132" s="1205"/>
      <c r="B132" s="1205"/>
      <c r="D132" s="1205"/>
      <c r="E132" s="1205"/>
      <c r="F132" s="1205"/>
    </row>
    <row r="133" spans="1:6">
      <c r="A133" s="1205"/>
      <c r="B133" s="1205"/>
      <c r="D133" s="1205"/>
      <c r="E133" s="1205"/>
      <c r="F133" s="1205"/>
    </row>
    <row r="134" spans="1:6">
      <c r="A134" s="1205"/>
      <c r="B134" s="1205"/>
      <c r="D134" s="1205"/>
      <c r="E134" s="1205"/>
      <c r="F134" s="1205"/>
    </row>
    <row r="135" spans="1:6">
      <c r="A135" s="1205"/>
      <c r="B135" s="1205"/>
      <c r="D135" s="1205"/>
      <c r="E135" s="1205"/>
      <c r="F135" s="1205"/>
    </row>
    <row r="136" spans="1:6">
      <c r="A136" s="1205"/>
      <c r="B136" s="1205"/>
      <c r="D136" s="1205"/>
      <c r="E136" s="1205"/>
      <c r="F136" s="1205"/>
    </row>
    <row r="137" spans="1:6">
      <c r="A137" s="1205"/>
      <c r="B137" s="1205"/>
      <c r="D137" s="1205"/>
      <c r="E137" s="1205"/>
      <c r="F137" s="1205"/>
    </row>
    <row r="138" spans="1:6">
      <c r="A138" s="1205"/>
      <c r="B138" s="1205"/>
      <c r="D138" s="1205"/>
      <c r="E138" s="1205"/>
      <c r="F138" s="1207"/>
    </row>
    <row r="139" spans="1:6">
      <c r="A139" s="1205"/>
      <c r="B139" s="1205"/>
      <c r="D139" s="1205"/>
      <c r="E139" s="1205"/>
      <c r="F139" s="1205"/>
    </row>
    <row r="140" spans="1:6">
      <c r="A140" s="1205"/>
      <c r="B140" s="1205"/>
      <c r="D140" s="1205"/>
      <c r="E140" s="1205"/>
      <c r="F140" s="1205"/>
    </row>
    <row r="141" spans="1:6">
      <c r="A141" s="1205"/>
      <c r="B141" s="1205"/>
      <c r="D141" s="1205"/>
      <c r="E141" s="1205"/>
      <c r="F141" s="1205"/>
    </row>
    <row r="142" spans="1:6">
      <c r="A142" s="1205"/>
      <c r="B142" s="1205"/>
      <c r="D142" s="1205"/>
      <c r="E142" s="1205"/>
      <c r="F142" s="1205"/>
    </row>
    <row r="143" spans="1:6">
      <c r="A143" s="1205"/>
      <c r="B143" s="1205"/>
      <c r="D143" s="1205"/>
      <c r="E143" s="1205"/>
      <c r="F143" s="1205"/>
    </row>
    <row r="144" spans="1:6">
      <c r="A144" s="1205"/>
      <c r="B144" s="1205"/>
      <c r="D144" s="1205"/>
      <c r="E144" s="1205"/>
      <c r="F144" s="1205"/>
    </row>
    <row r="145" spans="1:6">
      <c r="A145" s="1205"/>
      <c r="B145" s="1205"/>
      <c r="D145" s="1205"/>
      <c r="E145" s="1205"/>
      <c r="F145" s="1205"/>
    </row>
    <row r="146" spans="1:6">
      <c r="A146" s="1205"/>
      <c r="B146" s="1205"/>
      <c r="D146" s="1205"/>
      <c r="E146" s="1205"/>
      <c r="F146" s="1205"/>
    </row>
    <row r="147" spans="1:6">
      <c r="A147" s="1205"/>
      <c r="B147" s="1205"/>
      <c r="D147" s="1205"/>
      <c r="E147" s="1205"/>
      <c r="F147" s="1205"/>
    </row>
    <row r="148" spans="1:6">
      <c r="A148" s="1205"/>
      <c r="B148" s="1205"/>
      <c r="D148" s="1205"/>
      <c r="E148" s="1205"/>
      <c r="F148" s="1205"/>
    </row>
    <row r="149" spans="1:6">
      <c r="A149" s="1205"/>
      <c r="B149" s="1205"/>
      <c r="D149" s="1205"/>
      <c r="E149" s="1205"/>
      <c r="F149" s="1205"/>
    </row>
    <row r="150" spans="1:6">
      <c r="A150" s="1205"/>
      <c r="B150" s="1205"/>
      <c r="D150" s="1205"/>
      <c r="E150" s="1205"/>
      <c r="F150" s="1205"/>
    </row>
    <row r="151" spans="1:6">
      <c r="A151" s="1205"/>
      <c r="B151" s="1205"/>
      <c r="D151" s="1205"/>
      <c r="E151" s="1205"/>
      <c r="F151" s="1205"/>
    </row>
    <row r="152" spans="1:6">
      <c r="A152" s="1205"/>
      <c r="B152" s="1205"/>
      <c r="D152" s="1205"/>
      <c r="E152" s="1205"/>
      <c r="F152" s="1205"/>
    </row>
    <row r="153" spans="1:6">
      <c r="A153" s="1207"/>
      <c r="B153" s="1207"/>
      <c r="C153" s="1286"/>
      <c r="D153" s="1207"/>
      <c r="E153" s="1207"/>
      <c r="F153" s="1207"/>
    </row>
    <row r="154" spans="1:6">
      <c r="A154" s="1205"/>
      <c r="B154" s="1205"/>
      <c r="D154" s="1205"/>
      <c r="E154" s="1205"/>
      <c r="F154" s="1207"/>
    </row>
    <row r="155" spans="1:6">
      <c r="A155" s="1205"/>
      <c r="B155" s="1205"/>
      <c r="D155" s="1205"/>
      <c r="E155" s="1205"/>
      <c r="F155" s="1207"/>
    </row>
    <row r="156" spans="1:6">
      <c r="A156" s="1205"/>
      <c r="B156" s="1205"/>
      <c r="D156" s="1205"/>
      <c r="E156" s="1205"/>
      <c r="F156" s="1207"/>
    </row>
    <row r="157" spans="1:6">
      <c r="A157" s="1205"/>
      <c r="B157" s="1205"/>
      <c r="D157" s="1205"/>
      <c r="E157" s="1205"/>
      <c r="F157" s="1205"/>
    </row>
    <row r="158" spans="1:6">
      <c r="A158" s="1205"/>
      <c r="B158" s="1205"/>
      <c r="D158" s="1205"/>
      <c r="E158" s="1205"/>
      <c r="F158" s="1205"/>
    </row>
    <row r="159" spans="1:6">
      <c r="A159" s="1205"/>
      <c r="B159" s="1205"/>
      <c r="D159" s="1205"/>
      <c r="E159" s="1205"/>
      <c r="F159" s="1205"/>
    </row>
  </sheetData>
  <mergeCells count="3">
    <mergeCell ref="C2:D2"/>
    <mergeCell ref="E2:F2"/>
    <mergeCell ref="E93:E94"/>
  </mergeCells>
  <phoneticPr fontId="13" type="noConversion"/>
  <printOptions gridLines="1"/>
  <pageMargins left="0.70866141732283472" right="0.70866141732283472" top="0.74803149606299213" bottom="0.43307086614173229" header="0.31496062992125984" footer="0.31496062992125984"/>
  <pageSetup paperSize="8" scale="84" fitToHeight="0"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74"/>
  <sheetViews>
    <sheetView topLeftCell="A20" workbookViewId="0">
      <selection activeCell="I163" sqref="I163"/>
    </sheetView>
  </sheetViews>
  <sheetFormatPr defaultColWidth="8.88671875" defaultRowHeight="13.2"/>
  <cols>
    <col min="1" max="1" width="7.6640625" style="997" customWidth="1"/>
    <col min="2" max="2" width="48.6640625" style="892" customWidth="1"/>
    <col min="3" max="3" width="5.6640625" style="998" customWidth="1"/>
    <col min="4" max="4" width="7.6640625" style="892" customWidth="1"/>
    <col min="5" max="5" width="10.33203125" style="999" customWidth="1"/>
    <col min="6" max="6" width="12.33203125" style="999" customWidth="1"/>
    <col min="7" max="7" width="9.88671875" style="890" bestFit="1" customWidth="1"/>
    <col min="8" max="8" width="8.88671875" style="890"/>
    <col min="9" max="9" width="9.88671875" style="890" bestFit="1" customWidth="1"/>
    <col min="10" max="10" width="8.88671875" style="891"/>
    <col min="11" max="13" width="8.88671875" style="892"/>
    <col min="14" max="14" width="7" style="892" customWidth="1"/>
    <col min="15" max="16384" width="8.88671875" style="892"/>
  </cols>
  <sheetData>
    <row r="1" spans="1:10" ht="17.7" customHeight="1">
      <c r="A1" s="1000" t="s">
        <v>304</v>
      </c>
      <c r="B1" s="887"/>
      <c r="C1" s="887"/>
      <c r="D1" s="887"/>
      <c r="E1" s="888"/>
      <c r="F1" s="889"/>
    </row>
    <row r="2" spans="1:10" ht="13.2" customHeight="1">
      <c r="A2" s="1001" t="s">
        <v>305</v>
      </c>
      <c r="B2" s="893"/>
      <c r="C2" s="893"/>
      <c r="D2" s="893"/>
      <c r="E2" s="894"/>
      <c r="F2" s="895"/>
    </row>
    <row r="3" spans="1:10">
      <c r="A3" s="896"/>
      <c r="B3" s="651"/>
      <c r="C3" s="897"/>
      <c r="D3" s="651"/>
      <c r="E3" s="894"/>
      <c r="F3" s="895"/>
    </row>
    <row r="4" spans="1:10">
      <c r="A4" s="898"/>
      <c r="B4" s="899"/>
      <c r="C4" s="900"/>
      <c r="D4" s="899"/>
      <c r="E4" s="901"/>
      <c r="F4" s="902"/>
    </row>
    <row r="5" spans="1:10" ht="13.8" thickBot="1">
      <c r="A5" s="903" t="s">
        <v>306</v>
      </c>
      <c r="B5" s="904"/>
      <c r="C5" s="906" t="s">
        <v>307</v>
      </c>
      <c r="D5" s="905" t="s">
        <v>296</v>
      </c>
      <c r="E5" s="907" t="s">
        <v>308</v>
      </c>
      <c r="F5" s="908" t="s">
        <v>297</v>
      </c>
    </row>
    <row r="6" spans="1:10" s="890" customFormat="1">
      <c r="A6" s="909"/>
      <c r="B6" s="910"/>
      <c r="C6" s="912"/>
      <c r="D6" s="911"/>
      <c r="E6" s="913"/>
      <c r="F6" s="914"/>
      <c r="J6" s="891"/>
    </row>
    <row r="7" spans="1:10" s="890" customFormat="1" ht="21.6" customHeight="1">
      <c r="A7" s="661" t="s">
        <v>392</v>
      </c>
      <c r="B7" s="916" t="s">
        <v>316</v>
      </c>
      <c r="C7" s="918"/>
      <c r="D7" s="917"/>
      <c r="E7" s="919"/>
      <c r="F7" s="920"/>
      <c r="G7" s="921"/>
      <c r="H7" s="921"/>
      <c r="J7" s="891"/>
    </row>
    <row r="8" spans="1:10" s="890" customFormat="1">
      <c r="A8" s="661"/>
      <c r="B8" s="922"/>
      <c r="C8" s="918"/>
      <c r="D8" s="917"/>
      <c r="E8" s="919"/>
      <c r="F8" s="920"/>
      <c r="G8" s="921"/>
      <c r="H8" s="921"/>
      <c r="J8" s="891"/>
    </row>
    <row r="9" spans="1:10" s="890" customFormat="1">
      <c r="A9" s="661" t="s">
        <v>392</v>
      </c>
      <c r="B9" s="923" t="s">
        <v>317</v>
      </c>
      <c r="C9" s="918"/>
      <c r="D9" s="917"/>
      <c r="E9" s="919"/>
      <c r="F9" s="920"/>
      <c r="G9" s="921"/>
      <c r="H9" s="921"/>
      <c r="J9" s="891"/>
    </row>
    <row r="10" spans="1:10" s="890" customFormat="1">
      <c r="A10" s="652"/>
      <c r="B10" s="924"/>
      <c r="C10" s="918"/>
      <c r="D10" s="917"/>
      <c r="E10" s="919"/>
      <c r="F10" s="920"/>
      <c r="G10" s="921"/>
      <c r="H10" s="921"/>
      <c r="J10" s="891"/>
    </row>
    <row r="11" spans="1:10" s="890" customFormat="1" ht="26.4">
      <c r="A11" s="652" t="s">
        <v>1122</v>
      </c>
      <c r="B11" s="653" t="s">
        <v>318</v>
      </c>
      <c r="C11" s="654"/>
      <c r="D11" s="659"/>
      <c r="E11" s="919"/>
      <c r="F11" s="920"/>
      <c r="G11" s="925"/>
      <c r="H11" s="921"/>
      <c r="J11" s="891"/>
    </row>
    <row r="12" spans="1:10" s="890" customFormat="1">
      <c r="A12" s="652"/>
      <c r="B12" s="657"/>
      <c r="C12" s="654"/>
      <c r="D12" s="659"/>
      <c r="E12" s="919"/>
      <c r="F12" s="920"/>
      <c r="G12" s="925"/>
      <c r="H12" s="921"/>
      <c r="J12" s="891"/>
    </row>
    <row r="13" spans="1:10" s="890" customFormat="1">
      <c r="A13" s="652" t="s">
        <v>370</v>
      </c>
      <c r="B13" s="926" t="s">
        <v>1078</v>
      </c>
      <c r="C13" s="654">
        <v>1</v>
      </c>
      <c r="D13" s="659" t="s">
        <v>320</v>
      </c>
      <c r="E13" s="655">
        <f>Elec_Est!E27</f>
        <v>989.85</v>
      </c>
      <c r="F13" s="656">
        <f>E13*C13</f>
        <v>989.85</v>
      </c>
      <c r="J13" s="891"/>
    </row>
    <row r="14" spans="1:10" s="890" customFormat="1">
      <c r="A14" s="652"/>
      <c r="B14" s="926"/>
      <c r="C14" s="654"/>
      <c r="D14" s="659"/>
      <c r="E14" s="655"/>
      <c r="F14" s="656"/>
      <c r="J14" s="891"/>
    </row>
    <row r="15" spans="1:10" s="890" customFormat="1" ht="39.6">
      <c r="A15" s="652" t="s">
        <v>371</v>
      </c>
      <c r="B15" s="926" t="s">
        <v>1079</v>
      </c>
      <c r="C15" s="654">
        <v>1</v>
      </c>
      <c r="D15" s="659" t="s">
        <v>320</v>
      </c>
      <c r="E15" s="655">
        <f>Elec_Est!E33</f>
        <v>232.28</v>
      </c>
      <c r="F15" s="656">
        <f>E15*C15</f>
        <v>232.28</v>
      </c>
      <c r="J15" s="891"/>
    </row>
    <row r="16" spans="1:10" s="890" customFormat="1">
      <c r="A16" s="652"/>
      <c r="B16" s="926"/>
      <c r="C16" s="654"/>
      <c r="D16" s="659"/>
      <c r="E16" s="655"/>
      <c r="F16" s="656"/>
      <c r="J16" s="891"/>
    </row>
    <row r="17" spans="1:10" s="890" customFormat="1">
      <c r="A17" s="652"/>
      <c r="B17" s="927"/>
      <c r="C17" s="654"/>
      <c r="D17" s="659"/>
      <c r="E17" s="655"/>
      <c r="F17" s="656"/>
      <c r="J17" s="891"/>
    </row>
    <row r="18" spans="1:10" s="890" customFormat="1" ht="12.75" customHeight="1">
      <c r="A18" s="652" t="s">
        <v>1123</v>
      </c>
      <c r="B18" s="653" t="s">
        <v>1080</v>
      </c>
      <c r="C18" s="654"/>
      <c r="D18" s="659"/>
      <c r="E18" s="655"/>
      <c r="F18" s="656"/>
      <c r="J18" s="891"/>
    </row>
    <row r="19" spans="1:10" s="890" customFormat="1">
      <c r="A19" s="652"/>
      <c r="B19" s="657"/>
      <c r="C19" s="654"/>
      <c r="D19" s="659"/>
      <c r="E19" s="655"/>
      <c r="F19" s="656"/>
      <c r="J19" s="891"/>
    </row>
    <row r="20" spans="1:10" s="890" customFormat="1">
      <c r="A20" s="652" t="s">
        <v>372</v>
      </c>
      <c r="B20" s="926" t="s">
        <v>1078</v>
      </c>
      <c r="C20" s="654">
        <v>1</v>
      </c>
      <c r="D20" s="659" t="s">
        <v>320</v>
      </c>
      <c r="E20" s="655">
        <f>Elec_Est!E43</f>
        <v>343.15</v>
      </c>
      <c r="F20" s="656">
        <f>E20*C20</f>
        <v>343.15</v>
      </c>
      <c r="J20" s="891"/>
    </row>
    <row r="21" spans="1:10" s="890" customFormat="1">
      <c r="A21" s="652"/>
      <c r="B21" s="926"/>
      <c r="C21" s="654"/>
      <c r="D21" s="659"/>
      <c r="E21" s="655"/>
      <c r="F21" s="656"/>
      <c r="J21" s="891"/>
    </row>
    <row r="22" spans="1:10" s="890" customFormat="1" ht="39.6">
      <c r="A22" s="652" t="s">
        <v>373</v>
      </c>
      <c r="B22" s="926" t="s">
        <v>1079</v>
      </c>
      <c r="C22" s="654">
        <v>1</v>
      </c>
      <c r="D22" s="659" t="s">
        <v>320</v>
      </c>
      <c r="E22" s="655">
        <f>Elec_Est!E49</f>
        <v>232.28</v>
      </c>
      <c r="F22" s="656">
        <f>E22*C22</f>
        <v>232.28</v>
      </c>
      <c r="J22" s="891"/>
    </row>
    <row r="23" spans="1:10" s="890" customFormat="1">
      <c r="A23" s="652"/>
      <c r="B23" s="657"/>
      <c r="C23" s="915"/>
      <c r="D23" s="659"/>
      <c r="E23" s="655"/>
      <c r="F23" s="656"/>
      <c r="J23" s="891"/>
    </row>
    <row r="24" spans="1:10" s="890" customFormat="1">
      <c r="A24" s="652"/>
      <c r="B24" s="929"/>
      <c r="C24" s="915"/>
      <c r="D24" s="915"/>
      <c r="E24" s="655"/>
      <c r="F24" s="656"/>
      <c r="J24" s="891"/>
    </row>
    <row r="25" spans="1:10" s="890" customFormat="1" ht="18" customHeight="1">
      <c r="A25" s="652" t="s">
        <v>392</v>
      </c>
      <c r="B25" s="923" t="s">
        <v>324</v>
      </c>
      <c r="C25" s="918"/>
      <c r="D25" s="917"/>
      <c r="E25" s="655"/>
      <c r="F25" s="656"/>
      <c r="J25" s="891"/>
    </row>
    <row r="26" spans="1:10" s="890" customFormat="1" ht="12.45" customHeight="1">
      <c r="A26" s="652"/>
      <c r="B26" s="899"/>
      <c r="C26" s="915"/>
      <c r="D26" s="659"/>
      <c r="E26" s="655"/>
      <c r="F26" s="656"/>
      <c r="J26" s="891"/>
    </row>
    <row r="27" spans="1:10" s="890" customFormat="1" ht="58.5" customHeight="1">
      <c r="A27" s="652" t="s">
        <v>1124</v>
      </c>
      <c r="B27" s="657" t="s">
        <v>1081</v>
      </c>
      <c r="C27" s="915"/>
      <c r="D27" s="659"/>
      <c r="E27" s="655"/>
      <c r="F27" s="656"/>
      <c r="J27" s="891"/>
    </row>
    <row r="28" spans="1:10" s="890" customFormat="1">
      <c r="A28" s="652" t="s">
        <v>374</v>
      </c>
      <c r="B28" s="657" t="s">
        <v>325</v>
      </c>
      <c r="C28" s="915">
        <v>155</v>
      </c>
      <c r="D28" s="659" t="s">
        <v>326</v>
      </c>
      <c r="E28" s="655">
        <f>Elec_Est!E63</f>
        <v>123.09</v>
      </c>
      <c r="F28" s="656">
        <f>E28*C28</f>
        <v>19078.95</v>
      </c>
      <c r="J28" s="891"/>
    </row>
    <row r="29" spans="1:10" s="890" customFormat="1">
      <c r="A29" s="652"/>
      <c r="B29" s="657"/>
      <c r="C29" s="915"/>
      <c r="D29" s="659"/>
      <c r="E29" s="655"/>
      <c r="F29" s="656"/>
      <c r="J29" s="891"/>
    </row>
    <row r="30" spans="1:10" s="890" customFormat="1">
      <c r="A30" s="652"/>
      <c r="B30" s="927"/>
      <c r="C30" s="654"/>
      <c r="D30" s="659"/>
      <c r="E30" s="655"/>
      <c r="F30" s="656"/>
      <c r="J30" s="891"/>
    </row>
    <row r="31" spans="1:10" s="890" customFormat="1" ht="41.7" customHeight="1">
      <c r="A31" s="652" t="s">
        <v>1125</v>
      </c>
      <c r="B31" s="657" t="s">
        <v>1082</v>
      </c>
      <c r="C31" s="918"/>
      <c r="D31" s="917"/>
      <c r="E31" s="655"/>
      <c r="F31" s="656"/>
      <c r="J31" s="891"/>
    </row>
    <row r="32" spans="1:10" s="890" customFormat="1" ht="12.45" customHeight="1">
      <c r="A32" s="652"/>
      <c r="B32" s="930"/>
      <c r="C32" s="918"/>
      <c r="D32" s="917"/>
      <c r="E32" s="655"/>
      <c r="F32" s="656"/>
      <c r="J32" s="891"/>
    </row>
    <row r="33" spans="1:10" s="890" customFormat="1" ht="12.45" customHeight="1">
      <c r="A33" s="652" t="s">
        <v>375</v>
      </c>
      <c r="B33" s="657" t="s">
        <v>328</v>
      </c>
      <c r="C33" s="654">
        <v>4</v>
      </c>
      <c r="D33" s="659" t="s">
        <v>326</v>
      </c>
      <c r="E33" s="655">
        <f>Elec_Est!E73</f>
        <v>126.04</v>
      </c>
      <c r="F33" s="656">
        <f>E33*C33</f>
        <v>504.16</v>
      </c>
      <c r="J33" s="891"/>
    </row>
    <row r="34" spans="1:10" s="890" customFormat="1" ht="12.45" customHeight="1">
      <c r="A34" s="652"/>
      <c r="B34" s="657"/>
      <c r="C34" s="654"/>
      <c r="D34" s="659"/>
      <c r="E34" s="655"/>
      <c r="F34" s="656"/>
      <c r="J34" s="891"/>
    </row>
    <row r="35" spans="1:10" s="890" customFormat="1" ht="12.45" customHeight="1">
      <c r="A35" s="652"/>
      <c r="B35" s="657"/>
      <c r="C35" s="654"/>
      <c r="D35" s="659"/>
      <c r="E35" s="656"/>
      <c r="F35" s="656"/>
      <c r="J35" s="891"/>
    </row>
    <row r="36" spans="1:10" s="890" customFormat="1" ht="12.45" customHeight="1">
      <c r="A36" s="652"/>
      <c r="B36" s="657"/>
      <c r="C36" s="654"/>
      <c r="D36" s="659"/>
      <c r="E36" s="656"/>
      <c r="F36" s="656"/>
      <c r="J36" s="891"/>
    </row>
    <row r="37" spans="1:10" s="890" customFormat="1" ht="12.45" customHeight="1">
      <c r="A37" s="652"/>
      <c r="B37" s="657"/>
      <c r="C37" s="654"/>
      <c r="D37" s="659"/>
      <c r="E37" s="656"/>
      <c r="F37" s="656"/>
      <c r="J37" s="891"/>
    </row>
    <row r="38" spans="1:10" s="890" customFormat="1" ht="12.45" customHeight="1">
      <c r="A38" s="652"/>
      <c r="B38" s="657"/>
      <c r="C38" s="654"/>
      <c r="D38" s="659"/>
      <c r="E38" s="656"/>
      <c r="F38" s="656"/>
      <c r="J38" s="891"/>
    </row>
    <row r="39" spans="1:10" s="890" customFormat="1" ht="12.45" customHeight="1">
      <c r="A39" s="652"/>
      <c r="B39" s="657"/>
      <c r="C39" s="654"/>
      <c r="D39" s="659"/>
      <c r="E39" s="656"/>
      <c r="F39" s="656"/>
      <c r="J39" s="891"/>
    </row>
    <row r="40" spans="1:10" s="890" customFormat="1" ht="12.45" customHeight="1">
      <c r="A40" s="652"/>
      <c r="B40" s="657"/>
      <c r="C40" s="654"/>
      <c r="D40" s="659"/>
      <c r="E40" s="656"/>
      <c r="F40" s="656"/>
      <c r="J40" s="891"/>
    </row>
    <row r="41" spans="1:10" s="890" customFormat="1" ht="12.45" customHeight="1">
      <c r="A41" s="652"/>
      <c r="B41" s="657"/>
      <c r="C41" s="654"/>
      <c r="D41" s="659"/>
      <c r="E41" s="656"/>
      <c r="F41" s="656"/>
      <c r="J41" s="891"/>
    </row>
    <row r="42" spans="1:10" s="890" customFormat="1" ht="12.45" customHeight="1">
      <c r="A42" s="652"/>
      <c r="B42" s="657"/>
      <c r="C42" s="654"/>
      <c r="D42" s="659"/>
      <c r="E42" s="656"/>
      <c r="F42" s="931"/>
      <c r="J42" s="891"/>
    </row>
    <row r="43" spans="1:10" s="890" customFormat="1" ht="12.45" customHeight="1">
      <c r="A43" s="652"/>
      <c r="B43" s="657"/>
      <c r="C43" s="654"/>
      <c r="D43" s="659"/>
      <c r="E43" s="656"/>
      <c r="F43" s="931"/>
      <c r="J43" s="891"/>
    </row>
    <row r="44" spans="1:10" s="890" customFormat="1" ht="12.45" customHeight="1">
      <c r="A44" s="652"/>
      <c r="B44" s="657"/>
      <c r="C44" s="654"/>
      <c r="D44" s="659"/>
      <c r="E44" s="656"/>
      <c r="F44" s="931"/>
      <c r="J44" s="891"/>
    </row>
    <row r="45" spans="1:10" s="890" customFormat="1">
      <c r="A45" s="652"/>
      <c r="B45" s="657"/>
      <c r="C45" s="915"/>
      <c r="D45" s="659"/>
      <c r="E45" s="656"/>
      <c r="F45" s="931"/>
      <c r="J45" s="891"/>
    </row>
    <row r="46" spans="1:10" s="890" customFormat="1">
      <c r="A46" s="932"/>
      <c r="B46" s="933"/>
      <c r="C46" s="935"/>
      <c r="D46" s="934"/>
      <c r="E46" s="936"/>
      <c r="F46" s="914"/>
      <c r="J46" s="891"/>
    </row>
    <row r="47" spans="1:10" s="890" customFormat="1" ht="13.8" thickBot="1">
      <c r="A47" s="932"/>
      <c r="B47" s="933"/>
      <c r="C47" s="935"/>
      <c r="D47" s="934"/>
      <c r="E47" s="936"/>
      <c r="F47" s="914"/>
      <c r="J47" s="891"/>
    </row>
    <row r="48" spans="1:10" s="890" customFormat="1">
      <c r="A48" s="937"/>
      <c r="B48" s="938"/>
      <c r="C48" s="940"/>
      <c r="D48" s="939"/>
      <c r="E48" s="941"/>
      <c r="F48" s="941"/>
      <c r="J48" s="891"/>
    </row>
    <row r="49" spans="1:10" s="890" customFormat="1">
      <c r="A49" s="942" t="s">
        <v>391</v>
      </c>
      <c r="B49" s="943" t="s">
        <v>315</v>
      </c>
      <c r="C49" s="945"/>
      <c r="D49" s="944"/>
      <c r="E49" s="914"/>
      <c r="F49" s="946">
        <f>SUM(F7:F47)</f>
        <v>21380.670000000002</v>
      </c>
      <c r="J49" s="891"/>
    </row>
    <row r="50" spans="1:10" s="890" customFormat="1">
      <c r="A50" s="947"/>
      <c r="B50" s="948"/>
      <c r="C50" s="950"/>
      <c r="D50" s="949"/>
      <c r="E50" s="951"/>
      <c r="F50" s="951"/>
      <c r="J50" s="891"/>
    </row>
    <row r="51" spans="1:10" s="890" customFormat="1">
      <c r="A51" s="952"/>
      <c r="B51" s="953"/>
      <c r="C51" s="954"/>
      <c r="D51" s="953"/>
      <c r="E51" s="955"/>
      <c r="F51" s="956"/>
      <c r="J51" s="891"/>
    </row>
    <row r="52" spans="1:10" s="890" customFormat="1">
      <c r="A52" s="957"/>
      <c r="B52" s="958"/>
      <c r="C52" s="959"/>
      <c r="D52" s="958"/>
      <c r="E52" s="960"/>
      <c r="F52" s="961"/>
      <c r="J52" s="891"/>
    </row>
    <row r="53" spans="1:10" s="890" customFormat="1">
      <c r="A53" s="962"/>
      <c r="B53" s="963"/>
      <c r="C53" s="945"/>
      <c r="D53" s="944"/>
      <c r="E53" s="964"/>
      <c r="F53" s="914"/>
      <c r="J53" s="891"/>
    </row>
    <row r="54" spans="1:10" s="890" customFormat="1">
      <c r="A54" s="962"/>
      <c r="B54" s="963"/>
      <c r="C54" s="945"/>
      <c r="D54" s="944"/>
      <c r="E54" s="964"/>
      <c r="F54" s="914"/>
      <c r="J54" s="891"/>
    </row>
    <row r="55" spans="1:10" s="890" customFormat="1" ht="13.8" thickBot="1">
      <c r="A55" s="903" t="s">
        <v>306</v>
      </c>
      <c r="B55" s="904"/>
      <c r="C55" s="906" t="s">
        <v>307</v>
      </c>
      <c r="D55" s="905" t="s">
        <v>296</v>
      </c>
      <c r="E55" s="907" t="s">
        <v>308</v>
      </c>
      <c r="F55" s="908" t="s">
        <v>297</v>
      </c>
      <c r="J55" s="891"/>
    </row>
    <row r="56" spans="1:10" s="890" customFormat="1">
      <c r="A56" s="909"/>
      <c r="B56" s="910"/>
      <c r="C56" s="912"/>
      <c r="D56" s="911"/>
      <c r="E56" s="913"/>
      <c r="F56" s="914"/>
      <c r="J56" s="891"/>
    </row>
    <row r="57" spans="1:10" s="890" customFormat="1">
      <c r="A57" s="652" t="s">
        <v>392</v>
      </c>
      <c r="B57" s="965" t="s">
        <v>329</v>
      </c>
      <c r="C57" s="918"/>
      <c r="D57" s="917"/>
      <c r="E57" s="919"/>
      <c r="F57" s="920"/>
      <c r="J57" s="891"/>
    </row>
    <row r="58" spans="1:10" s="890" customFormat="1">
      <c r="A58" s="652"/>
      <c r="B58" s="899"/>
      <c r="C58" s="918"/>
      <c r="D58" s="917"/>
      <c r="E58" s="919"/>
      <c r="F58" s="920"/>
      <c r="J58" s="891"/>
    </row>
    <row r="59" spans="1:10" s="891" customFormat="1" ht="66">
      <c r="A59" s="652" t="s">
        <v>1121</v>
      </c>
      <c r="B59" s="657" t="s">
        <v>1083</v>
      </c>
      <c r="C59" s="915"/>
      <c r="D59" s="659"/>
      <c r="E59" s="655"/>
      <c r="F59" s="656"/>
      <c r="G59" s="890"/>
      <c r="H59" s="890"/>
      <c r="I59" s="890"/>
    </row>
    <row r="60" spans="1:10" s="891" customFormat="1">
      <c r="A60" s="652"/>
      <c r="B60" s="657"/>
      <c r="C60" s="915"/>
      <c r="D60" s="659"/>
      <c r="E60" s="655"/>
      <c r="F60" s="656"/>
      <c r="G60" s="966"/>
      <c r="H60" s="890"/>
      <c r="I60" s="890"/>
    </row>
    <row r="61" spans="1:10" s="891" customFormat="1" ht="26.4">
      <c r="A61" s="652" t="s">
        <v>376</v>
      </c>
      <c r="B61" s="657" t="s">
        <v>1084</v>
      </c>
      <c r="C61" s="915"/>
      <c r="D61" s="659"/>
      <c r="E61" s="655"/>
      <c r="F61" s="656"/>
      <c r="G61" s="890"/>
      <c r="H61" s="890"/>
      <c r="I61" s="966"/>
    </row>
    <row r="62" spans="1:10" s="891" customFormat="1" ht="15.6">
      <c r="A62" s="652"/>
      <c r="B62" s="657" t="s">
        <v>1085</v>
      </c>
      <c r="C62" s="915">
        <v>160</v>
      </c>
      <c r="D62" s="659" t="s">
        <v>330</v>
      </c>
      <c r="E62" s="655">
        <f>Elec_Est!E93</f>
        <v>745.77</v>
      </c>
      <c r="F62" s="656">
        <f>E62*C62</f>
        <v>119323.2</v>
      </c>
      <c r="G62" s="966"/>
      <c r="H62" s="890"/>
      <c r="I62" s="966"/>
    </row>
    <row r="63" spans="1:10" s="891" customFormat="1">
      <c r="A63" s="652"/>
      <c r="B63" s="899"/>
      <c r="C63" s="918"/>
      <c r="D63" s="917"/>
      <c r="E63" s="655"/>
      <c r="F63" s="656"/>
      <c r="G63" s="966"/>
      <c r="H63" s="890"/>
      <c r="I63" s="966"/>
    </row>
    <row r="64" spans="1:10" s="891" customFormat="1" ht="26.4">
      <c r="A64" s="652" t="s">
        <v>377</v>
      </c>
      <c r="B64" s="929" t="s">
        <v>1086</v>
      </c>
      <c r="C64" s="654"/>
      <c r="D64" s="654"/>
      <c r="E64" s="655"/>
      <c r="F64" s="656"/>
      <c r="G64" s="966"/>
      <c r="H64" s="890"/>
      <c r="I64" s="966"/>
    </row>
    <row r="65" spans="1:9" s="891" customFormat="1" ht="15.6">
      <c r="A65" s="652"/>
      <c r="B65" s="657" t="s">
        <v>1087</v>
      </c>
      <c r="C65" s="915">
        <v>12</v>
      </c>
      <c r="D65" s="659" t="s">
        <v>330</v>
      </c>
      <c r="E65" s="655">
        <f>Elec_Est!E99</f>
        <v>153.33000000000001</v>
      </c>
      <c r="F65" s="656">
        <f>E65*C65</f>
        <v>1839.96</v>
      </c>
      <c r="G65" s="966"/>
      <c r="H65" s="890"/>
      <c r="I65" s="966"/>
    </row>
    <row r="66" spans="1:9" s="891" customFormat="1">
      <c r="A66" s="652"/>
      <c r="B66" s="927"/>
      <c r="C66" s="654"/>
      <c r="D66" s="659"/>
      <c r="E66" s="655"/>
      <c r="F66" s="656"/>
      <c r="G66" s="966"/>
      <c r="H66" s="890"/>
      <c r="I66" s="966"/>
    </row>
    <row r="67" spans="1:9" s="891" customFormat="1" ht="26.4">
      <c r="A67" s="652" t="s">
        <v>378</v>
      </c>
      <c r="B67" s="929" t="s">
        <v>1088</v>
      </c>
      <c r="C67" s="654"/>
      <c r="D67" s="654"/>
      <c r="E67" s="655"/>
      <c r="F67" s="656"/>
      <c r="G67" s="966"/>
      <c r="H67" s="890"/>
      <c r="I67" s="966"/>
    </row>
    <row r="68" spans="1:9" s="891" customFormat="1" ht="15.6">
      <c r="A68" s="652"/>
      <c r="B68" s="657" t="s">
        <v>1089</v>
      </c>
      <c r="C68" s="915">
        <v>5</v>
      </c>
      <c r="D68" s="659" t="s">
        <v>330</v>
      </c>
      <c r="E68" s="655">
        <f>Elec_Est!E105</f>
        <v>69.3</v>
      </c>
      <c r="F68" s="656">
        <f>E68*C68</f>
        <v>346.5</v>
      </c>
      <c r="G68" s="966"/>
      <c r="H68" s="890"/>
      <c r="I68" s="966"/>
    </row>
    <row r="69" spans="1:9" s="891" customFormat="1">
      <c r="A69" s="652"/>
      <c r="B69" s="657"/>
      <c r="C69" s="915"/>
      <c r="D69" s="659"/>
      <c r="E69" s="655"/>
      <c r="F69" s="656"/>
      <c r="G69" s="966"/>
      <c r="H69" s="890"/>
      <c r="I69" s="966"/>
    </row>
    <row r="70" spans="1:9" s="891" customFormat="1">
      <c r="A70" s="652"/>
      <c r="B70" s="927"/>
      <c r="C70" s="654"/>
      <c r="D70" s="659"/>
      <c r="E70" s="655"/>
      <c r="F70" s="656"/>
      <c r="G70" s="966"/>
      <c r="H70" s="890"/>
      <c r="I70" s="966"/>
    </row>
    <row r="71" spans="1:9" s="891" customFormat="1">
      <c r="A71" s="652" t="s">
        <v>392</v>
      </c>
      <c r="B71" s="923" t="s">
        <v>332</v>
      </c>
      <c r="C71" s="654"/>
      <c r="D71" s="659"/>
      <c r="E71" s="655"/>
      <c r="F71" s="656"/>
      <c r="G71" s="966"/>
      <c r="H71" s="890"/>
      <c r="I71" s="966"/>
    </row>
    <row r="72" spans="1:9" s="891" customFormat="1">
      <c r="A72" s="652"/>
      <c r="B72" s="926"/>
      <c r="C72" s="654"/>
      <c r="D72" s="659"/>
      <c r="E72" s="655"/>
      <c r="F72" s="656"/>
      <c r="G72" s="966"/>
      <c r="H72" s="890"/>
      <c r="I72" s="966"/>
    </row>
    <row r="73" spans="1:9" s="891" customFormat="1" ht="39.6">
      <c r="A73" s="652" t="s">
        <v>1126</v>
      </c>
      <c r="B73" s="653" t="s">
        <v>1090</v>
      </c>
      <c r="C73" s="654"/>
      <c r="D73" s="659"/>
      <c r="E73" s="655"/>
      <c r="F73" s="656"/>
      <c r="G73" s="966"/>
      <c r="H73" s="890"/>
      <c r="I73" s="966"/>
    </row>
    <row r="74" spans="1:9" s="891" customFormat="1">
      <c r="A74" s="652"/>
      <c r="B74" s="657"/>
      <c r="C74" s="654"/>
      <c r="D74" s="659"/>
      <c r="E74" s="655"/>
      <c r="F74" s="656"/>
      <c r="G74" s="966"/>
      <c r="H74" s="890"/>
      <c r="I74" s="966"/>
    </row>
    <row r="75" spans="1:9" s="891" customFormat="1">
      <c r="A75" s="652" t="s">
        <v>379</v>
      </c>
      <c r="B75" s="927" t="s">
        <v>1091</v>
      </c>
      <c r="C75" s="654">
        <v>2</v>
      </c>
      <c r="D75" s="659" t="s">
        <v>320</v>
      </c>
      <c r="E75" s="662">
        <f>Elec_Est!E119</f>
        <v>106.06</v>
      </c>
      <c r="F75" s="656">
        <f>E75*C75</f>
        <v>212.12</v>
      </c>
      <c r="G75" s="966"/>
      <c r="H75" s="890"/>
      <c r="I75" s="966"/>
    </row>
    <row r="76" spans="1:9" s="891" customFormat="1">
      <c r="A76" s="652"/>
      <c r="B76" s="927"/>
      <c r="C76" s="654"/>
      <c r="D76" s="659"/>
      <c r="E76" s="662"/>
      <c r="F76" s="656"/>
      <c r="G76" s="966"/>
      <c r="H76" s="890"/>
      <c r="I76" s="966"/>
    </row>
    <row r="77" spans="1:9" s="891" customFormat="1" ht="26.4">
      <c r="A77" s="652" t="s">
        <v>1127</v>
      </c>
      <c r="B77" s="653" t="s">
        <v>334</v>
      </c>
      <c r="C77" s="915">
        <v>3</v>
      </c>
      <c r="D77" s="967" t="s">
        <v>320</v>
      </c>
      <c r="E77" s="968">
        <f>Elec_Est!E125</f>
        <v>106.06</v>
      </c>
      <c r="F77" s="656">
        <f>E77*C77</f>
        <v>318.18</v>
      </c>
      <c r="G77" s="966"/>
      <c r="H77" s="890"/>
      <c r="I77" s="966"/>
    </row>
    <row r="78" spans="1:9" s="891" customFormat="1">
      <c r="A78" s="652"/>
      <c r="B78" s="927"/>
      <c r="C78" s="654"/>
      <c r="D78" s="659"/>
      <c r="E78" s="662"/>
      <c r="F78" s="656"/>
      <c r="G78" s="966"/>
      <c r="H78" s="890"/>
      <c r="I78" s="966"/>
    </row>
    <row r="79" spans="1:9" s="891" customFormat="1">
      <c r="A79" s="652"/>
      <c r="B79" s="927"/>
      <c r="C79" s="654"/>
      <c r="D79" s="659"/>
      <c r="E79" s="662"/>
      <c r="F79" s="656"/>
      <c r="G79" s="890"/>
      <c r="H79" s="890"/>
      <c r="I79" s="966"/>
    </row>
    <row r="80" spans="1:9" s="891" customFormat="1">
      <c r="A80" s="652" t="s">
        <v>1128</v>
      </c>
      <c r="B80" s="653" t="s">
        <v>335</v>
      </c>
      <c r="C80" s="654"/>
      <c r="D80" s="659"/>
      <c r="E80" s="662"/>
      <c r="F80" s="656"/>
      <c r="G80" s="890"/>
      <c r="H80" s="890"/>
      <c r="I80" s="966"/>
    </row>
    <row r="81" spans="1:10" s="891" customFormat="1">
      <c r="A81" s="652"/>
      <c r="B81" s="653"/>
      <c r="C81" s="654"/>
      <c r="D81" s="659"/>
      <c r="E81" s="662"/>
      <c r="F81" s="656"/>
      <c r="G81" s="890"/>
      <c r="H81" s="890"/>
      <c r="I81" s="966"/>
    </row>
    <row r="82" spans="1:10" s="891" customFormat="1">
      <c r="A82" s="652" t="s">
        <v>380</v>
      </c>
      <c r="B82" s="653" t="s">
        <v>336</v>
      </c>
      <c r="C82" s="654">
        <v>4</v>
      </c>
      <c r="D82" s="659" t="s">
        <v>320</v>
      </c>
      <c r="E82" s="968">
        <f>Elec_Est!E135</f>
        <v>39.590000000000003</v>
      </c>
      <c r="F82" s="656">
        <f>E82*C82</f>
        <v>158.36000000000001</v>
      </c>
      <c r="G82" s="890"/>
      <c r="H82" s="890"/>
      <c r="I82" s="966"/>
    </row>
    <row r="83" spans="1:10" s="891" customFormat="1">
      <c r="A83" s="652"/>
      <c r="B83" s="653"/>
      <c r="C83" s="654"/>
      <c r="D83" s="659"/>
      <c r="E83" s="662"/>
      <c r="F83" s="656"/>
      <c r="G83" s="890"/>
      <c r="H83" s="890"/>
      <c r="I83" s="966"/>
    </row>
    <row r="84" spans="1:10" s="891" customFormat="1">
      <c r="A84" s="652" t="s">
        <v>1129</v>
      </c>
      <c r="B84" s="653" t="s">
        <v>337</v>
      </c>
      <c r="C84" s="654">
        <v>3</v>
      </c>
      <c r="D84" s="659" t="s">
        <v>320</v>
      </c>
      <c r="E84" s="662">
        <f>Elec_Est!E141</f>
        <v>65.989999999999995</v>
      </c>
      <c r="F84" s="656">
        <f>E84*C84</f>
        <v>197.96999999999997</v>
      </c>
      <c r="G84" s="890"/>
      <c r="H84" s="890"/>
      <c r="I84" s="966"/>
    </row>
    <row r="85" spans="1:10" s="891" customFormat="1">
      <c r="A85" s="652"/>
      <c r="B85" s="657"/>
      <c r="C85" s="654"/>
      <c r="D85" s="659"/>
      <c r="E85" s="662"/>
      <c r="F85" s="656"/>
      <c r="G85" s="890"/>
      <c r="H85" s="890"/>
      <c r="I85" s="890"/>
    </row>
    <row r="86" spans="1:10" s="891" customFormat="1">
      <c r="A86" s="652"/>
      <c r="B86" s="927"/>
      <c r="C86" s="654"/>
      <c r="D86" s="659"/>
      <c r="E86" s="662"/>
      <c r="F86" s="656"/>
      <c r="G86" s="890"/>
      <c r="H86" s="890"/>
      <c r="I86" s="890"/>
    </row>
    <row r="87" spans="1:10" s="891" customFormat="1" ht="26.4">
      <c r="A87" s="652" t="s">
        <v>1130</v>
      </c>
      <c r="B87" s="653" t="s">
        <v>338</v>
      </c>
      <c r="C87" s="654"/>
      <c r="D87" s="659"/>
      <c r="E87" s="655"/>
      <c r="F87" s="656"/>
      <c r="G87" s="890"/>
      <c r="H87" s="890"/>
      <c r="I87" s="890"/>
    </row>
    <row r="88" spans="1:10" s="891" customFormat="1">
      <c r="A88" s="652"/>
      <c r="B88" s="653"/>
      <c r="C88" s="654"/>
      <c r="D88" s="659"/>
      <c r="E88" s="655"/>
      <c r="F88" s="656"/>
      <c r="G88" s="890"/>
      <c r="H88" s="890"/>
      <c r="I88" s="890"/>
    </row>
    <row r="89" spans="1:10" s="891" customFormat="1">
      <c r="A89" s="652" t="s">
        <v>381</v>
      </c>
      <c r="B89" s="653" t="s">
        <v>336</v>
      </c>
      <c r="C89" s="654">
        <v>4</v>
      </c>
      <c r="D89" s="659" t="s">
        <v>320</v>
      </c>
      <c r="E89" s="655">
        <f>Elec_Est!E151</f>
        <v>34.31</v>
      </c>
      <c r="F89" s="656">
        <f>E89*C89</f>
        <v>137.24</v>
      </c>
      <c r="G89" s="890"/>
      <c r="H89" s="890"/>
      <c r="I89" s="890"/>
    </row>
    <row r="90" spans="1:10" s="891" customFormat="1">
      <c r="A90" s="652"/>
      <c r="B90" s="653"/>
      <c r="C90" s="654"/>
      <c r="D90" s="659"/>
      <c r="E90" s="655"/>
      <c r="F90" s="656"/>
      <c r="G90" s="890"/>
      <c r="H90" s="890"/>
      <c r="I90" s="890"/>
    </row>
    <row r="91" spans="1:10" s="891" customFormat="1">
      <c r="A91" s="652" t="s">
        <v>382</v>
      </c>
      <c r="B91" s="653" t="s">
        <v>337</v>
      </c>
      <c r="C91" s="654">
        <v>3</v>
      </c>
      <c r="D91" s="659" t="s">
        <v>320</v>
      </c>
      <c r="E91" s="655">
        <f>Elec_Est!E157</f>
        <v>34.31</v>
      </c>
      <c r="F91" s="656">
        <f>E91*C91</f>
        <v>102.93</v>
      </c>
      <c r="G91" s="890"/>
      <c r="H91" s="890"/>
      <c r="I91" s="890"/>
    </row>
    <row r="92" spans="1:10" s="890" customFormat="1">
      <c r="A92" s="652"/>
      <c r="B92" s="927"/>
      <c r="C92" s="654"/>
      <c r="D92" s="659"/>
      <c r="E92" s="656"/>
      <c r="F92" s="656"/>
      <c r="J92" s="891"/>
    </row>
    <row r="93" spans="1:10" s="890" customFormat="1">
      <c r="A93" s="969"/>
      <c r="B93" s="927"/>
      <c r="C93" s="654"/>
      <c r="D93" s="659"/>
      <c r="E93" s="656"/>
      <c r="F93" s="656"/>
      <c r="J93" s="891"/>
    </row>
    <row r="94" spans="1:10" s="890" customFormat="1">
      <c r="A94" s="969"/>
      <c r="B94" s="927"/>
      <c r="C94" s="654"/>
      <c r="D94" s="659"/>
      <c r="E94" s="656"/>
      <c r="F94" s="656"/>
      <c r="J94" s="891"/>
    </row>
    <row r="95" spans="1:10" s="890" customFormat="1">
      <c r="A95" s="932"/>
      <c r="B95" s="933"/>
      <c r="C95" s="935"/>
      <c r="D95" s="934"/>
      <c r="E95" s="970"/>
      <c r="F95" s="656"/>
      <c r="J95" s="891"/>
    </row>
    <row r="96" spans="1:10" s="890" customFormat="1" ht="13.8" thickBot="1">
      <c r="A96" s="971"/>
      <c r="B96" s="933"/>
      <c r="C96" s="935"/>
      <c r="D96" s="934"/>
      <c r="E96" s="972"/>
      <c r="F96" s="973"/>
      <c r="J96" s="891"/>
    </row>
    <row r="97" spans="1:10" s="890" customFormat="1">
      <c r="A97" s="937"/>
      <c r="B97" s="938"/>
      <c r="C97" s="940"/>
      <c r="D97" s="939"/>
      <c r="E97" s="941"/>
      <c r="F97" s="941"/>
      <c r="J97" s="891"/>
    </row>
    <row r="98" spans="1:10" s="890" customFormat="1">
      <c r="A98" s="942" t="s">
        <v>391</v>
      </c>
      <c r="B98" s="943" t="s">
        <v>315</v>
      </c>
      <c r="C98" s="945"/>
      <c r="D98" s="944"/>
      <c r="E98" s="914"/>
      <c r="F98" s="946">
        <f>SUM(F57:F96)</f>
        <v>122636.45999999999</v>
      </c>
      <c r="J98" s="891"/>
    </row>
    <row r="99" spans="1:10" s="890" customFormat="1">
      <c r="A99" s="947"/>
      <c r="B99" s="948"/>
      <c r="C99" s="950"/>
      <c r="D99" s="949"/>
      <c r="E99" s="951"/>
      <c r="F99" s="951"/>
      <c r="J99" s="891"/>
    </row>
    <row r="100" spans="1:10" s="890" customFormat="1">
      <c r="A100" s="952"/>
      <c r="B100" s="953"/>
      <c r="C100" s="954"/>
      <c r="D100" s="953"/>
      <c r="E100" s="955"/>
      <c r="F100" s="956"/>
      <c r="J100" s="891"/>
    </row>
    <row r="101" spans="1:10" s="890" customFormat="1">
      <c r="A101" s="957"/>
      <c r="B101" s="958"/>
      <c r="C101" s="959"/>
      <c r="D101" s="958"/>
      <c r="E101" s="960"/>
      <c r="F101" s="961"/>
      <c r="J101" s="891"/>
    </row>
    <row r="102" spans="1:10" s="890" customFormat="1">
      <c r="A102" s="962"/>
      <c r="B102" s="963"/>
      <c r="C102" s="945"/>
      <c r="D102" s="944"/>
      <c r="E102" s="964"/>
      <c r="F102" s="914"/>
      <c r="J102" s="891"/>
    </row>
    <row r="103" spans="1:10" s="890" customFormat="1">
      <c r="A103" s="962"/>
      <c r="B103" s="963"/>
      <c r="C103" s="945"/>
      <c r="D103" s="944"/>
      <c r="E103" s="964"/>
      <c r="F103" s="914"/>
      <c r="J103" s="891"/>
    </row>
    <row r="104" spans="1:10" s="890" customFormat="1" ht="13.8" thickBot="1">
      <c r="A104" s="903" t="s">
        <v>306</v>
      </c>
      <c r="B104" s="904"/>
      <c r="C104" s="906" t="s">
        <v>307</v>
      </c>
      <c r="D104" s="905" t="s">
        <v>296</v>
      </c>
      <c r="E104" s="907" t="s">
        <v>308</v>
      </c>
      <c r="F104" s="908" t="s">
        <v>297</v>
      </c>
      <c r="J104" s="891"/>
    </row>
    <row r="105" spans="1:10" s="890" customFormat="1">
      <c r="A105" s="909"/>
      <c r="B105" s="910"/>
      <c r="C105" s="912"/>
      <c r="D105" s="911"/>
      <c r="E105" s="913"/>
      <c r="F105" s="914"/>
      <c r="J105" s="891"/>
    </row>
    <row r="106" spans="1:10" s="890" customFormat="1" ht="15" customHeight="1">
      <c r="A106" s="652" t="s">
        <v>392</v>
      </c>
      <c r="B106" s="974" t="s">
        <v>339</v>
      </c>
      <c r="C106" s="975"/>
      <c r="D106" s="659"/>
      <c r="E106" s="919"/>
      <c r="F106" s="920"/>
      <c r="J106" s="891"/>
    </row>
    <row r="107" spans="1:10" s="890" customFormat="1">
      <c r="A107" s="652"/>
      <c r="B107" s="653"/>
      <c r="C107" s="975"/>
      <c r="D107" s="659"/>
      <c r="E107" s="919"/>
      <c r="F107" s="920"/>
      <c r="J107" s="891"/>
    </row>
    <row r="108" spans="1:10" s="890" customFormat="1" ht="26.4">
      <c r="A108" s="652" t="s">
        <v>1131</v>
      </c>
      <c r="B108" s="653" t="s">
        <v>340</v>
      </c>
      <c r="C108" s="975"/>
      <c r="D108" s="659"/>
      <c r="E108" s="655"/>
      <c r="F108" s="656"/>
      <c r="J108" s="891"/>
    </row>
    <row r="109" spans="1:10" s="890" customFormat="1">
      <c r="A109" s="652"/>
      <c r="B109" s="653"/>
      <c r="C109" s="975"/>
      <c r="D109" s="659"/>
      <c r="E109" s="655"/>
      <c r="F109" s="656"/>
      <c r="J109" s="891"/>
    </row>
    <row r="110" spans="1:10" s="890" customFormat="1">
      <c r="A110" s="652" t="s">
        <v>383</v>
      </c>
      <c r="B110" s="657" t="s">
        <v>341</v>
      </c>
      <c r="C110" s="654">
        <v>3</v>
      </c>
      <c r="D110" s="659" t="s">
        <v>320</v>
      </c>
      <c r="E110" s="655">
        <f>Elec_Est!E177</f>
        <v>138.46</v>
      </c>
      <c r="F110" s="656">
        <f>E110*C110</f>
        <v>415.38</v>
      </c>
      <c r="J110" s="891"/>
    </row>
    <row r="111" spans="1:10" s="890" customFormat="1">
      <c r="A111" s="652"/>
      <c r="B111" s="653"/>
      <c r="C111" s="975"/>
      <c r="D111" s="659"/>
      <c r="E111" s="655"/>
      <c r="F111" s="656"/>
      <c r="J111" s="891"/>
    </row>
    <row r="112" spans="1:10" s="890" customFormat="1">
      <c r="A112" s="652" t="s">
        <v>384</v>
      </c>
      <c r="B112" s="657" t="s">
        <v>342</v>
      </c>
      <c r="C112" s="654">
        <v>1</v>
      </c>
      <c r="D112" s="659" t="s">
        <v>320</v>
      </c>
      <c r="E112" s="655">
        <f>Elec_Est!E183</f>
        <v>247.73</v>
      </c>
      <c r="F112" s="656">
        <f>E112*C112</f>
        <v>247.73</v>
      </c>
      <c r="J112" s="891"/>
    </row>
    <row r="113" spans="1:10" s="890" customFormat="1">
      <c r="A113" s="652"/>
      <c r="B113" s="657"/>
      <c r="C113" s="654"/>
      <c r="D113" s="659"/>
      <c r="E113" s="655"/>
      <c r="F113" s="656"/>
      <c r="J113" s="891"/>
    </row>
    <row r="114" spans="1:10" s="890" customFormat="1">
      <c r="A114" s="652" t="s">
        <v>1132</v>
      </c>
      <c r="B114" s="657" t="s">
        <v>1092</v>
      </c>
      <c r="C114" s="654">
        <v>1</v>
      </c>
      <c r="D114" s="659" t="s">
        <v>320</v>
      </c>
      <c r="E114" s="655">
        <f>Elec_Est!E189</f>
        <v>164.2</v>
      </c>
      <c r="F114" s="656">
        <f>E114*C114</f>
        <v>164.2</v>
      </c>
      <c r="J114" s="891"/>
    </row>
    <row r="115" spans="1:10" s="890" customFormat="1">
      <c r="A115" s="652"/>
      <c r="B115" s="657"/>
      <c r="C115" s="654"/>
      <c r="D115" s="659"/>
      <c r="E115" s="655"/>
      <c r="F115" s="656"/>
      <c r="J115" s="891"/>
    </row>
    <row r="116" spans="1:10" s="890" customFormat="1">
      <c r="A116" s="652"/>
      <c r="B116" s="657"/>
      <c r="C116" s="654"/>
      <c r="D116" s="659"/>
      <c r="E116" s="655"/>
      <c r="F116" s="656"/>
      <c r="J116" s="891"/>
    </row>
    <row r="117" spans="1:10" s="890" customFormat="1" ht="18" customHeight="1">
      <c r="A117" s="652" t="s">
        <v>392</v>
      </c>
      <c r="B117" s="923" t="s">
        <v>324</v>
      </c>
      <c r="C117" s="915"/>
      <c r="D117" s="659"/>
      <c r="E117" s="919"/>
      <c r="F117" s="656"/>
      <c r="J117" s="891"/>
    </row>
    <row r="118" spans="1:10" s="890" customFormat="1" ht="12.45" customHeight="1">
      <c r="A118" s="652"/>
      <c r="B118" s="899"/>
      <c r="C118" s="915"/>
      <c r="D118" s="659"/>
      <c r="E118" s="919"/>
      <c r="F118" s="656"/>
      <c r="J118" s="891"/>
    </row>
    <row r="119" spans="1:10" s="890" customFormat="1" ht="12.45" customHeight="1">
      <c r="A119" s="652" t="s">
        <v>1133</v>
      </c>
      <c r="B119" s="657" t="s">
        <v>1093</v>
      </c>
      <c r="C119" s="915"/>
      <c r="D119" s="659"/>
      <c r="E119" s="919"/>
      <c r="F119" s="656"/>
      <c r="J119" s="891"/>
    </row>
    <row r="120" spans="1:10" s="890" customFormat="1" ht="25.95" customHeight="1">
      <c r="A120" s="652"/>
      <c r="B120" s="657" t="s">
        <v>1094</v>
      </c>
      <c r="C120" s="915"/>
      <c r="D120" s="659"/>
      <c r="E120" s="919"/>
      <c r="F120" s="656"/>
      <c r="J120" s="891"/>
    </row>
    <row r="121" spans="1:10" s="890" customFormat="1" ht="12.45" customHeight="1">
      <c r="A121" s="652"/>
      <c r="B121" s="657"/>
      <c r="C121" s="915"/>
      <c r="D121" s="659"/>
      <c r="E121" s="919"/>
      <c r="F121" s="656"/>
      <c r="J121" s="891"/>
    </row>
    <row r="122" spans="1:10" s="890" customFormat="1" ht="12.45" customHeight="1">
      <c r="A122" s="652" t="s">
        <v>385</v>
      </c>
      <c r="B122" s="657" t="s">
        <v>1095</v>
      </c>
      <c r="C122" s="915">
        <v>30</v>
      </c>
      <c r="D122" s="659" t="s">
        <v>326</v>
      </c>
      <c r="E122" s="655">
        <f>Elec_Est!E203</f>
        <v>18.559999999999999</v>
      </c>
      <c r="F122" s="656">
        <f>E122*C122</f>
        <v>556.79999999999995</v>
      </c>
      <c r="J122" s="891"/>
    </row>
    <row r="123" spans="1:10" s="890" customFormat="1" ht="12.45" customHeight="1">
      <c r="A123" s="652"/>
      <c r="B123" s="892"/>
      <c r="C123" s="915"/>
      <c r="D123" s="659"/>
      <c r="E123" s="655"/>
      <c r="F123" s="656"/>
      <c r="J123" s="891"/>
    </row>
    <row r="124" spans="1:10" s="890" customFormat="1" ht="12.45" customHeight="1">
      <c r="A124" s="652" t="s">
        <v>386</v>
      </c>
      <c r="B124" s="657" t="s">
        <v>1096</v>
      </c>
      <c r="C124" s="915">
        <v>20</v>
      </c>
      <c r="D124" s="659" t="s">
        <v>326</v>
      </c>
      <c r="E124" s="655">
        <f>Elec_Est!E209</f>
        <v>18.559999999999999</v>
      </c>
      <c r="F124" s="656">
        <f>E124*C124</f>
        <v>371.2</v>
      </c>
      <c r="J124" s="891"/>
    </row>
    <row r="125" spans="1:10" s="890" customFormat="1" ht="12.45" customHeight="1">
      <c r="A125" s="652"/>
      <c r="B125" s="930"/>
      <c r="C125" s="918"/>
      <c r="D125" s="917"/>
      <c r="E125" s="655"/>
      <c r="F125" s="656"/>
      <c r="J125" s="891"/>
    </row>
    <row r="126" spans="1:10" s="890" customFormat="1" ht="12.45" customHeight="1">
      <c r="A126" s="652" t="s">
        <v>1134</v>
      </c>
      <c r="B126" s="657" t="s">
        <v>1097</v>
      </c>
      <c r="C126" s="915">
        <v>25</v>
      </c>
      <c r="D126" s="659" t="s">
        <v>326</v>
      </c>
      <c r="E126" s="655">
        <f>Elec_Est!E215</f>
        <v>20.56</v>
      </c>
      <c r="F126" s="656">
        <f>E126*C126</f>
        <v>514</v>
      </c>
      <c r="J126" s="891"/>
    </row>
    <row r="127" spans="1:10" s="890" customFormat="1" ht="12.45" customHeight="1">
      <c r="A127" s="652"/>
      <c r="B127" s="892"/>
      <c r="C127" s="915"/>
      <c r="D127" s="915"/>
      <c r="E127" s="655"/>
      <c r="F127" s="656"/>
      <c r="J127" s="891"/>
    </row>
    <row r="128" spans="1:10" s="890" customFormat="1" ht="12.45" customHeight="1">
      <c r="A128" s="652" t="s">
        <v>1135</v>
      </c>
      <c r="B128" s="657" t="s">
        <v>1098</v>
      </c>
      <c r="C128" s="915">
        <v>10</v>
      </c>
      <c r="D128" s="659" t="s">
        <v>326</v>
      </c>
      <c r="E128" s="655">
        <f>Elec_Est!E221</f>
        <v>20.56</v>
      </c>
      <c r="F128" s="656">
        <f>E128*C128</f>
        <v>205.6</v>
      </c>
      <c r="J128" s="891"/>
    </row>
    <row r="129" spans="1:10" s="890" customFormat="1" ht="12.45" customHeight="1">
      <c r="B129" s="657"/>
      <c r="C129" s="915"/>
      <c r="D129" s="659"/>
      <c r="E129" s="655"/>
      <c r="F129" s="656"/>
      <c r="J129" s="891"/>
    </row>
    <row r="130" spans="1:10" s="890" customFormat="1" ht="12.45" customHeight="1">
      <c r="A130" s="652" t="s">
        <v>1136</v>
      </c>
      <c r="B130" s="657" t="s">
        <v>479</v>
      </c>
      <c r="C130" s="915">
        <v>28</v>
      </c>
      <c r="D130" s="659" t="s">
        <v>326</v>
      </c>
      <c r="E130" s="655">
        <f>Elec_Est!E227</f>
        <v>22.62</v>
      </c>
      <c r="F130" s="656">
        <f>E130*C130</f>
        <v>633.36</v>
      </c>
      <c r="J130" s="891"/>
    </row>
    <row r="131" spans="1:10" s="890" customFormat="1" ht="12.45" customHeight="1">
      <c r="A131" s="652"/>
      <c r="B131" s="657"/>
      <c r="C131" s="915"/>
      <c r="D131" s="659"/>
      <c r="E131" s="655"/>
      <c r="F131" s="656"/>
      <c r="J131" s="891"/>
    </row>
    <row r="132" spans="1:10" s="890" customFormat="1" ht="12.45" customHeight="1">
      <c r="A132" s="652" t="s">
        <v>1137</v>
      </c>
      <c r="B132" s="657" t="s">
        <v>1099</v>
      </c>
      <c r="C132" s="915">
        <v>15</v>
      </c>
      <c r="D132" s="659" t="s">
        <v>326</v>
      </c>
      <c r="E132" s="655">
        <f>Elec_Est!E233</f>
        <v>22.62</v>
      </c>
      <c r="F132" s="656">
        <f>E132*C132</f>
        <v>339.3</v>
      </c>
      <c r="J132" s="891"/>
    </row>
    <row r="133" spans="1:10" s="890" customFormat="1" ht="12.45" customHeight="1">
      <c r="A133" s="652"/>
      <c r="B133" s="657"/>
      <c r="C133" s="915"/>
      <c r="D133" s="917"/>
      <c r="E133" s="655"/>
      <c r="F133" s="656"/>
      <c r="J133" s="891"/>
    </row>
    <row r="134" spans="1:10" s="890" customFormat="1" ht="12.45" customHeight="1">
      <c r="A134" s="652" t="s">
        <v>1138</v>
      </c>
      <c r="B134" s="657" t="s">
        <v>1100</v>
      </c>
      <c r="C134" s="915">
        <v>7</v>
      </c>
      <c r="D134" s="659" t="s">
        <v>326</v>
      </c>
      <c r="E134" s="655">
        <f>Elec_Est!E239</f>
        <v>30.01</v>
      </c>
      <c r="F134" s="656">
        <f>E134*C134</f>
        <v>210.07000000000002</v>
      </c>
      <c r="J134" s="891"/>
    </row>
    <row r="135" spans="1:10" s="890" customFormat="1" ht="12.45" customHeight="1">
      <c r="A135" s="652"/>
      <c r="B135" s="657"/>
      <c r="C135" s="915"/>
      <c r="D135" s="915"/>
      <c r="E135" s="655"/>
      <c r="F135" s="656"/>
      <c r="J135" s="891"/>
    </row>
    <row r="136" spans="1:10" s="890" customFormat="1" ht="12.45" customHeight="1">
      <c r="A136" s="652" t="s">
        <v>1139</v>
      </c>
      <c r="B136" s="657" t="s">
        <v>1101</v>
      </c>
      <c r="C136" s="915">
        <v>8</v>
      </c>
      <c r="D136" s="659" t="s">
        <v>326</v>
      </c>
      <c r="E136" s="655">
        <f>Elec_Est!E245</f>
        <v>43.69</v>
      </c>
      <c r="F136" s="656">
        <f>E136*C136</f>
        <v>349.52</v>
      </c>
      <c r="J136" s="891"/>
    </row>
    <row r="137" spans="1:10" s="890" customFormat="1" ht="12.45" customHeight="1">
      <c r="A137" s="652"/>
      <c r="B137" s="657"/>
      <c r="C137" s="915"/>
      <c r="D137" s="659"/>
      <c r="E137" s="655"/>
      <c r="F137" s="656"/>
      <c r="J137" s="891"/>
    </row>
    <row r="138" spans="1:10" s="890" customFormat="1" ht="12.45" customHeight="1">
      <c r="A138" s="652"/>
      <c r="B138" s="657"/>
      <c r="C138" s="915"/>
      <c r="D138" s="659"/>
      <c r="E138" s="655"/>
      <c r="F138" s="656"/>
      <c r="J138" s="891"/>
    </row>
    <row r="139" spans="1:10" s="890" customFormat="1" ht="19.95" customHeight="1">
      <c r="A139" s="652" t="s">
        <v>392</v>
      </c>
      <c r="B139" s="965" t="s">
        <v>1102</v>
      </c>
      <c r="C139" s="918"/>
      <c r="D139" s="917"/>
      <c r="E139" s="655"/>
      <c r="F139" s="656"/>
      <c r="J139" s="891"/>
    </row>
    <row r="140" spans="1:10" s="890" customFormat="1" ht="10.95" customHeight="1">
      <c r="A140" s="652"/>
      <c r="B140" s="899"/>
      <c r="C140" s="918"/>
      <c r="D140" s="917"/>
      <c r="E140" s="655"/>
      <c r="F140" s="656"/>
      <c r="J140" s="891"/>
    </row>
    <row r="141" spans="1:10" s="890" customFormat="1" ht="82.95" customHeight="1">
      <c r="A141" s="969" t="s">
        <v>1140</v>
      </c>
      <c r="B141" s="657" t="s">
        <v>1103</v>
      </c>
      <c r="C141" s="915"/>
      <c r="D141" s="659"/>
      <c r="E141" s="655"/>
      <c r="F141" s="656"/>
      <c r="J141" s="891"/>
    </row>
    <row r="142" spans="1:10" s="890" customFormat="1" ht="13.95" customHeight="1">
      <c r="A142" s="969"/>
      <c r="B142" s="657"/>
      <c r="C142" s="915"/>
      <c r="D142" s="659"/>
      <c r="E142" s="655"/>
      <c r="F142" s="656"/>
      <c r="J142" s="891"/>
    </row>
    <row r="143" spans="1:10" s="890" customFormat="1" ht="28.2" customHeight="1">
      <c r="A143" s="969" t="s">
        <v>387</v>
      </c>
      <c r="B143" s="657" t="s">
        <v>1104</v>
      </c>
      <c r="C143" s="915"/>
      <c r="D143" s="659"/>
      <c r="E143" s="655"/>
      <c r="F143" s="656"/>
      <c r="J143" s="891"/>
    </row>
    <row r="144" spans="1:10" s="890" customFormat="1" ht="19.2" customHeight="1">
      <c r="A144" s="969"/>
      <c r="B144" s="657" t="s">
        <v>1105</v>
      </c>
      <c r="C144" s="654">
        <v>25</v>
      </c>
      <c r="D144" s="659" t="s">
        <v>330</v>
      </c>
      <c r="E144" s="655">
        <f>Elec_Est!E259</f>
        <v>252.83</v>
      </c>
      <c r="F144" s="656">
        <f>E144*C144</f>
        <v>6320.75</v>
      </c>
      <c r="J144" s="891"/>
    </row>
    <row r="145" spans="1:10" s="890" customFormat="1" ht="12.75" customHeight="1">
      <c r="A145" s="969"/>
      <c r="B145" s="657"/>
      <c r="C145" s="654"/>
      <c r="D145" s="659"/>
      <c r="E145" s="655"/>
      <c r="F145" s="656"/>
      <c r="J145" s="891"/>
    </row>
    <row r="146" spans="1:10" s="890" customFormat="1" ht="12.75" customHeight="1">
      <c r="A146" s="969"/>
      <c r="B146" s="657"/>
      <c r="C146" s="654"/>
      <c r="D146" s="659"/>
      <c r="E146" s="655"/>
      <c r="F146" s="656"/>
      <c r="J146" s="891"/>
    </row>
    <row r="147" spans="1:10">
      <c r="A147" s="976"/>
      <c r="C147" s="978"/>
      <c r="D147" s="977"/>
      <c r="E147" s="979"/>
      <c r="F147" s="979"/>
    </row>
    <row r="148" spans="1:10" ht="13.8" thickBot="1">
      <c r="A148" s="980"/>
      <c r="C148" s="982"/>
      <c r="D148" s="981"/>
      <c r="E148" s="983"/>
      <c r="F148" s="983"/>
    </row>
    <row r="149" spans="1:10" s="890" customFormat="1">
      <c r="A149" s="937"/>
      <c r="B149" s="938"/>
      <c r="C149" s="940"/>
      <c r="D149" s="939"/>
      <c r="E149" s="941"/>
      <c r="F149" s="941"/>
      <c r="J149" s="891"/>
    </row>
    <row r="150" spans="1:10" s="890" customFormat="1">
      <c r="A150" s="942" t="s">
        <v>391</v>
      </c>
      <c r="B150" s="943" t="s">
        <v>315</v>
      </c>
      <c r="C150" s="945"/>
      <c r="D150" s="944"/>
      <c r="E150" s="914"/>
      <c r="F150" s="946">
        <f>SUM(F106:F148)</f>
        <v>10327.91</v>
      </c>
      <c r="J150" s="891"/>
    </row>
    <row r="151" spans="1:10" s="890" customFormat="1">
      <c r="A151" s="947"/>
      <c r="B151" s="948"/>
      <c r="C151" s="950"/>
      <c r="D151" s="949"/>
      <c r="E151" s="951"/>
      <c r="F151" s="951"/>
      <c r="J151" s="891"/>
    </row>
    <row r="152" spans="1:10" s="890" customFormat="1">
      <c r="A152" s="952"/>
      <c r="B152" s="953"/>
      <c r="C152" s="954"/>
      <c r="D152" s="953"/>
      <c r="E152" s="955"/>
      <c r="F152" s="956"/>
      <c r="J152" s="891"/>
    </row>
    <row r="153" spans="1:10" s="890" customFormat="1">
      <c r="A153" s="957"/>
      <c r="B153" s="958"/>
      <c r="C153" s="959"/>
      <c r="D153" s="958"/>
      <c r="E153" s="960"/>
      <c r="F153" s="961"/>
      <c r="J153" s="891"/>
    </row>
    <row r="154" spans="1:10" s="890" customFormat="1">
      <c r="A154" s="962"/>
      <c r="B154" s="963"/>
      <c r="C154" s="945"/>
      <c r="D154" s="944"/>
      <c r="E154" s="964"/>
      <c r="F154" s="914"/>
      <c r="J154" s="891"/>
    </row>
    <row r="155" spans="1:10" s="890" customFormat="1">
      <c r="A155" s="962"/>
      <c r="B155" s="963"/>
      <c r="C155" s="945"/>
      <c r="D155" s="944"/>
      <c r="E155" s="964"/>
      <c r="F155" s="914"/>
      <c r="J155" s="891"/>
    </row>
    <row r="156" spans="1:10" s="890" customFormat="1" ht="13.8" thickBot="1">
      <c r="A156" s="903" t="s">
        <v>306</v>
      </c>
      <c r="B156" s="904"/>
      <c r="C156" s="906" t="s">
        <v>307</v>
      </c>
      <c r="D156" s="905" t="s">
        <v>296</v>
      </c>
      <c r="E156" s="907" t="s">
        <v>308</v>
      </c>
      <c r="F156" s="908" t="s">
        <v>297</v>
      </c>
      <c r="J156" s="891"/>
    </row>
    <row r="157" spans="1:10" s="890" customFormat="1">
      <c r="A157" s="909"/>
      <c r="B157" s="910"/>
      <c r="C157" s="912"/>
      <c r="D157" s="911"/>
      <c r="E157" s="913"/>
      <c r="F157" s="914"/>
      <c r="J157" s="891"/>
    </row>
    <row r="158" spans="1:10" s="890" customFormat="1" ht="26.4">
      <c r="A158" s="652" t="s">
        <v>388</v>
      </c>
      <c r="B158" s="657" t="s">
        <v>1106</v>
      </c>
      <c r="C158" s="915"/>
      <c r="D158" s="659"/>
      <c r="E158" s="656"/>
      <c r="F158" s="931"/>
      <c r="J158" s="891"/>
    </row>
    <row r="159" spans="1:10" s="890" customFormat="1" ht="15.6">
      <c r="A159" s="652"/>
      <c r="B159" s="657" t="s">
        <v>1105</v>
      </c>
      <c r="C159" s="915">
        <v>23</v>
      </c>
      <c r="D159" s="659" t="s">
        <v>330</v>
      </c>
      <c r="E159" s="656">
        <f>Elec_Est!E271</f>
        <v>255.16</v>
      </c>
      <c r="F159" s="931">
        <f>E159*C159</f>
        <v>5868.68</v>
      </c>
      <c r="J159" s="891"/>
    </row>
    <row r="160" spans="1:10" s="890" customFormat="1">
      <c r="A160" s="928"/>
      <c r="B160" s="984"/>
      <c r="C160" s="654"/>
      <c r="D160" s="660"/>
      <c r="E160" s="936"/>
      <c r="F160" s="931"/>
      <c r="J160" s="891"/>
    </row>
    <row r="161" spans="1:10" s="890" customFormat="1" ht="26.4">
      <c r="A161" s="652" t="s">
        <v>1141</v>
      </c>
      <c r="B161" s="657" t="s">
        <v>1107</v>
      </c>
      <c r="C161" s="915"/>
      <c r="D161" s="659"/>
      <c r="E161" s="656"/>
      <c r="F161" s="931"/>
      <c r="J161" s="891"/>
    </row>
    <row r="162" spans="1:10" s="890" customFormat="1" ht="15.6">
      <c r="A162" s="652"/>
      <c r="B162" s="657" t="s">
        <v>1105</v>
      </c>
      <c r="C162" s="915">
        <v>29</v>
      </c>
      <c r="D162" s="659" t="s">
        <v>330</v>
      </c>
      <c r="E162" s="656">
        <f>Elec_Est!E277</f>
        <v>249.13</v>
      </c>
      <c r="F162" s="931">
        <f>E162*C162</f>
        <v>7224.7699999999995</v>
      </c>
      <c r="J162" s="891"/>
    </row>
    <row r="163" spans="1:10" s="890" customFormat="1">
      <c r="A163" s="652"/>
      <c r="B163" s="657"/>
      <c r="C163" s="915"/>
      <c r="D163" s="659"/>
      <c r="E163" s="656"/>
      <c r="F163" s="931"/>
      <c r="J163" s="891"/>
    </row>
    <row r="164" spans="1:10" s="890" customFormat="1">
      <c r="A164" s="932"/>
      <c r="B164" s="984"/>
      <c r="C164" s="654"/>
      <c r="D164" s="660"/>
      <c r="E164" s="936"/>
      <c r="F164" s="931"/>
      <c r="J164" s="891"/>
    </row>
    <row r="165" spans="1:10" s="890" customFormat="1">
      <c r="A165" s="652" t="s">
        <v>392</v>
      </c>
      <c r="B165" s="965" t="s">
        <v>351</v>
      </c>
      <c r="C165" s="654"/>
      <c r="D165" s="654"/>
      <c r="E165" s="656"/>
      <c r="F165" s="931"/>
      <c r="J165" s="891"/>
    </row>
    <row r="166" spans="1:10" s="890" customFormat="1">
      <c r="A166" s="652"/>
      <c r="B166" s="965"/>
      <c r="C166" s="654"/>
      <c r="D166" s="654"/>
      <c r="E166" s="656"/>
      <c r="F166" s="931"/>
      <c r="J166" s="891"/>
    </row>
    <row r="167" spans="1:10" s="890" customFormat="1" ht="70.95" customHeight="1">
      <c r="A167" s="652" t="s">
        <v>1142</v>
      </c>
      <c r="B167" s="657" t="s">
        <v>1108</v>
      </c>
      <c r="C167" s="915"/>
      <c r="D167" s="659"/>
      <c r="E167" s="656"/>
      <c r="F167" s="931"/>
      <c r="J167" s="891"/>
    </row>
    <row r="168" spans="1:10" s="890" customFormat="1">
      <c r="A168" s="652"/>
      <c r="B168" s="965"/>
      <c r="C168" s="654"/>
      <c r="D168" s="654"/>
      <c r="E168" s="656"/>
      <c r="F168" s="931"/>
      <c r="J168" s="891"/>
    </row>
    <row r="169" spans="1:10" s="890" customFormat="1" ht="52.8">
      <c r="A169" s="652" t="s">
        <v>389</v>
      </c>
      <c r="B169" s="985" t="s">
        <v>1109</v>
      </c>
      <c r="C169" s="654">
        <v>1</v>
      </c>
      <c r="D169" s="654" t="s">
        <v>312</v>
      </c>
      <c r="E169" s="656">
        <f>Elec_Est!F291+Elec_Est!F297</f>
        <v>1596.32</v>
      </c>
      <c r="F169" s="931">
        <f>E169*C169</f>
        <v>1596.32</v>
      </c>
      <c r="J169" s="891"/>
    </row>
    <row r="170" spans="1:10" s="890" customFormat="1">
      <c r="A170" s="652"/>
      <c r="B170" s="965"/>
      <c r="C170" s="654"/>
      <c r="D170" s="654"/>
      <c r="E170" s="656"/>
      <c r="F170" s="931"/>
      <c r="J170" s="891"/>
    </row>
    <row r="171" spans="1:10" s="890" customFormat="1" ht="105.6">
      <c r="A171" s="652" t="s">
        <v>390</v>
      </c>
      <c r="B171" s="985" t="s">
        <v>1110</v>
      </c>
      <c r="C171" s="654">
        <v>1</v>
      </c>
      <c r="D171" s="654" t="s">
        <v>312</v>
      </c>
      <c r="E171" s="656">
        <f>Elec_Est!E303+Elec_Est!E309</f>
        <v>2116.4</v>
      </c>
      <c r="F171" s="931">
        <f>E171*C171</f>
        <v>2116.4</v>
      </c>
      <c r="J171" s="891"/>
    </row>
    <row r="172" spans="1:10" s="890" customFormat="1">
      <c r="A172" s="652"/>
      <c r="B172" s="965"/>
      <c r="C172" s="654"/>
      <c r="D172" s="654"/>
      <c r="E172" s="656"/>
      <c r="F172" s="931"/>
      <c r="J172" s="891"/>
    </row>
    <row r="173" spans="1:10" s="890" customFormat="1" ht="39.6">
      <c r="A173" s="652" t="s">
        <v>1143</v>
      </c>
      <c r="B173" s="985" t="s">
        <v>1111</v>
      </c>
      <c r="C173" s="654">
        <v>1</v>
      </c>
      <c r="D173" s="654" t="s">
        <v>312</v>
      </c>
      <c r="E173" s="656">
        <f>Elec_Est!E315+Elec_Est!E321</f>
        <v>798.16</v>
      </c>
      <c r="F173" s="931">
        <f>E173*C173</f>
        <v>798.16</v>
      </c>
      <c r="G173" s="966"/>
      <c r="J173" s="891"/>
    </row>
    <row r="174" spans="1:10" s="890" customFormat="1">
      <c r="A174" s="652"/>
      <c r="B174" s="929"/>
      <c r="C174" s="654"/>
      <c r="D174" s="654"/>
      <c r="E174" s="656"/>
      <c r="F174" s="931"/>
      <c r="J174" s="891"/>
    </row>
    <row r="175" spans="1:10" s="890" customFormat="1" ht="79.2">
      <c r="A175" s="652" t="s">
        <v>1144</v>
      </c>
      <c r="B175" s="985" t="s">
        <v>1112</v>
      </c>
      <c r="C175" s="654">
        <v>1</v>
      </c>
      <c r="D175" s="654" t="s">
        <v>312</v>
      </c>
      <c r="E175" s="656">
        <f>Elec_Est!E327+Elec_Est!E333</f>
        <v>1399.21</v>
      </c>
      <c r="F175" s="931">
        <f>E175*C175</f>
        <v>1399.21</v>
      </c>
      <c r="G175" s="966"/>
      <c r="J175" s="891"/>
    </row>
    <row r="176" spans="1:10" s="890" customFormat="1">
      <c r="A176" s="969"/>
      <c r="B176" s="985"/>
      <c r="C176" s="935"/>
      <c r="D176" s="986"/>
      <c r="E176" s="656"/>
      <c r="F176" s="931"/>
      <c r="J176" s="891"/>
    </row>
    <row r="177" spans="1:10">
      <c r="A177" s="976"/>
      <c r="B177" s="987"/>
      <c r="C177" s="978"/>
      <c r="D177" s="977"/>
      <c r="E177" s="979"/>
      <c r="F177" s="931"/>
    </row>
    <row r="178" spans="1:10">
      <c r="A178" s="976"/>
      <c r="B178" s="987"/>
      <c r="C178" s="978"/>
      <c r="D178" s="977"/>
      <c r="E178" s="979"/>
      <c r="F178" s="931"/>
    </row>
    <row r="179" spans="1:10">
      <c r="A179" s="976"/>
      <c r="B179" s="987"/>
      <c r="C179" s="978"/>
      <c r="D179" s="977"/>
      <c r="E179" s="979"/>
      <c r="F179" s="931"/>
    </row>
    <row r="180" spans="1:10">
      <c r="A180" s="976"/>
      <c r="B180" s="987"/>
      <c r="C180" s="978"/>
      <c r="D180" s="977"/>
      <c r="E180" s="979"/>
      <c r="F180" s="979"/>
    </row>
    <row r="181" spans="1:10">
      <c r="A181" s="976"/>
      <c r="B181" s="987"/>
      <c r="C181" s="978"/>
      <c r="D181" s="977"/>
      <c r="E181" s="979"/>
      <c r="F181" s="979"/>
    </row>
    <row r="182" spans="1:10">
      <c r="A182" s="976"/>
      <c r="B182" s="987"/>
      <c r="C182" s="978"/>
      <c r="D182" s="977"/>
      <c r="E182" s="979"/>
      <c r="F182" s="979"/>
    </row>
    <row r="183" spans="1:10" s="890" customFormat="1">
      <c r="A183" s="969"/>
      <c r="B183" s="988"/>
      <c r="C183" s="935"/>
      <c r="D183" s="935"/>
      <c r="E183" s="656"/>
      <c r="F183" s="656"/>
      <c r="J183" s="891"/>
    </row>
    <row r="184" spans="1:10" s="890" customFormat="1">
      <c r="A184" s="969"/>
      <c r="B184" s="985"/>
      <c r="C184" s="935"/>
      <c r="D184" s="935"/>
      <c r="E184" s="920"/>
      <c r="F184" s="920"/>
      <c r="J184" s="891"/>
    </row>
    <row r="185" spans="1:10" s="890" customFormat="1" ht="13.8" thickBot="1">
      <c r="A185" s="971"/>
      <c r="B185" s="933"/>
      <c r="C185" s="990"/>
      <c r="D185" s="989"/>
      <c r="E185" s="991"/>
      <c r="F185" s="991"/>
      <c r="J185" s="891"/>
    </row>
    <row r="186" spans="1:10" s="890" customFormat="1">
      <c r="A186" s="937"/>
      <c r="B186" s="938"/>
      <c r="C186" s="940"/>
      <c r="D186" s="939"/>
      <c r="E186" s="941"/>
      <c r="F186" s="941"/>
      <c r="J186" s="891"/>
    </row>
    <row r="187" spans="1:10" s="890" customFormat="1">
      <c r="A187" s="942" t="s">
        <v>391</v>
      </c>
      <c r="B187" s="943" t="s">
        <v>315</v>
      </c>
      <c r="C187" s="945"/>
      <c r="D187" s="944"/>
      <c r="E187" s="914"/>
      <c r="F187" s="946">
        <f>SUM(F157:F185)</f>
        <v>19003.54</v>
      </c>
      <c r="J187" s="891"/>
    </row>
    <row r="188" spans="1:10" s="890" customFormat="1">
      <c r="A188" s="947"/>
      <c r="B188" s="948"/>
      <c r="C188" s="950"/>
      <c r="D188" s="949"/>
      <c r="E188" s="951"/>
      <c r="F188" s="951"/>
      <c r="J188" s="891"/>
    </row>
    <row r="189" spans="1:10" s="890" customFormat="1">
      <c r="A189" s="952"/>
      <c r="B189" s="953"/>
      <c r="C189" s="954"/>
      <c r="D189" s="953"/>
      <c r="E189" s="955"/>
      <c r="F189" s="956"/>
      <c r="J189" s="891"/>
    </row>
    <row r="190" spans="1:10" s="891" customFormat="1">
      <c r="A190" s="957"/>
      <c r="B190" s="958"/>
      <c r="C190" s="959"/>
      <c r="D190" s="958"/>
      <c r="E190" s="960"/>
      <c r="F190" s="961"/>
      <c r="G190" s="890"/>
      <c r="H190" s="890"/>
      <c r="I190" s="890"/>
    </row>
    <row r="191" spans="1:10" s="891" customFormat="1">
      <c r="A191" s="962"/>
      <c r="B191" s="963"/>
      <c r="C191" s="945"/>
      <c r="D191" s="944"/>
      <c r="E191" s="964"/>
      <c r="F191" s="914"/>
      <c r="G191" s="890"/>
      <c r="H191" s="890"/>
      <c r="I191" s="890"/>
    </row>
    <row r="192" spans="1:10" s="891" customFormat="1">
      <c r="A192" s="962"/>
      <c r="B192" s="963"/>
      <c r="C192" s="945"/>
      <c r="D192" s="944"/>
      <c r="E192" s="964"/>
      <c r="F192" s="914"/>
      <c r="G192" s="890"/>
      <c r="H192" s="890"/>
      <c r="I192" s="890"/>
    </row>
    <row r="193" spans="1:10" s="891" customFormat="1" ht="13.8" thickBot="1">
      <c r="A193" s="903" t="s">
        <v>306</v>
      </c>
      <c r="B193" s="904"/>
      <c r="C193" s="906" t="s">
        <v>307</v>
      </c>
      <c r="D193" s="905" t="s">
        <v>296</v>
      </c>
      <c r="E193" s="907" t="s">
        <v>308</v>
      </c>
      <c r="F193" s="908" t="s">
        <v>297</v>
      </c>
      <c r="G193" s="890"/>
      <c r="H193" s="890"/>
      <c r="I193" s="890"/>
    </row>
    <row r="194" spans="1:10" s="891" customFormat="1">
      <c r="A194" s="992"/>
      <c r="B194" s="910"/>
      <c r="C194" s="912"/>
      <c r="D194" s="911"/>
      <c r="E194" s="913"/>
      <c r="F194" s="914"/>
      <c r="G194" s="890"/>
      <c r="H194" s="890"/>
      <c r="I194" s="890"/>
    </row>
    <row r="195" spans="1:10" s="890" customFormat="1" ht="92.4">
      <c r="A195" s="652" t="s">
        <v>1145</v>
      </c>
      <c r="B195" s="929" t="s">
        <v>1113</v>
      </c>
      <c r="C195" s="654">
        <v>1</v>
      </c>
      <c r="D195" s="654" t="s">
        <v>312</v>
      </c>
      <c r="E195" s="655">
        <f>Elec_Est!E345+Elec_Est!E351</f>
        <v>1633.27</v>
      </c>
      <c r="F195" s="656">
        <f>E195*C195</f>
        <v>1633.27</v>
      </c>
      <c r="G195" s="966"/>
      <c r="J195" s="891"/>
    </row>
    <row r="196" spans="1:10" s="890" customFormat="1">
      <c r="A196" s="652"/>
      <c r="B196" s="985"/>
      <c r="C196" s="654"/>
      <c r="D196" s="659"/>
      <c r="E196" s="655"/>
      <c r="F196" s="656"/>
      <c r="J196" s="891"/>
    </row>
    <row r="197" spans="1:10" s="890" customFormat="1" ht="39.6">
      <c r="A197" s="652" t="s">
        <v>1146</v>
      </c>
      <c r="B197" s="985" t="s">
        <v>1114</v>
      </c>
      <c r="C197" s="654">
        <v>1</v>
      </c>
      <c r="D197" s="654" t="s">
        <v>312</v>
      </c>
      <c r="E197" s="655">
        <f>Elec_Est!E357+Elec_Est!E363</f>
        <v>798.16</v>
      </c>
      <c r="F197" s="656">
        <f>E197*C197</f>
        <v>798.16</v>
      </c>
      <c r="G197" s="966"/>
      <c r="J197" s="891"/>
    </row>
    <row r="198" spans="1:10" s="890" customFormat="1">
      <c r="A198" s="652"/>
      <c r="B198" s="985"/>
      <c r="C198" s="654"/>
      <c r="D198" s="659"/>
      <c r="E198" s="655"/>
      <c r="F198" s="656"/>
      <c r="J198" s="891"/>
    </row>
    <row r="199" spans="1:10" s="890" customFormat="1" ht="79.2">
      <c r="A199" s="652" t="s">
        <v>1147</v>
      </c>
      <c r="B199" s="985" t="s">
        <v>1115</v>
      </c>
      <c r="C199" s="654">
        <v>1</v>
      </c>
      <c r="D199" s="654" t="s">
        <v>312</v>
      </c>
      <c r="E199" s="655">
        <f>Elec_Est!E369+Elec_Est!E375</f>
        <v>1399.21</v>
      </c>
      <c r="F199" s="656">
        <f t="shared" ref="F199:F205" si="0">E199*C199</f>
        <v>1399.21</v>
      </c>
      <c r="G199" s="966"/>
      <c r="J199" s="891"/>
    </row>
    <row r="200" spans="1:10" s="890" customFormat="1">
      <c r="A200" s="652"/>
      <c r="B200" s="985"/>
      <c r="C200" s="654"/>
      <c r="D200" s="659"/>
      <c r="E200" s="655"/>
      <c r="F200" s="656"/>
      <c r="J200" s="891"/>
    </row>
    <row r="201" spans="1:10" s="890" customFormat="1" ht="92.4">
      <c r="A201" s="652" t="s">
        <v>1148</v>
      </c>
      <c r="B201" s="929" t="s">
        <v>1113</v>
      </c>
      <c r="C201" s="654">
        <v>1</v>
      </c>
      <c r="D201" s="654" t="s">
        <v>312</v>
      </c>
      <c r="E201" s="655">
        <f>Elec_Est!E381+Elec_Est!E387</f>
        <v>1633.27</v>
      </c>
      <c r="F201" s="656">
        <f t="shared" si="0"/>
        <v>1633.27</v>
      </c>
      <c r="G201" s="966"/>
      <c r="J201" s="891"/>
    </row>
    <row r="202" spans="1:10" s="891" customFormat="1">
      <c r="A202" s="932"/>
      <c r="B202" s="984"/>
      <c r="C202" s="654"/>
      <c r="D202" s="660"/>
      <c r="E202" s="936"/>
      <c r="F202" s="656"/>
      <c r="G202" s="890"/>
      <c r="H202" s="890"/>
      <c r="I202" s="890"/>
    </row>
    <row r="203" spans="1:10" s="891" customFormat="1" ht="41.4" customHeight="1">
      <c r="A203" s="652" t="s">
        <v>1149</v>
      </c>
      <c r="B203" s="993" t="s">
        <v>1116</v>
      </c>
      <c r="C203" s="654">
        <v>1</v>
      </c>
      <c r="D203" s="654" t="s">
        <v>312</v>
      </c>
      <c r="E203" s="656">
        <f>Elec_Est!E393+Elec_Est!E399</f>
        <v>1318.24</v>
      </c>
      <c r="F203" s="656">
        <f t="shared" si="0"/>
        <v>1318.24</v>
      </c>
      <c r="G203" s="966"/>
      <c r="H203" s="890"/>
      <c r="I203" s="890"/>
    </row>
    <row r="204" spans="1:10" s="891" customFormat="1">
      <c r="A204" s="652"/>
      <c r="B204" s="929"/>
      <c r="C204" s="654"/>
      <c r="D204" s="654"/>
      <c r="E204" s="655"/>
      <c r="F204" s="656"/>
      <c r="G204" s="890"/>
      <c r="H204" s="890"/>
      <c r="I204" s="890"/>
    </row>
    <row r="205" spans="1:10" s="891" customFormat="1" ht="66">
      <c r="A205" s="652" t="s">
        <v>1150</v>
      </c>
      <c r="B205" s="985" t="s">
        <v>1117</v>
      </c>
      <c r="C205" s="654">
        <v>32</v>
      </c>
      <c r="D205" s="654" t="s">
        <v>330</v>
      </c>
      <c r="E205" s="655">
        <f>Elec_Est!E405</f>
        <v>218.18</v>
      </c>
      <c r="F205" s="656">
        <f t="shared" si="0"/>
        <v>6981.76</v>
      </c>
      <c r="G205" s="966"/>
      <c r="H205" s="890"/>
      <c r="I205" s="966"/>
    </row>
    <row r="206" spans="1:10" s="891" customFormat="1">
      <c r="A206" s="652"/>
      <c r="B206" s="985"/>
      <c r="C206" s="654"/>
      <c r="D206" s="654"/>
      <c r="E206" s="655"/>
      <c r="F206" s="656"/>
      <c r="G206" s="966"/>
      <c r="H206" s="890"/>
      <c r="I206" s="966"/>
    </row>
    <row r="207" spans="1:10" s="891" customFormat="1">
      <c r="A207" s="652"/>
      <c r="B207" s="985"/>
      <c r="C207" s="654"/>
      <c r="D207" s="654"/>
      <c r="E207" s="655"/>
      <c r="F207" s="656"/>
      <c r="G207" s="966"/>
      <c r="H207" s="890"/>
      <c r="I207" s="966"/>
    </row>
    <row r="208" spans="1:10" s="891" customFormat="1">
      <c r="A208" s="652"/>
      <c r="B208" s="985"/>
      <c r="C208" s="654"/>
      <c r="D208" s="654"/>
      <c r="E208" s="655"/>
      <c r="F208" s="656"/>
      <c r="G208" s="966"/>
      <c r="H208" s="890"/>
      <c r="I208" s="966"/>
    </row>
    <row r="209" spans="1:9" s="891" customFormat="1">
      <c r="A209" s="652"/>
      <c r="B209" s="985"/>
      <c r="C209" s="654"/>
      <c r="D209" s="654"/>
      <c r="E209" s="655"/>
      <c r="F209" s="656"/>
      <c r="G209" s="966"/>
      <c r="H209" s="890"/>
      <c r="I209" s="966"/>
    </row>
    <row r="210" spans="1:9" s="891" customFormat="1">
      <c r="A210" s="652"/>
      <c r="B210" s="985"/>
      <c r="C210" s="654"/>
      <c r="D210" s="654"/>
      <c r="E210" s="655"/>
      <c r="F210" s="656"/>
      <c r="G210" s="966"/>
      <c r="H210" s="890"/>
      <c r="I210" s="966"/>
    </row>
    <row r="211" spans="1:9" s="891" customFormat="1">
      <c r="A211" s="652"/>
      <c r="B211" s="985"/>
      <c r="C211" s="654"/>
      <c r="D211" s="654"/>
      <c r="E211" s="655"/>
      <c r="F211" s="656"/>
      <c r="G211" s="966"/>
      <c r="H211" s="890"/>
      <c r="I211" s="966"/>
    </row>
    <row r="212" spans="1:9" s="891" customFormat="1">
      <c r="A212" s="652"/>
      <c r="B212" s="985"/>
      <c r="C212" s="654"/>
      <c r="D212" s="654"/>
      <c r="E212" s="655"/>
      <c r="F212" s="656"/>
      <c r="G212" s="966"/>
      <c r="H212" s="890"/>
      <c r="I212" s="966"/>
    </row>
    <row r="213" spans="1:9" s="891" customFormat="1">
      <c r="A213" s="652"/>
      <c r="B213" s="985"/>
      <c r="C213" s="654"/>
      <c r="D213" s="654"/>
      <c r="E213" s="655"/>
      <c r="F213" s="656"/>
      <c r="G213" s="966"/>
      <c r="H213" s="890"/>
      <c r="I213" s="966"/>
    </row>
    <row r="214" spans="1:9" s="891" customFormat="1">
      <c r="A214" s="652"/>
      <c r="B214" s="985"/>
      <c r="C214" s="654"/>
      <c r="D214" s="654"/>
      <c r="E214" s="655"/>
      <c r="F214" s="656"/>
      <c r="G214" s="966"/>
      <c r="H214" s="890"/>
      <c r="I214" s="966"/>
    </row>
    <row r="215" spans="1:9" s="891" customFormat="1">
      <c r="A215" s="652"/>
      <c r="B215" s="985"/>
      <c r="C215" s="654"/>
      <c r="D215" s="654"/>
      <c r="E215" s="655"/>
      <c r="F215" s="656"/>
      <c r="G215" s="966"/>
      <c r="H215" s="890"/>
      <c r="I215" s="966"/>
    </row>
    <row r="216" spans="1:9" s="891" customFormat="1">
      <c r="A216" s="652"/>
      <c r="B216" s="985"/>
      <c r="C216" s="654"/>
      <c r="D216" s="654"/>
      <c r="E216" s="655"/>
      <c r="F216" s="656"/>
      <c r="G216" s="966"/>
      <c r="H216" s="890"/>
      <c r="I216" s="966"/>
    </row>
    <row r="217" spans="1:9" s="891" customFormat="1">
      <c r="A217" s="652"/>
      <c r="B217" s="985"/>
      <c r="C217" s="654"/>
      <c r="D217" s="654"/>
      <c r="E217" s="655"/>
      <c r="F217" s="656"/>
      <c r="G217" s="966"/>
      <c r="H217" s="890"/>
      <c r="I217" s="966"/>
    </row>
    <row r="218" spans="1:9" s="891" customFormat="1">
      <c r="A218" s="652"/>
      <c r="B218" s="985"/>
      <c r="C218" s="654"/>
      <c r="D218" s="654"/>
      <c r="E218" s="655"/>
      <c r="F218" s="656"/>
      <c r="G218" s="966"/>
      <c r="H218" s="890"/>
      <c r="I218" s="966"/>
    </row>
    <row r="219" spans="1:9" s="891" customFormat="1">
      <c r="A219" s="652"/>
      <c r="B219" s="985"/>
      <c r="C219" s="654"/>
      <c r="D219" s="654"/>
      <c r="E219" s="655"/>
      <c r="F219" s="656"/>
      <c r="G219" s="966"/>
      <c r="H219" s="890"/>
      <c r="I219" s="966"/>
    </row>
    <row r="220" spans="1:9" s="891" customFormat="1" ht="13.8" thickBot="1">
      <c r="A220" s="652"/>
      <c r="B220" s="985"/>
      <c r="C220" s="654"/>
      <c r="D220" s="654"/>
      <c r="E220" s="655"/>
      <c r="F220" s="656"/>
      <c r="G220" s="966"/>
      <c r="H220" s="890"/>
      <c r="I220" s="966"/>
    </row>
    <row r="221" spans="1:9" s="891" customFormat="1">
      <c r="A221" s="937"/>
      <c r="B221" s="938"/>
      <c r="C221" s="940"/>
      <c r="D221" s="939"/>
      <c r="E221" s="941"/>
      <c r="F221" s="941"/>
      <c r="G221" s="890"/>
      <c r="H221" s="890"/>
      <c r="I221" s="890"/>
    </row>
    <row r="222" spans="1:9" s="891" customFormat="1">
      <c r="A222" s="942" t="s">
        <v>391</v>
      </c>
      <c r="B222" s="943" t="s">
        <v>315</v>
      </c>
      <c r="C222" s="945"/>
      <c r="D222" s="944"/>
      <c r="E222" s="914"/>
      <c r="F222" s="946">
        <f>SUM(F194:F218)</f>
        <v>13763.91</v>
      </c>
      <c r="G222" s="890"/>
      <c r="H222" s="890"/>
      <c r="I222" s="890"/>
    </row>
    <row r="223" spans="1:9" s="891" customFormat="1">
      <c r="A223" s="947"/>
      <c r="B223" s="948"/>
      <c r="C223" s="950"/>
      <c r="D223" s="949"/>
      <c r="E223" s="951"/>
      <c r="F223" s="951"/>
      <c r="G223" s="890"/>
      <c r="H223" s="890"/>
      <c r="I223" s="890"/>
    </row>
    <row r="224" spans="1:9" s="891" customFormat="1">
      <c r="A224" s="952"/>
      <c r="B224" s="953"/>
      <c r="C224" s="954"/>
      <c r="D224" s="953"/>
      <c r="E224" s="955"/>
      <c r="F224" s="956"/>
      <c r="G224" s="890"/>
      <c r="H224" s="890"/>
      <c r="I224" s="890"/>
    </row>
    <row r="225" spans="1:10" s="891" customFormat="1">
      <c r="A225" s="957"/>
      <c r="B225" s="958"/>
      <c r="C225" s="959"/>
      <c r="D225" s="958"/>
      <c r="E225" s="960"/>
      <c r="F225" s="961"/>
      <c r="G225" s="890"/>
      <c r="H225" s="890"/>
      <c r="I225" s="890"/>
    </row>
    <row r="226" spans="1:10" s="891" customFormat="1">
      <c r="A226" s="962"/>
      <c r="B226" s="963"/>
      <c r="C226" s="945"/>
      <c r="D226" s="944"/>
      <c r="E226" s="964"/>
      <c r="F226" s="914"/>
      <c r="G226" s="890"/>
      <c r="H226" s="890"/>
      <c r="I226" s="890"/>
    </row>
    <row r="227" spans="1:10" s="890" customFormat="1">
      <c r="A227" s="962"/>
      <c r="B227" s="963"/>
      <c r="C227" s="945"/>
      <c r="D227" s="944"/>
      <c r="E227" s="964"/>
      <c r="F227" s="914"/>
      <c r="J227" s="891"/>
    </row>
    <row r="228" spans="1:10" s="890" customFormat="1" ht="13.8" thickBot="1">
      <c r="A228" s="903" t="s">
        <v>306</v>
      </c>
      <c r="B228" s="904"/>
      <c r="C228" s="906" t="s">
        <v>307</v>
      </c>
      <c r="D228" s="905" t="s">
        <v>296</v>
      </c>
      <c r="E228" s="907" t="s">
        <v>308</v>
      </c>
      <c r="F228" s="908" t="s">
        <v>297</v>
      </c>
      <c r="J228" s="891"/>
    </row>
    <row r="229" spans="1:10" s="890" customFormat="1">
      <c r="A229" s="909"/>
      <c r="B229" s="910"/>
      <c r="C229" s="912"/>
      <c r="D229" s="911"/>
      <c r="E229" s="913"/>
      <c r="F229" s="914"/>
      <c r="J229" s="891"/>
    </row>
    <row r="230" spans="1:10" s="890" customFormat="1" ht="19.95" customHeight="1">
      <c r="A230" s="994" t="s">
        <v>392</v>
      </c>
      <c r="B230" s="916" t="s">
        <v>357</v>
      </c>
      <c r="C230" s="935"/>
      <c r="D230" s="659"/>
      <c r="E230" s="919"/>
      <c r="F230" s="920"/>
      <c r="J230" s="891"/>
    </row>
    <row r="231" spans="1:10" s="890" customFormat="1" ht="15.6">
      <c r="A231" s="994"/>
      <c r="B231" s="995"/>
      <c r="C231" s="935"/>
      <c r="D231" s="659"/>
      <c r="E231" s="919"/>
      <c r="F231" s="920"/>
      <c r="J231" s="891"/>
    </row>
    <row r="232" spans="1:10" s="890" customFormat="1" ht="39.6">
      <c r="A232" s="652">
        <v>13</v>
      </c>
      <c r="B232" s="657" t="s">
        <v>358</v>
      </c>
      <c r="C232" s="654">
        <v>1</v>
      </c>
      <c r="D232" s="659" t="s">
        <v>312</v>
      </c>
      <c r="E232" s="655">
        <f>Elec_Est!E421</f>
        <v>271.88</v>
      </c>
      <c r="F232" s="656">
        <f>E232*C232</f>
        <v>271.88</v>
      </c>
      <c r="J232" s="891"/>
    </row>
    <row r="233" spans="1:10" s="890" customFormat="1">
      <c r="A233" s="652"/>
      <c r="B233" s="926"/>
      <c r="C233" s="654"/>
      <c r="D233" s="659"/>
      <c r="E233" s="655"/>
      <c r="F233" s="656"/>
      <c r="J233" s="891"/>
    </row>
    <row r="234" spans="1:10" s="890" customFormat="1">
      <c r="A234" s="652"/>
      <c r="B234" s="926"/>
      <c r="C234" s="654"/>
      <c r="D234" s="659"/>
      <c r="E234" s="655"/>
      <c r="F234" s="656"/>
      <c r="J234" s="891"/>
    </row>
    <row r="235" spans="1:10" s="890" customFormat="1" ht="26.4">
      <c r="A235" s="652">
        <v>14</v>
      </c>
      <c r="B235" s="926" t="s">
        <v>359</v>
      </c>
      <c r="C235" s="654">
        <v>1</v>
      </c>
      <c r="D235" s="659" t="s">
        <v>312</v>
      </c>
      <c r="E235" s="655">
        <f>Elec_Est!E427</f>
        <v>150.46</v>
      </c>
      <c r="F235" s="656">
        <f>E235*C235</f>
        <v>150.46</v>
      </c>
      <c r="J235" s="891"/>
    </row>
    <row r="236" spans="1:10" s="890" customFormat="1">
      <c r="A236" s="652"/>
      <c r="B236" s="996"/>
      <c r="C236" s="654"/>
      <c r="D236" s="659"/>
      <c r="E236" s="655"/>
      <c r="F236" s="656"/>
      <c r="J236" s="891"/>
    </row>
    <row r="237" spans="1:10" s="890" customFormat="1">
      <c r="A237" s="652"/>
      <c r="B237" s="996"/>
      <c r="C237" s="654"/>
      <c r="D237" s="659"/>
      <c r="E237" s="655"/>
      <c r="F237" s="656"/>
      <c r="J237" s="891"/>
    </row>
    <row r="238" spans="1:10" s="890" customFormat="1" ht="39.6">
      <c r="A238" s="652">
        <v>15</v>
      </c>
      <c r="B238" s="926" t="s">
        <v>360</v>
      </c>
      <c r="C238" s="654">
        <v>1</v>
      </c>
      <c r="D238" s="659" t="s">
        <v>312</v>
      </c>
      <c r="E238" s="655">
        <f>Elec_Est!E433</f>
        <v>472.49</v>
      </c>
      <c r="F238" s="656">
        <f>E238*C238</f>
        <v>472.49</v>
      </c>
      <c r="J238" s="891"/>
    </row>
    <row r="239" spans="1:10" s="890" customFormat="1">
      <c r="A239" s="652"/>
      <c r="B239" s="996"/>
      <c r="C239" s="654"/>
      <c r="D239" s="659"/>
      <c r="E239" s="655"/>
      <c r="F239" s="656"/>
      <c r="J239" s="891"/>
    </row>
    <row r="240" spans="1:10" s="890" customFormat="1">
      <c r="A240" s="652"/>
      <c r="B240" s="996"/>
      <c r="C240" s="654"/>
      <c r="D240" s="659"/>
      <c r="E240" s="655"/>
      <c r="F240" s="656"/>
      <c r="J240" s="891"/>
    </row>
    <row r="241" spans="1:10" s="890" customFormat="1">
      <c r="A241" s="652">
        <v>16</v>
      </c>
      <c r="B241" s="927" t="s">
        <v>1118</v>
      </c>
      <c r="C241" s="654"/>
      <c r="D241" s="659"/>
      <c r="E241" s="655"/>
      <c r="F241" s="656"/>
      <c r="J241" s="891"/>
    </row>
    <row r="242" spans="1:10" s="890" customFormat="1">
      <c r="A242" s="652"/>
      <c r="B242" s="657" t="s">
        <v>1119</v>
      </c>
      <c r="C242" s="654">
        <v>1</v>
      </c>
      <c r="D242" s="659" t="s">
        <v>312</v>
      </c>
      <c r="E242" s="655">
        <f>Elec_Est!E439</f>
        <v>0</v>
      </c>
      <c r="F242" s="656">
        <f>E242*C242</f>
        <v>0</v>
      </c>
      <c r="J242" s="891"/>
    </row>
    <row r="243" spans="1:10" s="890" customFormat="1">
      <c r="A243" s="652"/>
      <c r="B243" s="657"/>
      <c r="C243" s="654"/>
      <c r="D243" s="659"/>
      <c r="E243" s="655"/>
      <c r="F243" s="656"/>
      <c r="J243" s="891"/>
    </row>
    <row r="244" spans="1:10" s="890" customFormat="1">
      <c r="A244" s="652"/>
      <c r="B244" s="657"/>
      <c r="C244" s="975"/>
      <c r="D244" s="659"/>
      <c r="E244" s="655"/>
      <c r="F244" s="656"/>
      <c r="J244" s="891"/>
    </row>
    <row r="245" spans="1:10" s="890" customFormat="1" ht="39.6">
      <c r="A245" s="652">
        <v>17</v>
      </c>
      <c r="B245" s="927" t="s">
        <v>361</v>
      </c>
      <c r="C245" s="654">
        <v>1</v>
      </c>
      <c r="D245" s="659" t="s">
        <v>312</v>
      </c>
      <c r="E245" s="655">
        <f>Elec_Est!E445</f>
        <v>747.01</v>
      </c>
      <c r="F245" s="656">
        <f>E245*C245</f>
        <v>747.01</v>
      </c>
      <c r="J245" s="891"/>
    </row>
    <row r="246" spans="1:10" s="890" customFormat="1">
      <c r="A246" s="652"/>
      <c r="B246" s="985"/>
      <c r="C246" s="654"/>
      <c r="D246" s="659"/>
      <c r="E246" s="655"/>
      <c r="F246" s="656"/>
      <c r="J246" s="891"/>
    </row>
    <row r="247" spans="1:10" s="890" customFormat="1">
      <c r="A247" s="652"/>
      <c r="B247" s="985"/>
      <c r="C247" s="654"/>
      <c r="D247" s="659"/>
      <c r="E247" s="655"/>
      <c r="F247" s="656"/>
      <c r="J247" s="891"/>
    </row>
    <row r="248" spans="1:10" s="890" customFormat="1" ht="92.4">
      <c r="A248" s="652"/>
      <c r="B248" s="658" t="s">
        <v>1120</v>
      </c>
      <c r="C248" s="654"/>
      <c r="D248" s="659"/>
      <c r="E248" s="655"/>
      <c r="F248" s="656"/>
      <c r="J248" s="891"/>
    </row>
    <row r="249" spans="1:10" s="890" customFormat="1">
      <c r="A249" s="652"/>
      <c r="B249" s="985"/>
      <c r="C249" s="654"/>
      <c r="D249" s="659"/>
      <c r="E249" s="655"/>
      <c r="F249" s="656"/>
      <c r="J249" s="891"/>
    </row>
    <row r="250" spans="1:10" s="890" customFormat="1">
      <c r="A250" s="652"/>
      <c r="B250" s="985"/>
      <c r="C250" s="654"/>
      <c r="D250" s="659"/>
      <c r="E250" s="655"/>
      <c r="F250" s="656"/>
      <c r="J250" s="891"/>
    </row>
    <row r="251" spans="1:10" s="890" customFormat="1">
      <c r="A251" s="652"/>
      <c r="B251" s="985"/>
      <c r="C251" s="654"/>
      <c r="D251" s="659"/>
      <c r="E251" s="655"/>
      <c r="F251" s="656"/>
      <c r="J251" s="891"/>
    </row>
    <row r="252" spans="1:10" s="890" customFormat="1">
      <c r="A252" s="652"/>
      <c r="B252" s="985"/>
      <c r="C252" s="654"/>
      <c r="D252" s="659"/>
      <c r="E252" s="655"/>
      <c r="F252" s="656"/>
      <c r="J252" s="891"/>
    </row>
    <row r="253" spans="1:10" s="890" customFormat="1">
      <c r="A253" s="652"/>
      <c r="B253" s="985"/>
      <c r="C253" s="654"/>
      <c r="D253" s="659"/>
      <c r="E253" s="655"/>
      <c r="F253" s="656"/>
      <c r="J253" s="891"/>
    </row>
    <row r="254" spans="1:10" s="890" customFormat="1">
      <c r="A254" s="652"/>
      <c r="B254" s="985"/>
      <c r="C254" s="654"/>
      <c r="D254" s="659"/>
      <c r="E254" s="919"/>
      <c r="F254" s="920"/>
      <c r="J254" s="891"/>
    </row>
    <row r="255" spans="1:10" s="890" customFormat="1">
      <c r="A255" s="652"/>
      <c r="B255" s="985"/>
      <c r="C255" s="654"/>
      <c r="D255" s="659"/>
      <c r="E255" s="919"/>
      <c r="F255" s="920"/>
      <c r="J255" s="891"/>
    </row>
    <row r="256" spans="1:10" s="890" customFormat="1">
      <c r="A256" s="652"/>
      <c r="B256" s="985"/>
      <c r="C256" s="654"/>
      <c r="D256" s="659"/>
      <c r="E256" s="919"/>
      <c r="F256" s="920"/>
      <c r="J256" s="891"/>
    </row>
    <row r="257" spans="1:10" s="890" customFormat="1">
      <c r="A257" s="652"/>
      <c r="B257" s="985"/>
      <c r="C257" s="654"/>
      <c r="D257" s="659"/>
      <c r="E257" s="919"/>
      <c r="F257" s="920"/>
      <c r="J257" s="891"/>
    </row>
    <row r="258" spans="1:10" s="890" customFormat="1">
      <c r="A258" s="652"/>
      <c r="B258" s="985"/>
      <c r="C258" s="654"/>
      <c r="D258" s="659"/>
      <c r="E258" s="919"/>
      <c r="F258" s="920"/>
      <c r="J258" s="891"/>
    </row>
    <row r="259" spans="1:10" s="890" customFormat="1">
      <c r="A259" s="652"/>
      <c r="B259" s="985"/>
      <c r="C259" s="654"/>
      <c r="D259" s="659"/>
      <c r="E259" s="919"/>
      <c r="F259" s="920"/>
      <c r="J259" s="891"/>
    </row>
    <row r="260" spans="1:10" s="890" customFormat="1">
      <c r="A260" s="652"/>
      <c r="B260" s="985"/>
      <c r="C260" s="654"/>
      <c r="D260" s="659"/>
      <c r="E260" s="919"/>
      <c r="F260" s="920"/>
      <c r="J260" s="891"/>
    </row>
    <row r="261" spans="1:10" s="890" customFormat="1">
      <c r="A261" s="652"/>
      <c r="B261" s="985"/>
      <c r="C261" s="654"/>
      <c r="D261" s="659"/>
      <c r="E261" s="919"/>
      <c r="F261" s="920"/>
      <c r="J261" s="891"/>
    </row>
    <row r="262" spans="1:10" s="890" customFormat="1">
      <c r="A262" s="652"/>
      <c r="B262" s="985"/>
      <c r="C262" s="654"/>
      <c r="D262" s="659"/>
      <c r="E262" s="919"/>
      <c r="F262" s="920"/>
      <c r="J262" s="891"/>
    </row>
    <row r="263" spans="1:10" s="890" customFormat="1">
      <c r="A263" s="652"/>
      <c r="B263" s="985"/>
      <c r="C263" s="654"/>
      <c r="D263" s="659"/>
      <c r="E263" s="919"/>
      <c r="F263" s="920"/>
      <c r="J263" s="891"/>
    </row>
    <row r="264" spans="1:10" s="890" customFormat="1">
      <c r="A264" s="652"/>
      <c r="B264" s="985"/>
      <c r="C264" s="654"/>
      <c r="D264" s="659"/>
      <c r="E264" s="919"/>
      <c r="F264" s="920"/>
      <c r="J264" s="891"/>
    </row>
    <row r="265" spans="1:10" s="890" customFormat="1">
      <c r="A265" s="652"/>
      <c r="B265" s="985"/>
      <c r="C265" s="654"/>
      <c r="D265" s="659"/>
      <c r="E265" s="919"/>
      <c r="F265" s="920"/>
      <c r="J265" s="891"/>
    </row>
    <row r="266" spans="1:10" s="890" customFormat="1">
      <c r="A266" s="652"/>
      <c r="B266" s="985"/>
      <c r="C266" s="654"/>
      <c r="D266" s="654"/>
      <c r="E266" s="919"/>
      <c r="F266" s="920"/>
      <c r="J266" s="891"/>
    </row>
    <row r="267" spans="1:10" s="890" customFormat="1" ht="13.8" thickBot="1">
      <c r="A267" s="932"/>
      <c r="B267" s="933"/>
      <c r="C267" s="935"/>
      <c r="D267" s="934"/>
      <c r="E267" s="936"/>
      <c r="F267" s="914"/>
      <c r="J267" s="891"/>
    </row>
    <row r="268" spans="1:10" s="890" customFormat="1">
      <c r="A268" s="937"/>
      <c r="B268" s="938"/>
      <c r="C268" s="940"/>
      <c r="D268" s="939"/>
      <c r="E268" s="941"/>
      <c r="F268" s="941"/>
      <c r="J268" s="891"/>
    </row>
    <row r="269" spans="1:10" s="890" customFormat="1">
      <c r="A269" s="942" t="s">
        <v>391</v>
      </c>
      <c r="B269" s="943" t="s">
        <v>315</v>
      </c>
      <c r="C269" s="945"/>
      <c r="D269" s="944"/>
      <c r="E269" s="914"/>
      <c r="F269" s="946">
        <f>SUM(F229:F267)</f>
        <v>1641.8400000000001</v>
      </c>
      <c r="J269" s="891"/>
    </row>
    <row r="270" spans="1:10" s="890" customFormat="1">
      <c r="A270" s="947"/>
      <c r="B270" s="948"/>
      <c r="C270" s="950"/>
      <c r="D270" s="949"/>
      <c r="E270" s="951"/>
      <c r="F270" s="951"/>
      <c r="J270" s="891"/>
    </row>
    <row r="274" spans="1:1">
      <c r="A274" s="997" t="s">
        <v>157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8AE48-E12D-4E9D-A213-4E807ACA4466}">
  <dimension ref="A1:G99"/>
  <sheetViews>
    <sheetView workbookViewId="0">
      <selection activeCell="I22" sqref="I22"/>
    </sheetView>
  </sheetViews>
  <sheetFormatPr defaultColWidth="8.88671875" defaultRowHeight="14.4"/>
  <cols>
    <col min="1" max="1" width="7.6640625" style="1098" customWidth="1"/>
    <col min="2" max="2" width="2.6640625" style="1098" customWidth="1"/>
    <col min="3" max="3" width="48.6640625" style="1099" customWidth="1"/>
    <col min="4" max="4" width="7.6640625" style="1099" customWidth="1"/>
    <col min="5" max="5" width="5.6640625" style="1100" customWidth="1"/>
    <col min="6" max="6" width="10.33203125" style="1101" customWidth="1"/>
    <col min="7" max="7" width="12.109375" style="1101" customWidth="1"/>
    <col min="8" max="16384" width="8.88671875" style="1011"/>
  </cols>
  <sheetData>
    <row r="1" spans="1:7" ht="17.399999999999999">
      <c r="A1" s="1181" t="s">
        <v>304</v>
      </c>
      <c r="B1" s="1085"/>
      <c r="C1" s="1086"/>
      <c r="D1" s="1086"/>
      <c r="E1" s="1087"/>
      <c r="F1" s="1088"/>
      <c r="G1" s="1089"/>
    </row>
    <row r="2" spans="1:7">
      <c r="A2" s="1182" t="s">
        <v>604</v>
      </c>
      <c r="B2" s="1090"/>
      <c r="C2" s="1091"/>
      <c r="D2" s="1092"/>
      <c r="E2" s="1093"/>
      <c r="F2" s="1094"/>
      <c r="G2" s="1095"/>
    </row>
    <row r="3" spans="1:7">
      <c r="A3" s="1096"/>
      <c r="B3" s="1090"/>
      <c r="C3" s="1092"/>
      <c r="D3" s="1092"/>
      <c r="E3" s="1093"/>
      <c r="F3" s="1094"/>
      <c r="G3" s="1095"/>
    </row>
    <row r="4" spans="1:7">
      <c r="A4" s="1097"/>
      <c r="G4" s="1102"/>
    </row>
    <row r="5" spans="1:7" ht="15" thickBot="1">
      <c r="A5" s="1103" t="s">
        <v>306</v>
      </c>
      <c r="B5" s="1104" t="s">
        <v>1207</v>
      </c>
      <c r="C5" s="1105"/>
      <c r="D5" s="1106" t="s">
        <v>296</v>
      </c>
      <c r="E5" s="1107" t="s">
        <v>307</v>
      </c>
      <c r="F5" s="1108" t="s">
        <v>308</v>
      </c>
      <c r="G5" s="1109" t="s">
        <v>297</v>
      </c>
    </row>
    <row r="6" spans="1:7" s="1016" customFormat="1" ht="13.2">
      <c r="A6" s="1110"/>
      <c r="B6" s="1111"/>
      <c r="C6" s="1112"/>
      <c r="D6" s="1111"/>
      <c r="E6" s="1113"/>
      <c r="F6" s="1114"/>
      <c r="G6" s="1115"/>
    </row>
    <row r="7" spans="1:7" s="1016" customFormat="1" ht="52.8">
      <c r="A7" s="1116">
        <v>1</v>
      </c>
      <c r="B7" s="1117"/>
      <c r="C7" s="1118" t="s">
        <v>1208</v>
      </c>
      <c r="D7" s="1119" t="s">
        <v>312</v>
      </c>
      <c r="E7" s="1120">
        <v>1</v>
      </c>
      <c r="F7" s="1121">
        <f>Elec_Est!E467</f>
        <v>1773.68</v>
      </c>
      <c r="G7" s="1122">
        <f>F7*E7</f>
        <v>1773.68</v>
      </c>
    </row>
    <row r="8" spans="1:7" s="1016" customFormat="1" ht="13.2">
      <c r="A8" s="1116"/>
      <c r="B8" s="1117"/>
      <c r="C8" s="1123" t="s">
        <v>1209</v>
      </c>
      <c r="D8" s="1119"/>
      <c r="E8" s="1120"/>
      <c r="F8" s="1121"/>
      <c r="G8" s="1122"/>
    </row>
    <row r="9" spans="1:7" s="1016" customFormat="1" ht="26.4">
      <c r="A9" s="1116"/>
      <c r="B9" s="1117"/>
      <c r="C9" s="1124" t="s">
        <v>1210</v>
      </c>
      <c r="D9" s="1119"/>
      <c r="E9" s="1120"/>
      <c r="F9" s="1121"/>
      <c r="G9" s="1122"/>
    </row>
    <row r="10" spans="1:7" s="1016" customFormat="1" ht="13.2">
      <c r="A10" s="1116"/>
      <c r="B10" s="1116"/>
      <c r="C10" s="1125" t="s">
        <v>1211</v>
      </c>
      <c r="D10" s="1119"/>
      <c r="E10" s="1120"/>
      <c r="F10" s="1121"/>
      <c r="G10" s="1122"/>
    </row>
    <row r="11" spans="1:7" s="1016" customFormat="1" ht="13.2">
      <c r="A11" s="1116"/>
      <c r="B11" s="1117"/>
      <c r="C11" s="1126" t="s">
        <v>1212</v>
      </c>
      <c r="D11" s="1127"/>
      <c r="E11" s="1128"/>
      <c r="F11" s="1129"/>
      <c r="G11" s="1130"/>
    </row>
    <row r="12" spans="1:7">
      <c r="A12" s="1116"/>
      <c r="B12" s="1117"/>
      <c r="C12" s="1126" t="s">
        <v>1213</v>
      </c>
      <c r="D12" s="1127"/>
      <c r="E12" s="1128"/>
      <c r="F12" s="1129"/>
      <c r="G12" s="1130"/>
    </row>
    <row r="13" spans="1:7" s="1016" customFormat="1" ht="12.75" customHeight="1">
      <c r="A13" s="1116"/>
      <c r="B13" s="1117"/>
      <c r="C13" s="1126" t="s">
        <v>1214</v>
      </c>
      <c r="D13" s="1127"/>
      <c r="E13" s="1128"/>
      <c r="F13" s="1129"/>
      <c r="G13" s="1130"/>
    </row>
    <row r="14" spans="1:7" s="1016" customFormat="1" ht="12.75" customHeight="1">
      <c r="A14" s="1116"/>
      <c r="B14" s="1117"/>
      <c r="C14" s="1131"/>
      <c r="D14" s="1117"/>
      <c r="E14" s="1132"/>
      <c r="F14" s="1129"/>
      <c r="G14" s="1130"/>
    </row>
    <row r="15" spans="1:7" s="1016" customFormat="1" ht="12.75" customHeight="1">
      <c r="A15" s="1116"/>
      <c r="B15" s="1117"/>
      <c r="C15" s="1133" t="s">
        <v>1215</v>
      </c>
      <c r="D15" s="1117"/>
      <c r="E15" s="1132"/>
      <c r="F15" s="1129"/>
      <c r="G15" s="1130"/>
    </row>
    <row r="16" spans="1:7" s="1016" customFormat="1" ht="13.2">
      <c r="A16" s="1116"/>
      <c r="B16" s="1117"/>
      <c r="C16" s="1131" t="s">
        <v>1216</v>
      </c>
      <c r="D16" s="1117"/>
      <c r="E16" s="1132"/>
      <c r="F16" s="1129"/>
      <c r="G16" s="1130"/>
    </row>
    <row r="17" spans="1:7" s="1016" customFormat="1" ht="13.2">
      <c r="A17" s="1116"/>
      <c r="B17" s="1117"/>
      <c r="C17" s="1131" t="s">
        <v>1217</v>
      </c>
      <c r="D17" s="1117"/>
      <c r="E17" s="1132"/>
      <c r="F17" s="1129"/>
      <c r="G17" s="1130"/>
    </row>
    <row r="18" spans="1:7" s="1016" customFormat="1" ht="13.2">
      <c r="A18" s="1116"/>
      <c r="B18" s="1117"/>
      <c r="C18" s="1131" t="s">
        <v>1218</v>
      </c>
      <c r="D18" s="1117"/>
      <c r="E18" s="1132"/>
      <c r="F18" s="1129"/>
      <c r="G18" s="1130"/>
    </row>
    <row r="19" spans="1:7" s="1016" customFormat="1" ht="13.2">
      <c r="A19" s="1116"/>
      <c r="B19" s="1117"/>
      <c r="C19" s="1131" t="s">
        <v>1219</v>
      </c>
      <c r="D19" s="1117"/>
      <c r="E19" s="1132"/>
      <c r="F19" s="1129"/>
      <c r="G19" s="1130"/>
    </row>
    <row r="20" spans="1:7" s="1016" customFormat="1" ht="13.2">
      <c r="A20" s="1116"/>
      <c r="B20" s="1117"/>
      <c r="C20" s="1131" t="s">
        <v>1220</v>
      </c>
      <c r="D20" s="1117"/>
      <c r="E20" s="1132"/>
      <c r="F20" s="1129"/>
      <c r="G20" s="1130"/>
    </row>
    <row r="21" spans="1:7" s="1016" customFormat="1" ht="13.2">
      <c r="A21" s="1116"/>
      <c r="B21" s="1117"/>
      <c r="C21" s="1131" t="s">
        <v>1221</v>
      </c>
      <c r="D21" s="1117"/>
      <c r="E21" s="1132"/>
      <c r="F21" s="1129"/>
      <c r="G21" s="1130"/>
    </row>
    <row r="22" spans="1:7" s="1016" customFormat="1" ht="13.2">
      <c r="A22" s="1116"/>
      <c r="B22" s="1117"/>
      <c r="C22" s="1131" t="s">
        <v>1222</v>
      </c>
      <c r="D22" s="1117"/>
      <c r="E22" s="1132"/>
      <c r="F22" s="1129"/>
      <c r="G22" s="1130"/>
    </row>
    <row r="23" spans="1:7" s="1016" customFormat="1" ht="13.2">
      <c r="A23" s="1116"/>
      <c r="B23" s="1117"/>
      <c r="C23" s="1131" t="s">
        <v>1223</v>
      </c>
      <c r="D23" s="1117"/>
      <c r="E23" s="1132"/>
      <c r="F23" s="1129"/>
      <c r="G23" s="1130"/>
    </row>
    <row r="24" spans="1:7" s="1016" customFormat="1" ht="13.2">
      <c r="A24" s="1116"/>
      <c r="B24" s="1117"/>
      <c r="C24" s="1131"/>
      <c r="D24" s="1117"/>
      <c r="E24" s="1132"/>
      <c r="F24" s="1129"/>
      <c r="G24" s="1130"/>
    </row>
    <row r="25" spans="1:7" s="1016" customFormat="1" ht="26.4">
      <c r="A25" s="1116"/>
      <c r="B25" s="1117"/>
      <c r="C25" s="1133" t="s">
        <v>1224</v>
      </c>
      <c r="D25" s="1117"/>
      <c r="E25" s="1132"/>
      <c r="F25" s="1129"/>
      <c r="G25" s="1130"/>
    </row>
    <row r="26" spans="1:7" s="1016" customFormat="1" ht="13.2">
      <c r="A26" s="1116"/>
      <c r="B26" s="1117"/>
      <c r="C26" s="1131" t="s">
        <v>1225</v>
      </c>
      <c r="D26" s="1127"/>
      <c r="E26" s="1128"/>
      <c r="F26" s="1129"/>
      <c r="G26" s="1130"/>
    </row>
    <row r="27" spans="1:7" s="1016" customFormat="1" ht="13.2">
      <c r="A27" s="1116"/>
      <c r="B27" s="1117"/>
      <c r="C27" s="1131" t="s">
        <v>1226</v>
      </c>
      <c r="D27" s="1117"/>
      <c r="E27" s="1132"/>
      <c r="F27" s="1129"/>
      <c r="G27" s="1130"/>
    </row>
    <row r="28" spans="1:7" s="1016" customFormat="1" ht="13.2">
      <c r="A28" s="1116"/>
      <c r="B28" s="1117"/>
      <c r="C28" s="1131" t="s">
        <v>1227</v>
      </c>
      <c r="D28" s="1117"/>
      <c r="E28" s="1132"/>
      <c r="F28" s="1129"/>
      <c r="G28" s="1130"/>
    </row>
    <row r="29" spans="1:7" s="1016" customFormat="1" ht="26.4">
      <c r="A29" s="1116"/>
      <c r="B29" s="1117"/>
      <c r="C29" s="1131" t="s">
        <v>1228</v>
      </c>
      <c r="D29" s="1117"/>
      <c r="E29" s="1132"/>
      <c r="F29" s="1129"/>
      <c r="G29" s="1130"/>
    </row>
    <row r="30" spans="1:7" s="1016" customFormat="1" ht="13.2">
      <c r="A30" s="1116"/>
      <c r="B30" s="1117"/>
      <c r="C30" s="1131"/>
      <c r="D30" s="1117"/>
      <c r="E30" s="1132"/>
      <c r="F30" s="1129"/>
      <c r="G30" s="1130"/>
    </row>
    <row r="31" spans="1:7" s="1016" customFormat="1" ht="13.2">
      <c r="A31" s="1116"/>
      <c r="B31" s="1117"/>
      <c r="C31" s="1131"/>
      <c r="D31" s="1117"/>
      <c r="E31" s="1132"/>
      <c r="F31" s="1129"/>
      <c r="G31" s="1130"/>
    </row>
    <row r="32" spans="1:7" s="1016" customFormat="1" ht="13.2">
      <c r="A32" s="1134"/>
      <c r="B32" s="1135"/>
      <c r="C32" s="1136" t="s">
        <v>317</v>
      </c>
      <c r="D32" s="1137"/>
      <c r="E32" s="1138"/>
      <c r="F32" s="1139"/>
      <c r="G32" s="1140"/>
    </row>
    <row r="33" spans="1:7" s="1016" customFormat="1" ht="13.2">
      <c r="A33" s="1116"/>
      <c r="B33" s="1141"/>
      <c r="C33" s="1142"/>
      <c r="D33" s="1137"/>
      <c r="E33" s="1138"/>
      <c r="F33" s="1139"/>
      <c r="G33" s="1140"/>
    </row>
    <row r="34" spans="1:7" s="1016" customFormat="1" ht="26.4">
      <c r="A34" s="1116">
        <f>A7+1</f>
        <v>2</v>
      </c>
      <c r="B34" s="1141"/>
      <c r="C34" s="1124" t="s">
        <v>1229</v>
      </c>
      <c r="D34" s="1143"/>
      <c r="E34" s="1120"/>
      <c r="F34" s="1139"/>
      <c r="G34" s="1140"/>
    </row>
    <row r="35" spans="1:7" s="1016" customFormat="1" ht="13.2">
      <c r="A35" s="1116"/>
      <c r="B35" s="1141"/>
      <c r="C35" s="1126"/>
      <c r="D35" s="1117"/>
      <c r="E35" s="1128"/>
      <c r="F35" s="1121"/>
      <c r="G35" s="1122"/>
    </row>
    <row r="36" spans="1:7" s="1016" customFormat="1" ht="13.2">
      <c r="A36" s="1116"/>
      <c r="B36" s="1116" t="s">
        <v>1230</v>
      </c>
      <c r="C36" s="1144" t="s">
        <v>1231</v>
      </c>
      <c r="D36" s="1117" t="s">
        <v>320</v>
      </c>
      <c r="E36" s="1128">
        <v>1</v>
      </c>
      <c r="F36" s="1145">
        <f>Elec_Est!E491</f>
        <v>8499.86</v>
      </c>
      <c r="G36" s="1146">
        <f>E36*F36</f>
        <v>8499.86</v>
      </c>
    </row>
    <row r="37" spans="1:7" s="1016" customFormat="1" ht="39.6">
      <c r="A37" s="1116"/>
      <c r="B37" s="1117"/>
      <c r="C37" s="1131" t="s">
        <v>1232</v>
      </c>
      <c r="D37" s="1117"/>
      <c r="E37" s="1132"/>
      <c r="F37" s="1145"/>
      <c r="G37" s="1146"/>
    </row>
    <row r="38" spans="1:7" s="1016" customFormat="1" ht="13.2">
      <c r="A38" s="1110"/>
      <c r="B38" s="1111"/>
      <c r="C38" s="1147"/>
      <c r="D38" s="1111"/>
      <c r="E38" s="1113"/>
      <c r="F38" s="1114"/>
      <c r="G38" s="1115"/>
    </row>
    <row r="39" spans="1:7" s="1016" customFormat="1" ht="13.2">
      <c r="A39" s="1110"/>
      <c r="B39" s="1111"/>
      <c r="C39" s="1147"/>
      <c r="D39" s="1111"/>
      <c r="E39" s="1113"/>
      <c r="F39" s="1114"/>
      <c r="G39" s="1115"/>
    </row>
    <row r="40" spans="1:7" s="1016" customFormat="1" ht="13.2">
      <c r="A40" s="1110"/>
      <c r="B40" s="1111"/>
      <c r="C40" s="1147"/>
      <c r="D40" s="1111"/>
      <c r="E40" s="1113"/>
      <c r="F40" s="1114"/>
      <c r="G40" s="1115"/>
    </row>
    <row r="41" spans="1:7" s="1016" customFormat="1" ht="13.2">
      <c r="A41" s="1110"/>
      <c r="B41" s="1111"/>
      <c r="C41" s="1147"/>
      <c r="D41" s="1111"/>
      <c r="E41" s="1113"/>
      <c r="F41" s="1114"/>
      <c r="G41" s="1115"/>
    </row>
    <row r="42" spans="1:7" s="1016" customFormat="1" ht="13.2">
      <c r="A42" s="1110"/>
      <c r="B42" s="1111"/>
      <c r="C42" s="1147"/>
      <c r="D42" s="1111"/>
      <c r="E42" s="1113"/>
      <c r="F42" s="1114"/>
      <c r="G42" s="1115"/>
    </row>
    <row r="43" spans="1:7" s="1016" customFormat="1" ht="13.2">
      <c r="A43" s="1110"/>
      <c r="B43" s="1111"/>
      <c r="C43" s="1147"/>
      <c r="D43" s="1111"/>
      <c r="E43" s="1113"/>
      <c r="F43" s="1114"/>
      <c r="G43" s="1115"/>
    </row>
    <row r="44" spans="1:7" s="1016" customFormat="1" ht="13.2">
      <c r="A44" s="1110"/>
      <c r="B44" s="1111"/>
      <c r="C44" s="1147"/>
      <c r="D44" s="1111"/>
      <c r="E44" s="1113"/>
      <c r="F44" s="1114"/>
      <c r="G44" s="1115"/>
    </row>
    <row r="45" spans="1:7" s="1016" customFormat="1" ht="13.2">
      <c r="A45" s="1110"/>
      <c r="B45" s="1111"/>
      <c r="C45" s="1147"/>
      <c r="D45" s="1111"/>
      <c r="E45" s="1113"/>
      <c r="F45" s="1114"/>
      <c r="G45" s="1115"/>
    </row>
    <row r="46" spans="1:7" s="1016" customFormat="1" ht="13.2">
      <c r="A46" s="1110"/>
      <c r="B46" s="1111"/>
      <c r="C46" s="1147"/>
      <c r="D46" s="1111"/>
      <c r="E46" s="1113"/>
      <c r="F46" s="1114"/>
      <c r="G46" s="1115"/>
    </row>
    <row r="47" spans="1:7" s="1016" customFormat="1" ht="13.2">
      <c r="A47" s="1110"/>
      <c r="B47" s="1111"/>
      <c r="C47" s="1147"/>
      <c r="D47" s="1111"/>
      <c r="E47" s="1113"/>
      <c r="F47" s="1114"/>
      <c r="G47" s="1115"/>
    </row>
    <row r="48" spans="1:7" s="1016" customFormat="1" ht="13.8" thickBot="1">
      <c r="A48" s="1110"/>
      <c r="B48" s="1111"/>
      <c r="C48" s="1147"/>
      <c r="D48" s="1111"/>
      <c r="E48" s="1113"/>
      <c r="F48" s="1114"/>
      <c r="G48" s="1115"/>
    </row>
    <row r="49" spans="1:7" s="1016" customFormat="1" ht="13.2">
      <c r="A49" s="1148"/>
      <c r="B49" s="1149"/>
      <c r="C49" s="1150"/>
      <c r="D49" s="1151"/>
      <c r="E49" s="1152"/>
      <c r="F49" s="1153"/>
      <c r="G49" s="1154"/>
    </row>
    <row r="50" spans="1:7" s="1016" customFormat="1" ht="13.2">
      <c r="A50" s="1155"/>
      <c r="B50" s="1156"/>
      <c r="C50" s="1157" t="s">
        <v>315</v>
      </c>
      <c r="D50" s="1158"/>
      <c r="E50" s="1159"/>
      <c r="F50" s="1160"/>
      <c r="G50" s="1161">
        <f>SUM(G7:G48)</f>
        <v>10273.540000000001</v>
      </c>
    </row>
    <row r="51" spans="1:7" s="1016" customFormat="1" ht="13.2">
      <c r="A51" s="1162"/>
      <c r="B51" s="1163"/>
      <c r="C51" s="1164"/>
      <c r="D51" s="1165"/>
      <c r="E51" s="1165"/>
      <c r="F51" s="1166"/>
      <c r="G51" s="1167"/>
    </row>
    <row r="52" spans="1:7" s="1016" customFormat="1" ht="17.399999999999999">
      <c r="A52" s="1168"/>
      <c r="B52" s="1085"/>
      <c r="C52" s="1086"/>
      <c r="D52" s="1086"/>
      <c r="E52" s="1087"/>
      <c r="F52" s="1088"/>
      <c r="G52" s="1089"/>
    </row>
    <row r="53" spans="1:7" s="1016" customFormat="1" ht="13.2">
      <c r="A53" s="1096"/>
      <c r="B53" s="1090"/>
      <c r="C53" s="1091"/>
      <c r="D53" s="1092"/>
      <c r="E53" s="1093"/>
      <c r="F53" s="1094"/>
      <c r="G53" s="1095"/>
    </row>
    <row r="54" spans="1:7">
      <c r="A54" s="1096"/>
      <c r="B54" s="1090"/>
      <c r="C54" s="1092"/>
      <c r="D54" s="1092"/>
      <c r="E54" s="1093"/>
      <c r="F54" s="1094"/>
      <c r="G54" s="1095"/>
    </row>
    <row r="55" spans="1:7">
      <c r="A55" s="1097"/>
      <c r="G55" s="1102"/>
    </row>
    <row r="56" spans="1:7" ht="15" thickBot="1">
      <c r="A56" s="1103" t="s">
        <v>306</v>
      </c>
      <c r="B56" s="1104" t="s">
        <v>1207</v>
      </c>
      <c r="C56" s="1105"/>
      <c r="D56" s="1106" t="s">
        <v>296</v>
      </c>
      <c r="E56" s="1107" t="s">
        <v>307</v>
      </c>
      <c r="F56" s="1108" t="s">
        <v>308</v>
      </c>
      <c r="G56" s="1109" t="s">
        <v>297</v>
      </c>
    </row>
    <row r="57" spans="1:7">
      <c r="A57" s="1110"/>
      <c r="B57" s="1111"/>
      <c r="C57" s="1112"/>
      <c r="D57" s="1111"/>
      <c r="E57" s="1113"/>
      <c r="F57" s="1114"/>
      <c r="G57" s="1115"/>
    </row>
    <row r="58" spans="1:7" ht="26.4">
      <c r="A58" s="1110"/>
      <c r="B58" s="1169"/>
      <c r="C58" s="1170" t="s">
        <v>346</v>
      </c>
      <c r="D58" s="1171"/>
      <c r="E58" s="1172"/>
      <c r="F58" s="1173"/>
      <c r="G58" s="1174"/>
    </row>
    <row r="59" spans="1:7">
      <c r="A59" s="1110"/>
      <c r="B59" s="1169"/>
      <c r="C59" s="1170"/>
      <c r="D59" s="1171"/>
      <c r="E59" s="1172"/>
      <c r="F59" s="1173"/>
      <c r="G59" s="1174"/>
    </row>
    <row r="60" spans="1:7" ht="26.4">
      <c r="A60" s="1116">
        <f>A34+1</f>
        <v>3</v>
      </c>
      <c r="B60" s="1175"/>
      <c r="C60" s="1126" t="s">
        <v>1233</v>
      </c>
      <c r="D60" s="1143"/>
      <c r="E60" s="1135"/>
      <c r="F60" s="1121"/>
      <c r="G60" s="1122"/>
    </row>
    <row r="61" spans="1:7">
      <c r="A61" s="1116"/>
      <c r="B61" s="1175"/>
      <c r="C61" s="1176"/>
      <c r="D61" s="1143"/>
      <c r="E61" s="1135"/>
      <c r="F61" s="1121"/>
      <c r="G61" s="1122"/>
    </row>
    <row r="62" spans="1:7" ht="92.4">
      <c r="A62" s="1116"/>
      <c r="B62" s="1116" t="s">
        <v>1230</v>
      </c>
      <c r="C62" s="1177" t="s">
        <v>1234</v>
      </c>
      <c r="D62" s="1178"/>
      <c r="E62" s="1178"/>
      <c r="F62" s="1145"/>
      <c r="G62" s="1146"/>
    </row>
    <row r="63" spans="1:7">
      <c r="A63" s="1175"/>
      <c r="B63" s="1116"/>
      <c r="C63" s="1177"/>
      <c r="D63" s="1178"/>
      <c r="E63" s="1178"/>
      <c r="F63" s="1145"/>
      <c r="G63" s="1146"/>
    </row>
    <row r="64" spans="1:7">
      <c r="A64" s="1116"/>
      <c r="B64" s="1175"/>
      <c r="C64" s="1177" t="s">
        <v>348</v>
      </c>
      <c r="D64" s="1120" t="s">
        <v>312</v>
      </c>
      <c r="E64" s="1120">
        <v>1</v>
      </c>
      <c r="F64" s="1121">
        <f ca="1">Elec_Est!E519</f>
        <v>15347.06</v>
      </c>
      <c r="G64" s="1122">
        <f ca="1">F64*E64</f>
        <v>15347.06</v>
      </c>
    </row>
    <row r="65" spans="1:7">
      <c r="A65" s="1116"/>
      <c r="B65" s="1175"/>
      <c r="C65" s="1177"/>
      <c r="D65" s="1179"/>
      <c r="E65" s="1179"/>
      <c r="F65" s="1121"/>
      <c r="G65" s="1122"/>
    </row>
    <row r="66" spans="1:7">
      <c r="A66" s="1116"/>
      <c r="B66" s="1180"/>
      <c r="C66" s="1177"/>
      <c r="D66" s="1179"/>
      <c r="E66" s="1179"/>
      <c r="F66" s="1121"/>
      <c r="G66" s="1122"/>
    </row>
    <row r="67" spans="1:7" ht="52.8">
      <c r="A67" s="1116"/>
      <c r="B67" s="1128" t="s">
        <v>1235</v>
      </c>
      <c r="C67" s="1177" t="s">
        <v>349</v>
      </c>
      <c r="D67" s="1179"/>
      <c r="E67" s="1179"/>
      <c r="F67" s="1121"/>
      <c r="G67" s="1122"/>
    </row>
    <row r="68" spans="1:7">
      <c r="A68" s="1116"/>
      <c r="B68" s="1175"/>
      <c r="C68" s="1177"/>
      <c r="D68" s="1120"/>
      <c r="E68" s="1120"/>
      <c r="F68" s="1121"/>
      <c r="G68" s="1122"/>
    </row>
    <row r="69" spans="1:7" ht="26.4">
      <c r="A69" s="1116"/>
      <c r="B69" s="1175"/>
      <c r="C69" s="1177" t="s">
        <v>350</v>
      </c>
      <c r="D69" s="1120" t="s">
        <v>312</v>
      </c>
      <c r="E69" s="1120">
        <v>1</v>
      </c>
      <c r="F69" s="1228" t="str">
        <f>Elec_Est!Q737</f>
        <v>Included with BMS</v>
      </c>
      <c r="G69" s="1122"/>
    </row>
    <row r="70" spans="1:7">
      <c r="A70" s="1110"/>
      <c r="B70" s="1111"/>
      <c r="C70" s="1147"/>
      <c r="D70" s="1111"/>
      <c r="E70" s="1113"/>
      <c r="F70" s="1114"/>
      <c r="G70" s="1115"/>
    </row>
    <row r="71" spans="1:7">
      <c r="A71" s="1110"/>
      <c r="B71" s="1111"/>
      <c r="C71" s="1147"/>
      <c r="D71" s="1111"/>
      <c r="E71" s="1113"/>
      <c r="F71" s="1114"/>
      <c r="G71" s="1115"/>
    </row>
    <row r="72" spans="1:7">
      <c r="A72" s="1110"/>
      <c r="B72" s="1111"/>
      <c r="C72" s="1147"/>
      <c r="D72" s="1111"/>
      <c r="E72" s="1113"/>
      <c r="F72" s="1114"/>
      <c r="G72" s="1115"/>
    </row>
    <row r="73" spans="1:7">
      <c r="A73" s="1110"/>
      <c r="B73" s="1111"/>
      <c r="C73" s="1147"/>
      <c r="D73" s="1111"/>
      <c r="E73" s="1113"/>
      <c r="F73" s="1114"/>
      <c r="G73" s="1115"/>
    </row>
    <row r="74" spans="1:7">
      <c r="A74" s="1110"/>
      <c r="B74" s="1111"/>
      <c r="C74" s="1147"/>
      <c r="D74" s="1111"/>
      <c r="E74" s="1113"/>
      <c r="F74" s="1114"/>
      <c r="G74" s="1115"/>
    </row>
    <row r="75" spans="1:7">
      <c r="A75" s="1110"/>
      <c r="B75" s="1111"/>
      <c r="C75" s="1147"/>
      <c r="D75" s="1111"/>
      <c r="E75" s="1113"/>
      <c r="F75" s="1114"/>
      <c r="G75" s="1115"/>
    </row>
    <row r="76" spans="1:7">
      <c r="A76" s="1110"/>
      <c r="B76" s="1111"/>
      <c r="C76" s="1147"/>
      <c r="D76" s="1111"/>
      <c r="E76" s="1113"/>
      <c r="F76" s="1114"/>
      <c r="G76" s="1115"/>
    </row>
    <row r="77" spans="1:7">
      <c r="A77" s="1110"/>
      <c r="B77" s="1111"/>
      <c r="C77" s="1147"/>
      <c r="D77" s="1111"/>
      <c r="E77" s="1113"/>
      <c r="F77" s="1114"/>
      <c r="G77" s="1115"/>
    </row>
    <row r="78" spans="1:7">
      <c r="A78" s="1110"/>
      <c r="B78" s="1111"/>
      <c r="C78" s="1147"/>
      <c r="D78" s="1111"/>
      <c r="E78" s="1113"/>
      <c r="F78" s="1114"/>
      <c r="G78" s="1115"/>
    </row>
    <row r="79" spans="1:7">
      <c r="A79" s="1110"/>
      <c r="B79" s="1111"/>
      <c r="C79" s="1147"/>
      <c r="D79" s="1111"/>
      <c r="E79" s="1113"/>
      <c r="F79" s="1114"/>
      <c r="G79" s="1115"/>
    </row>
    <row r="80" spans="1:7">
      <c r="A80" s="1110"/>
      <c r="B80" s="1111"/>
      <c r="C80" s="1147"/>
      <c r="D80" s="1111"/>
      <c r="E80" s="1113"/>
      <c r="F80" s="1114"/>
      <c r="G80" s="1115"/>
    </row>
    <row r="81" spans="1:7">
      <c r="A81" s="1110"/>
      <c r="B81" s="1111"/>
      <c r="C81" s="1147"/>
      <c r="D81" s="1111"/>
      <c r="E81" s="1113"/>
      <c r="F81" s="1114"/>
      <c r="G81" s="1115"/>
    </row>
    <row r="82" spans="1:7">
      <c r="A82" s="1110"/>
      <c r="B82" s="1111"/>
      <c r="C82" s="1147"/>
      <c r="D82" s="1111"/>
      <c r="E82" s="1113"/>
      <c r="F82" s="1114"/>
      <c r="G82" s="1115"/>
    </row>
    <row r="83" spans="1:7">
      <c r="A83" s="1110"/>
      <c r="B83" s="1111"/>
      <c r="C83" s="1147"/>
      <c r="D83" s="1111"/>
      <c r="E83" s="1113"/>
      <c r="F83" s="1114"/>
      <c r="G83" s="1115"/>
    </row>
    <row r="84" spans="1:7">
      <c r="A84" s="1110"/>
      <c r="B84" s="1111"/>
      <c r="C84" s="1147"/>
      <c r="D84" s="1111"/>
      <c r="E84" s="1113"/>
      <c r="F84" s="1114"/>
      <c r="G84" s="1115"/>
    </row>
    <row r="85" spans="1:7">
      <c r="A85" s="1110"/>
      <c r="B85" s="1111"/>
      <c r="C85" s="1147"/>
      <c r="D85" s="1111"/>
      <c r="E85" s="1113"/>
      <c r="F85" s="1114"/>
      <c r="G85" s="1115"/>
    </row>
    <row r="86" spans="1:7">
      <c r="A86" s="1110"/>
      <c r="B86" s="1111"/>
      <c r="C86" s="1147"/>
      <c r="D86" s="1111"/>
      <c r="E86" s="1113"/>
      <c r="F86" s="1114"/>
      <c r="G86" s="1115"/>
    </row>
    <row r="87" spans="1:7">
      <c r="A87" s="1110"/>
      <c r="B87" s="1111"/>
      <c r="C87" s="1147"/>
      <c r="D87" s="1111"/>
      <c r="E87" s="1113"/>
      <c r="F87" s="1114"/>
      <c r="G87" s="1115"/>
    </row>
    <row r="88" spans="1:7">
      <c r="A88" s="1110"/>
      <c r="B88" s="1111"/>
      <c r="C88" s="1147"/>
      <c r="D88" s="1111"/>
      <c r="E88" s="1113"/>
      <c r="F88" s="1114"/>
      <c r="G88" s="1115"/>
    </row>
    <row r="89" spans="1:7">
      <c r="A89" s="1110"/>
      <c r="B89" s="1111"/>
      <c r="C89" s="1147"/>
      <c r="D89" s="1111"/>
      <c r="E89" s="1113"/>
      <c r="F89" s="1114"/>
      <c r="G89" s="1115"/>
    </row>
    <row r="90" spans="1:7">
      <c r="A90" s="1110"/>
      <c r="B90" s="1111"/>
      <c r="C90" s="1147"/>
      <c r="D90" s="1111"/>
      <c r="E90" s="1113"/>
      <c r="F90" s="1114"/>
      <c r="G90" s="1115"/>
    </row>
    <row r="91" spans="1:7">
      <c r="A91" s="1110"/>
      <c r="B91" s="1111"/>
      <c r="C91" s="1147"/>
      <c r="D91" s="1111"/>
      <c r="E91" s="1113"/>
      <c r="F91" s="1114"/>
      <c r="G91" s="1115"/>
    </row>
    <row r="92" spans="1:7">
      <c r="A92" s="1110"/>
      <c r="B92" s="1111"/>
      <c r="C92" s="1147"/>
      <c r="D92" s="1111"/>
      <c r="E92" s="1113"/>
      <c r="F92" s="1114"/>
      <c r="G92" s="1115"/>
    </row>
    <row r="93" spans="1:7">
      <c r="A93" s="1110"/>
      <c r="B93" s="1111"/>
      <c r="C93" s="1147"/>
      <c r="D93" s="1111"/>
      <c r="E93" s="1113"/>
      <c r="F93" s="1114"/>
      <c r="G93" s="1115"/>
    </row>
    <row r="94" spans="1:7">
      <c r="A94" s="1110"/>
      <c r="B94" s="1111"/>
      <c r="C94" s="1147"/>
      <c r="D94" s="1111"/>
      <c r="E94" s="1113"/>
      <c r="F94" s="1114"/>
      <c r="G94" s="1115"/>
    </row>
    <row r="95" spans="1:7">
      <c r="A95" s="1110"/>
      <c r="B95" s="1111"/>
      <c r="C95" s="1147"/>
      <c r="D95" s="1111"/>
      <c r="E95" s="1113"/>
      <c r="F95" s="1114"/>
      <c r="G95" s="1115"/>
    </row>
    <row r="96" spans="1:7" ht="15" thickBot="1">
      <c r="A96" s="1110"/>
      <c r="B96" s="1111"/>
      <c r="C96" s="1147"/>
      <c r="D96" s="1111"/>
      <c r="E96" s="1113"/>
      <c r="F96" s="1114"/>
      <c r="G96" s="1115"/>
    </row>
    <row r="97" spans="1:7">
      <c r="A97" s="1148"/>
      <c r="B97" s="1149"/>
      <c r="C97" s="1150"/>
      <c r="D97" s="1151"/>
      <c r="E97" s="1152"/>
      <c r="F97" s="1153"/>
      <c r="G97" s="1154"/>
    </row>
    <row r="98" spans="1:7">
      <c r="A98" s="1155"/>
      <c r="B98" s="1156"/>
      <c r="C98" s="1157" t="s">
        <v>315</v>
      </c>
      <c r="D98" s="1158"/>
      <c r="E98" s="1159"/>
      <c r="F98" s="1160"/>
      <c r="G98" s="1161">
        <f ca="1">SUM(G58:G96)</f>
        <v>15347.06</v>
      </c>
    </row>
    <row r="99" spans="1:7">
      <c r="A99" s="1162"/>
      <c r="B99" s="1163"/>
      <c r="C99" s="1164"/>
      <c r="D99" s="1165"/>
      <c r="E99" s="1165"/>
      <c r="F99" s="1166"/>
      <c r="G99" s="1167"/>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90C5A-B4D1-471F-B4E8-F03ECE9489CD}">
  <dimension ref="A1:P55"/>
  <sheetViews>
    <sheetView topLeftCell="A14" workbookViewId="0">
      <selection activeCell="K45" sqref="K45"/>
    </sheetView>
  </sheetViews>
  <sheetFormatPr defaultColWidth="8.88671875" defaultRowHeight="14.4"/>
  <cols>
    <col min="1" max="1" width="7.6640625" style="1014" customWidth="1"/>
    <col min="2" max="2" width="48.6640625" style="1011" customWidth="1"/>
    <col min="3" max="3" width="5.6640625" style="1013" customWidth="1"/>
    <col min="4" max="4" width="7.6640625" style="1011" customWidth="1"/>
    <col min="5" max="5" width="10.33203125" style="1012" customWidth="1"/>
    <col min="6" max="6" width="12.109375" style="1012" customWidth="1"/>
    <col min="7" max="16384" width="8.88671875" style="1011"/>
  </cols>
  <sheetData>
    <row r="1" spans="1:16" s="1067" customFormat="1" ht="17.399999999999999" customHeight="1">
      <c r="A1" s="1065" t="s">
        <v>304</v>
      </c>
      <c r="B1" s="1066"/>
      <c r="C1" s="1066"/>
      <c r="D1" s="1066"/>
      <c r="E1" s="1066"/>
      <c r="F1" s="1066"/>
      <c r="G1" s="1066"/>
      <c r="H1" s="1066"/>
      <c r="I1" s="1066"/>
      <c r="J1" s="1066"/>
      <c r="K1" s="1066"/>
      <c r="L1" s="1066"/>
      <c r="M1" s="1066"/>
      <c r="N1" s="1066"/>
      <c r="O1" s="1066"/>
      <c r="P1" s="1066"/>
    </row>
    <row r="2" spans="1:16" s="1065" customFormat="1" ht="14.4" customHeight="1">
      <c r="A2" s="1065" t="s">
        <v>1185</v>
      </c>
      <c r="B2" s="1066"/>
      <c r="C2" s="1066"/>
      <c r="D2" s="1066"/>
      <c r="E2" s="1066"/>
      <c r="F2" s="1066"/>
      <c r="G2" s="1066"/>
      <c r="H2" s="1066"/>
      <c r="I2" s="1066"/>
      <c r="J2" s="1066"/>
      <c r="K2" s="1066"/>
      <c r="L2" s="1066"/>
      <c r="M2" s="1066"/>
      <c r="N2" s="1066"/>
      <c r="O2" s="1066"/>
      <c r="P2" s="1066"/>
    </row>
    <row r="3" spans="1:16">
      <c r="A3" s="1047"/>
      <c r="B3" s="1063"/>
      <c r="C3" s="1064"/>
      <c r="D3" s="1063"/>
      <c r="E3" s="1062"/>
      <c r="F3" s="1061"/>
    </row>
    <row r="4" spans="1:16">
      <c r="A4" s="1060"/>
      <c r="B4" s="1017"/>
      <c r="C4" s="1059"/>
      <c r="D4" s="1017"/>
      <c r="E4" s="1058"/>
      <c r="F4" s="1057"/>
    </row>
    <row r="5" spans="1:16" ht="15" thickBot="1">
      <c r="A5" s="1056" t="s">
        <v>306</v>
      </c>
      <c r="B5" s="1055"/>
      <c r="C5" s="1054" t="s">
        <v>307</v>
      </c>
      <c r="D5" s="1053" t="s">
        <v>296</v>
      </c>
      <c r="E5" s="1052" t="s">
        <v>308</v>
      </c>
      <c r="F5" s="1051" t="s">
        <v>297</v>
      </c>
    </row>
    <row r="6" spans="1:16" s="1016" customFormat="1" ht="13.2">
      <c r="A6" s="1028"/>
      <c r="C6" s="1038"/>
      <c r="D6" s="1037"/>
      <c r="E6" s="1036"/>
      <c r="F6" s="1035"/>
      <c r="G6" s="1017"/>
      <c r="H6" s="1017"/>
      <c r="I6" s="1017"/>
      <c r="J6" s="1017"/>
      <c r="K6" s="1017"/>
      <c r="L6" s="1017"/>
      <c r="M6" s="1017"/>
      <c r="N6" s="1017"/>
      <c r="O6" s="1017"/>
      <c r="P6" s="1017"/>
    </row>
    <row r="7" spans="1:16" s="1040" customFormat="1" ht="38.4" customHeight="1">
      <c r="A7" s="1028" t="s">
        <v>392</v>
      </c>
      <c r="B7" s="1375" t="s">
        <v>1199</v>
      </c>
      <c r="C7" s="1375"/>
      <c r="D7" s="1375"/>
      <c r="E7" s="1375"/>
      <c r="F7" s="1376"/>
    </row>
    <row r="8" spans="1:16" s="1040" customFormat="1" ht="13.2">
      <c r="A8" s="1028"/>
      <c r="B8" s="1050"/>
      <c r="C8" s="1043"/>
      <c r="D8" s="1037"/>
      <c r="E8" s="1042"/>
      <c r="F8" s="1041"/>
    </row>
    <row r="9" spans="1:16" s="1040" customFormat="1" ht="13.2">
      <c r="A9" s="1028"/>
      <c r="B9" s="1050"/>
      <c r="C9" s="1043"/>
      <c r="D9" s="1037"/>
      <c r="E9" s="1042"/>
      <c r="F9" s="1041"/>
    </row>
    <row r="10" spans="1:16" s="1040" customFormat="1" ht="13.2">
      <c r="A10" s="1028"/>
      <c r="B10" s="1049"/>
      <c r="C10" s="1043"/>
      <c r="D10" s="1037"/>
      <c r="E10" s="1042"/>
      <c r="F10" s="1041"/>
    </row>
    <row r="11" spans="1:16" s="1040" customFormat="1" ht="13.2">
      <c r="A11" s="1028"/>
      <c r="B11" s="1049"/>
      <c r="C11" s="1043"/>
      <c r="D11" s="1037"/>
      <c r="E11" s="1042"/>
      <c r="F11" s="1041"/>
    </row>
    <row r="12" spans="1:16" s="1040" customFormat="1" ht="13.2">
      <c r="A12" s="1047" t="s">
        <v>392</v>
      </c>
      <c r="B12" s="1046" t="s">
        <v>1198</v>
      </c>
      <c r="C12" s="1043"/>
      <c r="D12" s="1037"/>
      <c r="E12" s="1042"/>
      <c r="F12" s="1041"/>
    </row>
    <row r="13" spans="1:16" s="1040" customFormat="1" ht="13.2">
      <c r="A13" s="1028"/>
      <c r="B13" s="1045"/>
      <c r="C13" s="1043"/>
      <c r="D13" s="1037"/>
      <c r="E13" s="1042"/>
      <c r="F13" s="1041"/>
    </row>
    <row r="14" spans="1:16" s="1040" customFormat="1" ht="66">
      <c r="A14" s="1028">
        <v>1</v>
      </c>
      <c r="B14" s="1045" t="s">
        <v>1197</v>
      </c>
      <c r="C14" s="1043">
        <v>1</v>
      </c>
      <c r="D14" s="1037" t="s">
        <v>312</v>
      </c>
      <c r="E14" s="1042">
        <f>Elec_Est!E773</f>
        <v>4452.57</v>
      </c>
      <c r="F14" s="1041">
        <f>E14*C14</f>
        <v>4452.57</v>
      </c>
    </row>
    <row r="15" spans="1:16" s="1040" customFormat="1" ht="13.2">
      <c r="A15" s="1028"/>
      <c r="B15" s="1045"/>
      <c r="C15" s="1043"/>
      <c r="D15" s="1037"/>
      <c r="E15" s="1042"/>
      <c r="F15" s="1041"/>
    </row>
    <row r="16" spans="1:16" s="1040" customFormat="1" ht="13.2">
      <c r="A16" s="1028"/>
      <c r="B16" s="1045"/>
      <c r="C16" s="1043"/>
      <c r="D16" s="1037"/>
      <c r="E16" s="1042"/>
      <c r="F16" s="1041"/>
    </row>
    <row r="17" spans="1:6" s="1040" customFormat="1" ht="13.2">
      <c r="A17" s="1047" t="s">
        <v>392</v>
      </c>
      <c r="B17" s="1046" t="s">
        <v>1196</v>
      </c>
      <c r="C17" s="1043"/>
      <c r="D17" s="1037"/>
      <c r="E17" s="1042"/>
      <c r="F17" s="1041"/>
    </row>
    <row r="18" spans="1:6" s="1040" customFormat="1" ht="13.2">
      <c r="A18" s="1048"/>
      <c r="B18" s="1044"/>
      <c r="C18" s="1043"/>
      <c r="D18" s="1037"/>
      <c r="E18" s="1042"/>
      <c r="F18" s="1041"/>
    </row>
    <row r="19" spans="1:6" s="1040" customFormat="1" ht="26.4">
      <c r="A19" s="1028">
        <f>A14+1</f>
        <v>2</v>
      </c>
      <c r="B19" s="1044" t="s">
        <v>1195</v>
      </c>
      <c r="C19" s="1043">
        <v>1</v>
      </c>
      <c r="D19" s="1037" t="s">
        <v>312</v>
      </c>
      <c r="E19" s="1042">
        <f>Elec_Est!E798</f>
        <v>4259.37</v>
      </c>
      <c r="F19" s="1041">
        <f>E19*C19</f>
        <v>4259.37</v>
      </c>
    </row>
    <row r="20" spans="1:6" s="1040" customFormat="1" ht="13.2">
      <c r="A20" s="1048"/>
      <c r="B20" s="1044"/>
      <c r="C20" s="1043"/>
      <c r="D20" s="1037"/>
      <c r="E20" s="1042"/>
      <c r="F20" s="1041"/>
    </row>
    <row r="21" spans="1:6" s="1040" customFormat="1" ht="13.2">
      <c r="A21" s="1048"/>
      <c r="B21" s="1044"/>
      <c r="C21" s="1043"/>
      <c r="D21" s="1037"/>
      <c r="E21" s="1042"/>
      <c r="F21" s="1041"/>
    </row>
    <row r="22" spans="1:6" s="1040" customFormat="1" ht="13.2">
      <c r="A22" s="1047" t="s">
        <v>392</v>
      </c>
      <c r="B22" s="1027" t="s">
        <v>1194</v>
      </c>
      <c r="C22" s="1043"/>
      <c r="D22" s="1037"/>
      <c r="E22" s="1042"/>
      <c r="F22" s="1041"/>
    </row>
    <row r="23" spans="1:6" s="1040" customFormat="1" ht="13.2">
      <c r="A23" s="1028"/>
      <c r="B23" s="1039"/>
      <c r="C23" s="1043"/>
      <c r="D23" s="1037"/>
      <c r="E23" s="1042"/>
      <c r="F23" s="1041"/>
    </row>
    <row r="24" spans="1:6" s="1040" customFormat="1" ht="39.6">
      <c r="A24" s="1028">
        <f>A19+1</f>
        <v>3</v>
      </c>
      <c r="B24" s="1045" t="s">
        <v>1193</v>
      </c>
      <c r="C24" s="1043">
        <v>1</v>
      </c>
      <c r="D24" s="1037" t="s">
        <v>312</v>
      </c>
      <c r="E24" s="1042">
        <f ca="1">Elec_Est!E818</f>
        <v>6299.5</v>
      </c>
      <c r="F24" s="1041">
        <f ca="1">E24*C24</f>
        <v>6299.5</v>
      </c>
    </row>
    <row r="25" spans="1:6" s="1040" customFormat="1" ht="13.2">
      <c r="A25" s="1048"/>
      <c r="B25" s="1045"/>
      <c r="C25" s="1043"/>
      <c r="D25" s="1037"/>
      <c r="E25" s="1042"/>
      <c r="F25" s="1041"/>
    </row>
    <row r="26" spans="1:6" s="1040" customFormat="1" ht="13.2">
      <c r="A26" s="1028"/>
      <c r="B26" s="1045"/>
      <c r="C26" s="1043"/>
      <c r="D26" s="1037"/>
      <c r="E26" s="1042"/>
      <c r="F26" s="1041"/>
    </row>
    <row r="27" spans="1:6" s="1040" customFormat="1" ht="13.2">
      <c r="A27" s="1047" t="s">
        <v>392</v>
      </c>
      <c r="B27" s="1046" t="s">
        <v>1192</v>
      </c>
      <c r="C27" s="1043"/>
      <c r="D27" s="1037"/>
      <c r="E27" s="1042"/>
      <c r="F27" s="1041"/>
    </row>
    <row r="28" spans="1:6" s="1040" customFormat="1" ht="13.2">
      <c r="A28" s="1048"/>
      <c r="B28" s="1045"/>
      <c r="C28" s="1043"/>
      <c r="D28" s="1037"/>
      <c r="E28" s="1042"/>
      <c r="F28" s="1041"/>
    </row>
    <row r="29" spans="1:6" s="1040" customFormat="1" ht="26.4">
      <c r="A29" s="1028">
        <f>A24+1</f>
        <v>4</v>
      </c>
      <c r="B29" s="1045" t="s">
        <v>1191</v>
      </c>
      <c r="C29" s="1043">
        <v>1</v>
      </c>
      <c r="D29" s="1037" t="s">
        <v>312</v>
      </c>
      <c r="E29" s="1042">
        <f>Elec_Est!E850</f>
        <v>2902.99</v>
      </c>
      <c r="F29" s="1041">
        <f>E29*C29</f>
        <v>2902.99</v>
      </c>
    </row>
    <row r="30" spans="1:6" s="1040" customFormat="1" ht="13.2">
      <c r="A30" s="1048"/>
      <c r="B30" s="1045"/>
      <c r="C30" s="1043"/>
      <c r="D30" s="1037"/>
      <c r="E30" s="1042"/>
      <c r="F30" s="1041"/>
    </row>
    <row r="31" spans="1:6" s="1040" customFormat="1" ht="13.2">
      <c r="A31" s="1048"/>
      <c r="B31" s="1045"/>
      <c r="C31" s="1043"/>
      <c r="D31" s="1037"/>
      <c r="E31" s="1042"/>
      <c r="F31" s="1041"/>
    </row>
    <row r="32" spans="1:6" s="1040" customFormat="1" ht="13.2">
      <c r="A32" s="1047" t="s">
        <v>392</v>
      </c>
      <c r="B32" s="1046" t="s">
        <v>1190</v>
      </c>
      <c r="C32" s="1043"/>
      <c r="D32" s="1037"/>
      <c r="E32" s="1042"/>
      <c r="F32" s="1041"/>
    </row>
    <row r="33" spans="1:16" s="1040" customFormat="1" ht="13.2">
      <c r="A33" s="1028"/>
      <c r="B33" s="1045"/>
      <c r="C33" s="1043"/>
      <c r="D33" s="1037"/>
      <c r="E33" s="1042"/>
      <c r="F33" s="1041"/>
    </row>
    <row r="34" spans="1:16" s="1040" customFormat="1" ht="26.4">
      <c r="A34" s="1028">
        <f>A29+1</f>
        <v>5</v>
      </c>
      <c r="B34" s="1045" t="s">
        <v>1189</v>
      </c>
      <c r="C34" s="1043">
        <v>1</v>
      </c>
      <c r="D34" s="1037" t="s">
        <v>312</v>
      </c>
      <c r="E34" s="1042">
        <f>Elec_Est!E869</f>
        <v>2267.64</v>
      </c>
      <c r="F34" s="1041">
        <f>E34*C34</f>
        <v>2267.64</v>
      </c>
    </row>
    <row r="35" spans="1:16" s="1016" customFormat="1" ht="13.2">
      <c r="A35" s="1028"/>
      <c r="B35" s="1039"/>
      <c r="C35" s="1038"/>
      <c r="D35" s="1037"/>
      <c r="E35" s="1036"/>
      <c r="F35" s="1041"/>
      <c r="G35" s="1017"/>
      <c r="H35" s="1017"/>
      <c r="I35" s="1017"/>
      <c r="J35" s="1017"/>
      <c r="K35" s="1017"/>
      <c r="L35" s="1017"/>
      <c r="M35" s="1017"/>
      <c r="N35" s="1017"/>
      <c r="O35" s="1017"/>
      <c r="P35" s="1017"/>
    </row>
    <row r="36" spans="1:16" s="1016" customFormat="1" ht="13.2">
      <c r="A36" s="1028"/>
      <c r="B36" s="1039"/>
      <c r="C36" s="1038"/>
      <c r="D36" s="1037"/>
      <c r="E36" s="1036"/>
      <c r="F36" s="1041"/>
      <c r="G36" s="1017"/>
      <c r="H36" s="1017"/>
      <c r="I36" s="1017"/>
      <c r="J36" s="1017"/>
      <c r="K36" s="1017"/>
      <c r="L36" s="1017"/>
      <c r="M36" s="1017"/>
      <c r="N36" s="1017"/>
      <c r="O36" s="1017"/>
      <c r="P36" s="1017"/>
    </row>
    <row r="37" spans="1:16" s="1040" customFormat="1" ht="13.2">
      <c r="A37" s="1047" t="s">
        <v>392</v>
      </c>
      <c r="B37" s="1046" t="s">
        <v>1188</v>
      </c>
      <c r="C37" s="1043"/>
      <c r="D37" s="1037"/>
      <c r="E37" s="1042"/>
      <c r="F37" s="1041"/>
    </row>
    <row r="38" spans="1:16" s="1040" customFormat="1" ht="13.2">
      <c r="A38" s="1028"/>
      <c r="B38" s="1045"/>
      <c r="C38" s="1043"/>
      <c r="D38" s="1037"/>
      <c r="E38" s="1042"/>
      <c r="F38" s="1041"/>
    </row>
    <row r="39" spans="1:16" s="1040" customFormat="1" ht="26.4">
      <c r="A39" s="1028">
        <f>A34+1</f>
        <v>6</v>
      </c>
      <c r="B39" s="1045" t="s">
        <v>1187</v>
      </c>
      <c r="C39" s="1043">
        <v>1</v>
      </c>
      <c r="D39" s="1037" t="s">
        <v>312</v>
      </c>
      <c r="E39" s="1042">
        <f ca="1">Elec_Est!E888</f>
        <v>152433.92000000001</v>
      </c>
      <c r="F39" s="1041">
        <f ca="1">E39*C39</f>
        <v>152433.92000000001</v>
      </c>
    </row>
    <row r="40" spans="1:16" s="1016" customFormat="1" ht="13.2">
      <c r="A40" s="1028"/>
      <c r="B40" s="1039"/>
      <c r="C40" s="1038"/>
      <c r="D40" s="1037"/>
      <c r="E40" s="1036"/>
      <c r="F40" s="1041"/>
      <c r="G40" s="1017"/>
      <c r="H40" s="1017"/>
      <c r="I40" s="1017"/>
      <c r="J40" s="1017"/>
      <c r="K40" s="1017"/>
      <c r="L40" s="1017"/>
      <c r="M40" s="1017"/>
      <c r="N40" s="1017"/>
      <c r="O40" s="1017"/>
      <c r="P40" s="1017"/>
    </row>
    <row r="41" spans="1:16" s="1016" customFormat="1" ht="13.2">
      <c r="A41" s="1028"/>
      <c r="B41" s="1039"/>
      <c r="C41" s="1038"/>
      <c r="D41" s="1037"/>
      <c r="E41" s="1036"/>
      <c r="F41" s="1041"/>
      <c r="G41" s="1017"/>
      <c r="H41" s="1017"/>
      <c r="I41" s="1017"/>
      <c r="J41" s="1017"/>
      <c r="K41" s="1017"/>
      <c r="L41" s="1017"/>
      <c r="M41" s="1017"/>
      <c r="N41" s="1017"/>
      <c r="O41" s="1017"/>
      <c r="P41" s="1017"/>
    </row>
    <row r="42" spans="1:16" s="1040" customFormat="1" ht="13.2">
      <c r="A42" s="1047"/>
      <c r="B42" s="1046"/>
      <c r="C42" s="1043"/>
      <c r="D42" s="1037"/>
      <c r="E42" s="1042"/>
      <c r="F42" s="1041"/>
    </row>
    <row r="43" spans="1:16" s="1040" customFormat="1" ht="13.2">
      <c r="A43" s="1047"/>
      <c r="B43" s="1046"/>
      <c r="C43" s="1043"/>
      <c r="D43" s="1037"/>
      <c r="E43" s="1042"/>
      <c r="F43" s="1041"/>
    </row>
    <row r="44" spans="1:16" s="1040" customFormat="1" ht="13.2">
      <c r="A44" s="1047"/>
      <c r="B44" s="1046"/>
      <c r="C44" s="1043"/>
      <c r="D44" s="1037"/>
      <c r="E44" s="1042"/>
      <c r="F44" s="1041"/>
    </row>
    <row r="45" spans="1:16" s="1040" customFormat="1" ht="13.2">
      <c r="A45" s="1028"/>
      <c r="B45" s="1045"/>
      <c r="C45" s="1043"/>
      <c r="D45" s="1037"/>
      <c r="E45" s="1042"/>
      <c r="F45" s="1041"/>
    </row>
    <row r="46" spans="1:16" s="1040" customFormat="1" ht="13.2">
      <c r="A46" s="1028"/>
      <c r="B46" s="1045"/>
      <c r="C46" s="1043"/>
      <c r="D46" s="1037"/>
      <c r="E46" s="1042"/>
      <c r="F46" s="1041"/>
    </row>
    <row r="47" spans="1:16" s="1040" customFormat="1" ht="13.2">
      <c r="A47" s="1028"/>
      <c r="B47" s="1044"/>
      <c r="C47" s="1043"/>
      <c r="D47" s="1037"/>
      <c r="E47" s="1042"/>
      <c r="F47" s="1041"/>
    </row>
    <row r="48" spans="1:16" s="1016" customFormat="1" ht="13.8" thickBot="1">
      <c r="A48" s="1028"/>
      <c r="B48" s="1039"/>
      <c r="C48" s="1038"/>
      <c r="D48" s="1037"/>
      <c r="E48" s="1036"/>
      <c r="F48" s="1035"/>
      <c r="G48" s="1017"/>
      <c r="H48" s="1017"/>
      <c r="I48" s="1017"/>
      <c r="J48" s="1017"/>
      <c r="K48" s="1017"/>
      <c r="L48" s="1017"/>
      <c r="M48" s="1017"/>
      <c r="N48" s="1017"/>
      <c r="O48" s="1017"/>
      <c r="P48" s="1017"/>
    </row>
    <row r="49" spans="1:16" s="1016" customFormat="1" ht="13.2">
      <c r="A49" s="1034"/>
      <c r="B49" s="1033"/>
      <c r="C49" s="1032"/>
      <c r="D49" s="1031"/>
      <c r="E49" s="1030"/>
      <c r="F49" s="1029"/>
      <c r="G49" s="1017"/>
      <c r="H49" s="1017"/>
      <c r="I49" s="1017"/>
      <c r="J49" s="1017"/>
      <c r="K49" s="1017"/>
      <c r="L49" s="1017"/>
      <c r="M49" s="1017"/>
      <c r="N49" s="1017"/>
      <c r="O49" s="1017"/>
      <c r="P49" s="1017"/>
    </row>
    <row r="50" spans="1:16" s="1016" customFormat="1" ht="13.2">
      <c r="A50" s="1028" t="s">
        <v>391</v>
      </c>
      <c r="B50" s="1027" t="s">
        <v>315</v>
      </c>
      <c r="C50" s="1026"/>
      <c r="D50" s="1025"/>
      <c r="E50" s="1024"/>
      <c r="F50" s="1023">
        <f ca="1">SUM(F7:F48)</f>
        <v>172615.99000000002</v>
      </c>
      <c r="G50" s="1017"/>
      <c r="H50" s="1017"/>
      <c r="I50" s="1017"/>
      <c r="J50" s="1017"/>
      <c r="K50" s="1017"/>
      <c r="L50" s="1017"/>
      <c r="M50" s="1017"/>
      <c r="N50" s="1017"/>
      <c r="O50" s="1017"/>
      <c r="P50" s="1017"/>
    </row>
    <row r="51" spans="1:16" s="1016" customFormat="1" ht="13.2">
      <c r="A51" s="1022"/>
      <c r="B51" s="1021"/>
      <c r="C51" s="1020"/>
      <c r="D51" s="1020"/>
      <c r="E51" s="1019"/>
      <c r="F51" s="1018"/>
      <c r="G51" s="1017"/>
      <c r="H51" s="1017"/>
      <c r="I51" s="1017"/>
      <c r="J51" s="1017"/>
      <c r="K51" s="1017"/>
      <c r="L51" s="1017"/>
      <c r="M51" s="1017"/>
      <c r="N51" s="1017"/>
      <c r="O51" s="1017"/>
      <c r="P51" s="1017"/>
    </row>
    <row r="53" spans="1:16">
      <c r="F53" s="1015"/>
    </row>
    <row r="55" spans="1:16">
      <c r="A55" s="1014" t="s">
        <v>157</v>
      </c>
    </row>
  </sheetData>
  <mergeCells count="1">
    <mergeCell ref="B7:F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34"/>
  <sheetViews>
    <sheetView topLeftCell="A26" workbookViewId="0">
      <selection activeCell="D64" sqref="D64"/>
    </sheetView>
  </sheetViews>
  <sheetFormatPr defaultColWidth="9.109375" defaultRowHeight="13.2"/>
  <cols>
    <col min="1" max="5" width="9.109375" style="613"/>
    <col min="6" max="6" width="14.5546875" style="613" customWidth="1"/>
    <col min="7" max="7" width="9.109375" style="613"/>
    <col min="8" max="8" width="12.6640625" style="613" customWidth="1"/>
    <col min="9" max="9" width="9.109375" style="613"/>
    <col min="10" max="10" width="10.109375" style="613" bestFit="1" customWidth="1"/>
    <col min="11" max="11" width="13.44140625" style="613" bestFit="1" customWidth="1"/>
    <col min="12" max="16384" width="9.109375" style="613"/>
  </cols>
  <sheetData>
    <row r="1" spans="1:11">
      <c r="A1" s="1003" t="s">
        <v>563</v>
      </c>
      <c r="B1" s="1003"/>
      <c r="C1" s="1003"/>
      <c r="D1" s="1003"/>
      <c r="E1" s="1003"/>
      <c r="F1" s="1003"/>
      <c r="G1" s="1003"/>
      <c r="H1" s="1003"/>
      <c r="I1" s="1003"/>
    </row>
    <row r="4" spans="1:11">
      <c r="F4" s="615" t="s">
        <v>257</v>
      </c>
      <c r="H4" s="615" t="s">
        <v>257</v>
      </c>
      <c r="J4" s="613" t="s">
        <v>564</v>
      </c>
    </row>
    <row r="6" spans="1:11">
      <c r="A6" s="1004" t="s">
        <v>362</v>
      </c>
    </row>
    <row r="8" spans="1:11">
      <c r="A8" s="613" t="s">
        <v>565</v>
      </c>
      <c r="F8" s="1005"/>
      <c r="G8" s="616"/>
      <c r="H8" s="616"/>
    </row>
    <row r="9" spans="1:11">
      <c r="F9" s="616"/>
      <c r="G9" s="616"/>
      <c r="H9" s="616"/>
    </row>
    <row r="10" spans="1:11" ht="13.8" thickBot="1">
      <c r="A10" s="613" t="s">
        <v>566</v>
      </c>
      <c r="F10" s="1005"/>
      <c r="G10" s="616"/>
      <c r="H10" s="1006">
        <f>SUM(F7:F10)</f>
        <v>0</v>
      </c>
      <c r="J10" s="616"/>
      <c r="K10" s="616"/>
    </row>
    <row r="11" spans="1:11">
      <c r="F11" s="616"/>
      <c r="G11" s="616"/>
      <c r="H11" s="617"/>
    </row>
    <row r="12" spans="1:11">
      <c r="F12" s="616"/>
      <c r="G12" s="616"/>
      <c r="H12" s="617"/>
    </row>
    <row r="13" spans="1:11">
      <c r="A13" s="1004" t="s">
        <v>567</v>
      </c>
      <c r="F13" s="616"/>
      <c r="G13" s="616"/>
      <c r="H13" s="617"/>
    </row>
    <row r="14" spans="1:11">
      <c r="F14" s="616"/>
      <c r="G14" s="616"/>
      <c r="H14" s="617"/>
    </row>
    <row r="15" spans="1:11">
      <c r="A15" s="613" t="s">
        <v>568</v>
      </c>
      <c r="F15" s="1005">
        <f>Elec_BOQ!F49</f>
        <v>21380.670000000002</v>
      </c>
      <c r="G15" s="616"/>
      <c r="H15" s="616"/>
    </row>
    <row r="16" spans="1:11">
      <c r="F16" s="616"/>
      <c r="G16" s="616"/>
      <c r="H16" s="616"/>
    </row>
    <row r="17" spans="1:10">
      <c r="A17" s="613" t="s">
        <v>569</v>
      </c>
      <c r="F17" s="1005">
        <f>Elec_BOQ!F98</f>
        <v>122636.45999999999</v>
      </c>
      <c r="G17" s="616"/>
      <c r="H17" s="616"/>
    </row>
    <row r="18" spans="1:10">
      <c r="F18" s="616"/>
      <c r="G18" s="616"/>
      <c r="H18" s="617"/>
    </row>
    <row r="19" spans="1:10">
      <c r="A19" s="613" t="s">
        <v>570</v>
      </c>
      <c r="F19" s="1005">
        <f>Elec_BOQ!F150</f>
        <v>10327.91</v>
      </c>
      <c r="G19" s="616"/>
    </row>
    <row r="20" spans="1:10">
      <c r="F20" s="616"/>
      <c r="G20" s="616"/>
      <c r="H20" s="617"/>
    </row>
    <row r="21" spans="1:10">
      <c r="A21" s="613" t="s">
        <v>571</v>
      </c>
      <c r="F21" s="1005">
        <f>Elec_BOQ!F187</f>
        <v>19003.54</v>
      </c>
      <c r="G21" s="616"/>
      <c r="H21" s="617"/>
    </row>
    <row r="22" spans="1:10">
      <c r="F22" s="616"/>
      <c r="G22" s="616"/>
      <c r="H22" s="617"/>
    </row>
    <row r="23" spans="1:10">
      <c r="A23" s="613" t="s">
        <v>572</v>
      </c>
      <c r="F23" s="1005">
        <f>Elec_BOQ!F222</f>
        <v>13763.91</v>
      </c>
      <c r="G23" s="616"/>
      <c r="H23" s="617"/>
    </row>
    <row r="24" spans="1:10">
      <c r="F24" s="616"/>
      <c r="G24" s="616"/>
      <c r="H24" s="617"/>
    </row>
    <row r="25" spans="1:10" ht="13.8" thickBot="1">
      <c r="A25" s="613" t="s">
        <v>573</v>
      </c>
      <c r="F25" s="1005">
        <f>Elec_BOQ!F269</f>
        <v>1641.8400000000001</v>
      </c>
      <c r="G25" s="616"/>
      <c r="H25" s="1006">
        <f>SUM(F15:F25)</f>
        <v>188754.33000000002</v>
      </c>
      <c r="J25" s="616">
        <f>Elec_Est!F458</f>
        <v>181972.18000000002</v>
      </c>
    </row>
    <row r="26" spans="1:10">
      <c r="F26" s="616"/>
      <c r="G26" s="616"/>
      <c r="H26" s="617"/>
    </row>
    <row r="27" spans="1:10">
      <c r="F27" s="616"/>
      <c r="G27" s="616"/>
      <c r="H27" s="617"/>
    </row>
    <row r="28" spans="1:10">
      <c r="A28" s="1004" t="s">
        <v>363</v>
      </c>
      <c r="F28" s="616"/>
      <c r="G28" s="616"/>
      <c r="H28" s="617"/>
    </row>
    <row r="29" spans="1:10">
      <c r="F29" s="616"/>
      <c r="G29" s="616"/>
      <c r="H29" s="617"/>
    </row>
    <row r="30" spans="1:10" ht="13.8" thickBot="1">
      <c r="A30" s="613" t="s">
        <v>574</v>
      </c>
      <c r="F30" s="1005"/>
      <c r="G30" s="616"/>
      <c r="H30" s="1006">
        <f>SUM(F30:G30)</f>
        <v>0</v>
      </c>
      <c r="J30" s="616"/>
    </row>
    <row r="31" spans="1:10">
      <c r="F31" s="616"/>
      <c r="G31" s="616"/>
      <c r="H31" s="617"/>
    </row>
    <row r="32" spans="1:10">
      <c r="F32" s="616"/>
      <c r="G32" s="616"/>
      <c r="H32" s="617"/>
    </row>
    <row r="33" spans="1:11">
      <c r="A33" s="1004" t="s">
        <v>579</v>
      </c>
    </row>
    <row r="34" spans="1:11">
      <c r="F34" s="616"/>
      <c r="G34" s="616"/>
      <c r="H34" s="616"/>
    </row>
    <row r="35" spans="1:11" ht="13.8" thickBot="1">
      <c r="A35" s="613" t="s">
        <v>575</v>
      </c>
      <c r="F35" s="1005"/>
      <c r="G35" s="616"/>
      <c r="H35" s="1006">
        <f>SUM(F35:G35)</f>
        <v>0</v>
      </c>
      <c r="K35" s="616"/>
    </row>
    <row r="36" spans="1:11">
      <c r="F36" s="616"/>
      <c r="G36" s="616"/>
      <c r="H36" s="617"/>
    </row>
    <row r="37" spans="1:11">
      <c r="F37" s="616"/>
      <c r="G37" s="616"/>
      <c r="H37" s="617"/>
    </row>
    <row r="38" spans="1:11">
      <c r="A38" s="1004" t="s">
        <v>581</v>
      </c>
    </row>
    <row r="39" spans="1:11">
      <c r="F39" s="616"/>
      <c r="G39" s="616"/>
      <c r="H39" s="616"/>
    </row>
    <row r="40" spans="1:11" ht="13.8" thickBot="1">
      <c r="A40" s="613" t="s">
        <v>576</v>
      </c>
      <c r="F40" s="1005"/>
      <c r="G40" s="616"/>
      <c r="H40" s="1006">
        <f>SUM(F40:G40)</f>
        <v>0</v>
      </c>
      <c r="K40" s="616"/>
    </row>
    <row r="41" spans="1:11">
      <c r="F41" s="616"/>
      <c r="G41" s="616"/>
      <c r="H41" s="617"/>
      <c r="K41" s="616"/>
    </row>
    <row r="42" spans="1:11">
      <c r="F42" s="616"/>
      <c r="G42" s="616"/>
      <c r="H42" s="617"/>
      <c r="K42" s="616"/>
    </row>
    <row r="43" spans="1:11">
      <c r="A43" s="1004" t="s">
        <v>588</v>
      </c>
    </row>
    <row r="44" spans="1:11">
      <c r="F44" s="616"/>
      <c r="G44" s="616"/>
      <c r="H44" s="616"/>
    </row>
    <row r="45" spans="1:11" ht="13.8" thickBot="1">
      <c r="A45" s="613" t="s">
        <v>577</v>
      </c>
      <c r="F45" s="1005"/>
      <c r="G45" s="616"/>
      <c r="H45" s="1006">
        <f>SUM(F45:G45)</f>
        <v>0</v>
      </c>
      <c r="K45" s="616"/>
    </row>
    <row r="46" spans="1:11">
      <c r="F46" s="616"/>
      <c r="G46" s="616"/>
      <c r="H46" s="617"/>
      <c r="K46" s="616"/>
    </row>
    <row r="47" spans="1:11">
      <c r="F47" s="616"/>
      <c r="G47" s="616"/>
      <c r="H47" s="617"/>
      <c r="K47" s="616"/>
    </row>
    <row r="48" spans="1:11">
      <c r="A48" s="1004" t="s">
        <v>583</v>
      </c>
      <c r="F48" s="616"/>
      <c r="G48" s="616"/>
      <c r="H48" s="617"/>
    </row>
    <row r="49" spans="1:11">
      <c r="F49" s="616"/>
      <c r="G49" s="616"/>
      <c r="H49" s="617"/>
    </row>
    <row r="50" spans="1:11">
      <c r="A50" s="613" t="s">
        <v>578</v>
      </c>
      <c r="F50" s="1005"/>
      <c r="G50" s="616"/>
      <c r="H50" s="617"/>
    </row>
    <row r="51" spans="1:11">
      <c r="F51" s="616"/>
      <c r="G51" s="616"/>
      <c r="H51" s="617"/>
    </row>
    <row r="52" spans="1:11">
      <c r="A52" s="613" t="s">
        <v>580</v>
      </c>
      <c r="F52" s="1005"/>
      <c r="G52" s="616"/>
      <c r="H52" s="617"/>
    </row>
    <row r="53" spans="1:11">
      <c r="F53" s="616"/>
      <c r="G53" s="616"/>
      <c r="H53" s="617"/>
    </row>
    <row r="54" spans="1:11">
      <c r="A54" s="613" t="s">
        <v>582</v>
      </c>
      <c r="F54" s="1005"/>
      <c r="G54" s="616"/>
      <c r="H54" s="617"/>
    </row>
    <row r="55" spans="1:11">
      <c r="F55" s="616"/>
      <c r="G55" s="616"/>
      <c r="H55" s="617"/>
    </row>
    <row r="56" spans="1:11">
      <c r="A56" s="613" t="s">
        <v>584</v>
      </c>
      <c r="F56" s="1005"/>
      <c r="G56" s="616"/>
      <c r="H56" s="617"/>
    </row>
    <row r="57" spans="1:11">
      <c r="F57" s="616"/>
      <c r="G57" s="616"/>
      <c r="H57" s="617"/>
    </row>
    <row r="58" spans="1:11">
      <c r="A58" s="613" t="s">
        <v>585</v>
      </c>
      <c r="F58" s="1005"/>
      <c r="G58" s="616"/>
      <c r="H58" s="617"/>
    </row>
    <row r="59" spans="1:11">
      <c r="F59" s="616"/>
      <c r="G59" s="616"/>
      <c r="H59" s="617"/>
    </row>
    <row r="60" spans="1:11">
      <c r="A60" s="613" t="s">
        <v>586</v>
      </c>
      <c r="F60" s="1005"/>
      <c r="G60" s="616"/>
      <c r="H60" s="617"/>
    </row>
    <row r="61" spans="1:11">
      <c r="F61" s="616"/>
      <c r="G61" s="616"/>
      <c r="H61" s="617"/>
    </row>
    <row r="62" spans="1:11">
      <c r="A62" s="613" t="s">
        <v>587</v>
      </c>
      <c r="F62" s="1005"/>
      <c r="G62" s="616"/>
      <c r="H62" s="617"/>
    </row>
    <row r="63" spans="1:11">
      <c r="F63" s="616"/>
      <c r="G63" s="616"/>
      <c r="H63" s="617"/>
    </row>
    <row r="64" spans="1:11">
      <c r="A64" s="613" t="s">
        <v>589</v>
      </c>
      <c r="F64" s="1005"/>
      <c r="G64" s="616"/>
      <c r="H64" s="617"/>
      <c r="K64" s="616"/>
    </row>
    <row r="65" spans="1:11">
      <c r="F65" s="616"/>
      <c r="G65" s="616"/>
      <c r="H65" s="617"/>
    </row>
    <row r="66" spans="1:11" ht="13.8" thickBot="1">
      <c r="A66" s="613" t="s">
        <v>591</v>
      </c>
      <c r="F66" s="1005"/>
      <c r="G66" s="616"/>
      <c r="H66" s="1006">
        <f>SUM(F50:F66)</f>
        <v>0</v>
      </c>
      <c r="K66" s="616"/>
    </row>
    <row r="67" spans="1:11">
      <c r="F67" s="616"/>
      <c r="G67" s="616"/>
      <c r="H67" s="617"/>
    </row>
    <row r="68" spans="1:11">
      <c r="F68" s="616"/>
      <c r="G68" s="616"/>
      <c r="H68" s="617"/>
    </row>
    <row r="69" spans="1:11">
      <c r="A69" s="1004" t="s">
        <v>590</v>
      </c>
      <c r="F69" s="616"/>
      <c r="G69" s="616"/>
      <c r="H69" s="617"/>
    </row>
    <row r="70" spans="1:11" ht="13.2" customHeight="1">
      <c r="F70" s="616"/>
      <c r="G70" s="616"/>
      <c r="H70" s="617"/>
    </row>
    <row r="71" spans="1:11">
      <c r="A71" s="613" t="s">
        <v>592</v>
      </c>
      <c r="F71" s="1005"/>
      <c r="G71" s="616"/>
      <c r="H71" s="617"/>
    </row>
    <row r="72" spans="1:11">
      <c r="F72" s="616"/>
      <c r="G72" s="616"/>
      <c r="H72" s="617"/>
    </row>
    <row r="73" spans="1:11">
      <c r="A73" s="613" t="s">
        <v>593</v>
      </c>
      <c r="F73" s="1005"/>
      <c r="G73" s="616"/>
      <c r="H73" s="617"/>
    </row>
    <row r="74" spans="1:11">
      <c r="F74" s="616"/>
      <c r="G74" s="616"/>
      <c r="H74" s="617"/>
    </row>
    <row r="75" spans="1:11">
      <c r="A75" s="613" t="s">
        <v>594</v>
      </c>
      <c r="F75" s="1005"/>
      <c r="G75" s="616"/>
      <c r="H75" s="617"/>
    </row>
    <row r="76" spans="1:11">
      <c r="F76" s="616"/>
      <c r="G76" s="616"/>
      <c r="H76" s="617"/>
    </row>
    <row r="77" spans="1:11">
      <c r="A77" s="613" t="s">
        <v>595</v>
      </c>
      <c r="F77" s="1005"/>
      <c r="G77" s="616"/>
      <c r="H77" s="617"/>
    </row>
    <row r="78" spans="1:11">
      <c r="F78" s="616"/>
      <c r="G78" s="616"/>
      <c r="H78" s="617"/>
    </row>
    <row r="79" spans="1:11">
      <c r="A79" s="613" t="s">
        <v>596</v>
      </c>
      <c r="F79" s="1005"/>
      <c r="G79" s="616"/>
      <c r="H79" s="617"/>
    </row>
    <row r="80" spans="1:11">
      <c r="F80" s="616"/>
      <c r="G80" s="616"/>
      <c r="H80" s="617"/>
    </row>
    <row r="81" spans="1:11">
      <c r="A81" s="613" t="s">
        <v>597</v>
      </c>
      <c r="F81" s="1005"/>
      <c r="G81" s="616"/>
      <c r="H81" s="617"/>
    </row>
    <row r="82" spans="1:11">
      <c r="F82" s="616"/>
      <c r="G82" s="616"/>
      <c r="H82" s="617"/>
    </row>
    <row r="83" spans="1:11" ht="13.8" thickBot="1">
      <c r="A83" s="613" t="s">
        <v>598</v>
      </c>
      <c r="F83" s="1005"/>
      <c r="G83" s="616"/>
      <c r="H83" s="1006">
        <f>SUM(F71:F83)</f>
        <v>0</v>
      </c>
      <c r="K83" s="616"/>
    </row>
    <row r="84" spans="1:11">
      <c r="F84" s="616"/>
      <c r="G84" s="616"/>
      <c r="H84" s="617"/>
    </row>
    <row r="85" spans="1:11">
      <c r="F85" s="616"/>
      <c r="G85" s="616"/>
      <c r="H85" s="617"/>
    </row>
    <row r="86" spans="1:11">
      <c r="A86" s="1004" t="s">
        <v>599</v>
      </c>
    </row>
    <row r="87" spans="1:11">
      <c r="A87" s="1004"/>
    </row>
    <row r="88" spans="1:11">
      <c r="A88" s="613" t="s">
        <v>600</v>
      </c>
      <c r="F88" s="1005"/>
      <c r="G88" s="616"/>
      <c r="H88" s="617"/>
    </row>
    <row r="89" spans="1:11">
      <c r="F89" s="616"/>
      <c r="G89" s="616"/>
      <c r="H89" s="617"/>
    </row>
    <row r="90" spans="1:11">
      <c r="A90" s="613" t="s">
        <v>601</v>
      </c>
      <c r="F90" s="1005"/>
      <c r="G90" s="616"/>
      <c r="H90" s="617"/>
    </row>
    <row r="91" spans="1:11">
      <c r="A91" s="1004"/>
      <c r="F91" s="616"/>
      <c r="G91" s="616"/>
      <c r="H91" s="617"/>
    </row>
    <row r="92" spans="1:11">
      <c r="A92" s="613" t="s">
        <v>602</v>
      </c>
      <c r="F92" s="1005"/>
      <c r="G92" s="616"/>
      <c r="H92" s="617"/>
    </row>
    <row r="93" spans="1:11">
      <c r="F93" s="616"/>
      <c r="G93" s="616"/>
      <c r="H93" s="617"/>
    </row>
    <row r="94" spans="1:11" ht="13.8" thickBot="1">
      <c r="A94" s="613" t="s">
        <v>603</v>
      </c>
      <c r="F94" s="1005"/>
      <c r="G94" s="616"/>
      <c r="H94" s="1006">
        <f>SUM(F87:F94)</f>
        <v>0</v>
      </c>
      <c r="K94" s="616"/>
    </row>
    <row r="95" spans="1:11">
      <c r="F95" s="616"/>
      <c r="G95" s="616"/>
      <c r="H95" s="617"/>
      <c r="K95" s="616"/>
    </row>
    <row r="96" spans="1:11">
      <c r="F96" s="616"/>
      <c r="G96" s="616"/>
      <c r="H96" s="617"/>
    </row>
    <row r="97" spans="1:11">
      <c r="A97" s="1004" t="s">
        <v>604</v>
      </c>
      <c r="F97" s="616"/>
      <c r="G97" s="616"/>
      <c r="H97" s="617"/>
    </row>
    <row r="98" spans="1:11">
      <c r="F98" s="616"/>
      <c r="G98" s="616"/>
      <c r="H98" s="617"/>
    </row>
    <row r="99" spans="1:11">
      <c r="A99" s="613" t="s">
        <v>605</v>
      </c>
      <c r="F99" s="1005">
        <f>Central_Controller_BOQ!G50</f>
        <v>10273.540000000001</v>
      </c>
      <c r="G99" s="616"/>
      <c r="H99" s="617"/>
      <c r="K99" s="616"/>
    </row>
    <row r="100" spans="1:11">
      <c r="F100" s="616"/>
      <c r="G100" s="616"/>
      <c r="H100" s="617"/>
      <c r="K100" s="616"/>
    </row>
    <row r="101" spans="1:11" ht="13.8" thickBot="1">
      <c r="A101" s="613" t="s">
        <v>607</v>
      </c>
      <c r="F101" s="1005">
        <f ca="1">Central_Controller_BOQ!G98</f>
        <v>15347.06</v>
      </c>
      <c r="G101" s="616"/>
      <c r="H101" s="1006">
        <f ca="1">SUM(F99:F101)</f>
        <v>25620.6</v>
      </c>
      <c r="J101" s="616">
        <f ca="1">Elec_Est!F760</f>
        <v>25620.6</v>
      </c>
      <c r="K101" s="616"/>
    </row>
    <row r="102" spans="1:11">
      <c r="F102" s="616"/>
      <c r="G102" s="616"/>
      <c r="H102" s="617"/>
      <c r="K102" s="616"/>
    </row>
    <row r="103" spans="1:11">
      <c r="F103" s="616"/>
      <c r="G103" s="616"/>
      <c r="H103" s="617"/>
    </row>
    <row r="104" spans="1:11">
      <c r="A104" s="1004" t="s">
        <v>606</v>
      </c>
      <c r="F104" s="616"/>
      <c r="G104" s="616"/>
      <c r="H104" s="617"/>
    </row>
    <row r="105" spans="1:11">
      <c r="F105" s="616"/>
      <c r="G105" s="616"/>
      <c r="H105" s="617"/>
    </row>
    <row r="106" spans="1:11">
      <c r="A106" s="613" t="s">
        <v>608</v>
      </c>
      <c r="F106" s="1005"/>
      <c r="G106" s="616"/>
      <c r="H106" s="617"/>
    </row>
    <row r="107" spans="1:11">
      <c r="F107" s="616"/>
      <c r="G107" s="616"/>
      <c r="H107" s="617"/>
    </row>
    <row r="108" spans="1:11">
      <c r="A108" s="613" t="s">
        <v>609</v>
      </c>
      <c r="F108" s="1005"/>
      <c r="G108" s="616"/>
      <c r="H108" s="617"/>
    </row>
    <row r="109" spans="1:11">
      <c r="F109" s="616"/>
      <c r="G109" s="616"/>
      <c r="H109" s="617"/>
    </row>
    <row r="110" spans="1:11">
      <c r="A110" s="613" t="s">
        <v>610</v>
      </c>
      <c r="F110" s="1005"/>
      <c r="G110" s="616"/>
      <c r="H110" s="617"/>
    </row>
    <row r="111" spans="1:11">
      <c r="F111" s="616"/>
      <c r="G111" s="616"/>
      <c r="H111" s="617"/>
    </row>
    <row r="112" spans="1:11">
      <c r="A112" s="613" t="s">
        <v>611</v>
      </c>
      <c r="F112" s="1005"/>
      <c r="G112" s="616"/>
      <c r="H112" s="617"/>
    </row>
    <row r="113" spans="1:8">
      <c r="F113" s="616"/>
      <c r="G113" s="616"/>
      <c r="H113" s="617"/>
    </row>
    <row r="114" spans="1:8">
      <c r="A114" s="613" t="s">
        <v>612</v>
      </c>
      <c r="F114" s="1005"/>
      <c r="G114" s="616"/>
      <c r="H114" s="617"/>
    </row>
    <row r="115" spans="1:8">
      <c r="F115" s="616"/>
      <c r="G115" s="616"/>
      <c r="H115" s="617"/>
    </row>
    <row r="116" spans="1:8">
      <c r="A116" s="613" t="s">
        <v>613</v>
      </c>
      <c r="F116" s="1005"/>
      <c r="G116" s="616"/>
      <c r="H116" s="617"/>
    </row>
    <row r="117" spans="1:8">
      <c r="F117" s="616"/>
      <c r="G117" s="616"/>
      <c r="H117" s="617"/>
    </row>
    <row r="118" spans="1:8">
      <c r="A118" s="613" t="s">
        <v>614</v>
      </c>
      <c r="F118" s="1005"/>
      <c r="G118" s="616"/>
      <c r="H118" s="617"/>
    </row>
    <row r="119" spans="1:8">
      <c r="F119" s="616"/>
      <c r="G119" s="616"/>
      <c r="H119" s="617"/>
    </row>
    <row r="120" spans="1:8">
      <c r="A120" s="613" t="s">
        <v>615</v>
      </c>
      <c r="F120" s="1005"/>
      <c r="G120" s="616"/>
      <c r="H120" s="617"/>
    </row>
    <row r="121" spans="1:8">
      <c r="F121" s="616"/>
      <c r="G121" s="616"/>
      <c r="H121" s="617"/>
    </row>
    <row r="122" spans="1:8">
      <c r="A122" s="613" t="s">
        <v>616</v>
      </c>
      <c r="F122" s="1005"/>
      <c r="G122" s="616"/>
      <c r="H122" s="617"/>
    </row>
    <row r="123" spans="1:8">
      <c r="F123" s="616"/>
      <c r="G123" s="616"/>
      <c r="H123" s="617"/>
    </row>
    <row r="124" spans="1:8">
      <c r="A124" s="613" t="s">
        <v>617</v>
      </c>
      <c r="F124" s="1005"/>
      <c r="G124" s="616"/>
      <c r="H124" s="617"/>
    </row>
    <row r="125" spans="1:8">
      <c r="F125" s="616"/>
      <c r="G125" s="616"/>
      <c r="H125" s="617"/>
    </row>
    <row r="126" spans="1:8">
      <c r="A126" s="613" t="s">
        <v>618</v>
      </c>
      <c r="F126" s="1005"/>
      <c r="G126" s="616"/>
      <c r="H126" s="617"/>
    </row>
    <row r="127" spans="1:8">
      <c r="F127" s="616"/>
      <c r="G127" s="616"/>
      <c r="H127" s="617"/>
    </row>
    <row r="128" spans="1:8">
      <c r="A128" s="613" t="s">
        <v>619</v>
      </c>
      <c r="F128" s="1005"/>
      <c r="G128" s="616"/>
      <c r="H128" s="617"/>
    </row>
    <row r="129" spans="1:8">
      <c r="F129" s="616"/>
      <c r="G129" s="616"/>
      <c r="H129" s="617"/>
    </row>
    <row r="130" spans="1:8">
      <c r="A130" s="613" t="s">
        <v>620</v>
      </c>
      <c r="F130" s="1005"/>
      <c r="G130" s="616"/>
      <c r="H130" s="617"/>
    </row>
    <row r="131" spans="1:8">
      <c r="F131" s="616"/>
      <c r="G131" s="616"/>
      <c r="H131" s="617"/>
    </row>
    <row r="132" spans="1:8">
      <c r="A132" s="613" t="s">
        <v>621</v>
      </c>
      <c r="F132" s="1005"/>
      <c r="G132" s="616"/>
      <c r="H132" s="617"/>
    </row>
    <row r="133" spans="1:8">
      <c r="F133" s="616"/>
      <c r="G133" s="616"/>
      <c r="H133" s="617"/>
    </row>
    <row r="134" spans="1:8">
      <c r="A134" s="613" t="s">
        <v>622</v>
      </c>
      <c r="F134" s="1005"/>
      <c r="G134" s="616"/>
      <c r="H134" s="617"/>
    </row>
    <row r="135" spans="1:8">
      <c r="F135" s="616"/>
      <c r="G135" s="616"/>
      <c r="H135" s="617"/>
    </row>
    <row r="136" spans="1:8">
      <c r="A136" s="613" t="s">
        <v>623</v>
      </c>
      <c r="F136" s="1005"/>
      <c r="G136" s="616"/>
      <c r="H136" s="617"/>
    </row>
    <row r="137" spans="1:8">
      <c r="F137" s="616"/>
      <c r="G137" s="616"/>
      <c r="H137" s="617"/>
    </row>
    <row r="138" spans="1:8">
      <c r="A138" s="613" t="s">
        <v>624</v>
      </c>
      <c r="F138" s="1005"/>
      <c r="G138" s="616"/>
      <c r="H138" s="617"/>
    </row>
    <row r="139" spans="1:8">
      <c r="F139" s="616"/>
      <c r="G139" s="616"/>
      <c r="H139" s="617"/>
    </row>
    <row r="140" spans="1:8">
      <c r="A140" s="613" t="s">
        <v>625</v>
      </c>
      <c r="F140" s="1005"/>
      <c r="G140" s="616"/>
      <c r="H140" s="617"/>
    </row>
    <row r="141" spans="1:8">
      <c r="F141" s="616"/>
      <c r="G141" s="616"/>
      <c r="H141" s="617"/>
    </row>
    <row r="142" spans="1:8">
      <c r="A142" s="613" t="s">
        <v>626</v>
      </c>
      <c r="F142" s="1005"/>
      <c r="G142" s="616"/>
      <c r="H142" s="617"/>
    </row>
    <row r="143" spans="1:8">
      <c r="F143" s="616"/>
      <c r="G143" s="616"/>
      <c r="H143" s="617"/>
    </row>
    <row r="144" spans="1:8">
      <c r="A144" s="613" t="s">
        <v>627</v>
      </c>
      <c r="F144" s="1005"/>
      <c r="G144" s="616"/>
      <c r="H144" s="617"/>
    </row>
    <row r="145" spans="1:11">
      <c r="F145" s="616"/>
      <c r="G145" s="616"/>
      <c r="H145" s="617"/>
    </row>
    <row r="146" spans="1:11">
      <c r="A146" s="613" t="s">
        <v>628</v>
      </c>
      <c r="F146" s="1005"/>
      <c r="G146" s="616"/>
      <c r="H146" s="617"/>
    </row>
    <row r="147" spans="1:11">
      <c r="F147" s="616"/>
      <c r="G147" s="616"/>
      <c r="H147" s="617"/>
    </row>
    <row r="148" spans="1:11">
      <c r="A148" s="613" t="s">
        <v>629</v>
      </c>
      <c r="F148" s="1005"/>
      <c r="G148" s="616"/>
      <c r="H148" s="617"/>
    </row>
    <row r="149" spans="1:11">
      <c r="F149" s="616"/>
      <c r="G149" s="616"/>
      <c r="H149" s="617"/>
    </row>
    <row r="150" spans="1:11">
      <c r="A150" s="613" t="s">
        <v>630</v>
      </c>
      <c r="F150" s="1005"/>
      <c r="G150" s="616"/>
      <c r="H150" s="617"/>
    </row>
    <row r="151" spans="1:11">
      <c r="H151" s="617"/>
    </row>
    <row r="152" spans="1:11" ht="13.8" thickBot="1">
      <c r="A152" s="613" t="s">
        <v>631</v>
      </c>
      <c r="F152" s="1005"/>
      <c r="G152" s="616"/>
      <c r="H152" s="1006">
        <f>SUM(F105:F152)</f>
        <v>0</v>
      </c>
      <c r="K152" s="616"/>
    </row>
    <row r="153" spans="1:11">
      <c r="F153" s="616"/>
      <c r="G153" s="616"/>
      <c r="H153" s="617"/>
    </row>
    <row r="154" spans="1:11">
      <c r="F154" s="616"/>
      <c r="G154" s="616"/>
      <c r="H154" s="617"/>
    </row>
    <row r="155" spans="1:11">
      <c r="A155" s="1004" t="s">
        <v>632</v>
      </c>
      <c r="F155" s="616"/>
      <c r="G155" s="616"/>
      <c r="H155" s="617"/>
    </row>
    <row r="156" spans="1:11">
      <c r="F156" s="616"/>
      <c r="G156" s="616"/>
      <c r="H156" s="617"/>
    </row>
    <row r="157" spans="1:11">
      <c r="A157" s="613" t="s">
        <v>633</v>
      </c>
      <c r="F157" s="1005"/>
      <c r="G157" s="616"/>
      <c r="H157" s="617"/>
    </row>
    <row r="158" spans="1:11">
      <c r="F158" s="616"/>
      <c r="G158" s="616"/>
      <c r="H158" s="617"/>
    </row>
    <row r="159" spans="1:11">
      <c r="A159" s="613" t="s">
        <v>634</v>
      </c>
      <c r="F159" s="1005"/>
      <c r="G159" s="616"/>
      <c r="H159" s="617"/>
    </row>
    <row r="160" spans="1:11">
      <c r="F160" s="616"/>
      <c r="G160" s="616"/>
      <c r="H160" s="617"/>
    </row>
    <row r="161" spans="1:11">
      <c r="A161" s="613" t="s">
        <v>635</v>
      </c>
      <c r="F161" s="1005"/>
      <c r="G161" s="616"/>
      <c r="H161" s="617"/>
    </row>
    <row r="162" spans="1:11">
      <c r="H162" s="617"/>
    </row>
    <row r="163" spans="1:11" ht="13.8" thickBot="1">
      <c r="A163" s="613" t="s">
        <v>636</v>
      </c>
      <c r="F163" s="1005"/>
      <c r="G163" s="616"/>
      <c r="H163" s="1006">
        <f>SUM(F157:F163)</f>
        <v>0</v>
      </c>
      <c r="K163" s="616"/>
    </row>
    <row r="164" spans="1:11">
      <c r="F164" s="616"/>
      <c r="G164" s="616"/>
      <c r="H164" s="617"/>
      <c r="K164" s="616"/>
    </row>
    <row r="165" spans="1:11">
      <c r="F165" s="616"/>
      <c r="G165" s="616"/>
      <c r="H165" s="617"/>
    </row>
    <row r="166" spans="1:11">
      <c r="A166" s="1004" t="s">
        <v>637</v>
      </c>
      <c r="F166" s="616"/>
      <c r="G166" s="616"/>
      <c r="H166" s="617"/>
    </row>
    <row r="167" spans="1:11">
      <c r="F167" s="616"/>
      <c r="G167" s="616"/>
      <c r="H167" s="617"/>
    </row>
    <row r="168" spans="1:11" ht="13.8" thickBot="1">
      <c r="A168" s="613" t="s">
        <v>638</v>
      </c>
      <c r="F168" s="1005"/>
      <c r="G168" s="616"/>
      <c r="H168" s="1006">
        <f>SUM(F168:G168)</f>
        <v>0</v>
      </c>
      <c r="K168" s="616"/>
    </row>
    <row r="169" spans="1:11">
      <c r="F169" s="616"/>
      <c r="G169" s="616"/>
      <c r="H169" s="617"/>
      <c r="K169" s="616"/>
    </row>
    <row r="170" spans="1:11">
      <c r="F170" s="616"/>
      <c r="G170" s="616"/>
      <c r="H170" s="617"/>
      <c r="K170" s="616"/>
    </row>
    <row r="171" spans="1:11">
      <c r="A171" s="1004" t="s">
        <v>639</v>
      </c>
      <c r="F171" s="616"/>
      <c r="G171" s="616"/>
      <c r="H171" s="617"/>
    </row>
    <row r="172" spans="1:11">
      <c r="F172" s="616"/>
      <c r="G172" s="616"/>
      <c r="H172" s="617"/>
    </row>
    <row r="173" spans="1:11" ht="13.8" thickBot="1">
      <c r="A173" s="613" t="s">
        <v>640</v>
      </c>
      <c r="F173" s="1005"/>
      <c r="G173" s="616"/>
      <c r="H173" s="1006">
        <f>SUM(F173:G173)</f>
        <v>0</v>
      </c>
      <c r="K173" s="616"/>
    </row>
    <row r="174" spans="1:11">
      <c r="F174" s="616"/>
      <c r="G174" s="616"/>
      <c r="H174" s="617"/>
      <c r="K174" s="616"/>
    </row>
    <row r="175" spans="1:11">
      <c r="F175" s="616"/>
      <c r="G175" s="616"/>
      <c r="H175" s="617"/>
    </row>
    <row r="176" spans="1:11">
      <c r="A176" s="1004" t="s">
        <v>1185</v>
      </c>
      <c r="F176" s="616"/>
      <c r="G176" s="616"/>
      <c r="H176" s="617"/>
    </row>
    <row r="177" spans="1:11">
      <c r="F177" s="616"/>
      <c r="G177" s="616"/>
      <c r="H177" s="617"/>
    </row>
    <row r="178" spans="1:11" ht="13.8" thickBot="1">
      <c r="A178" s="613" t="s">
        <v>641</v>
      </c>
      <c r="B178" s="1007"/>
      <c r="C178" s="1007"/>
      <c r="F178" s="1005">
        <f ca="1">BMS_BOQ!F50</f>
        <v>172615.99000000002</v>
      </c>
      <c r="G178" s="616"/>
      <c r="H178" s="1006">
        <f ca="1">SUM(F178:G178)</f>
        <v>172615.99000000002</v>
      </c>
      <c r="J178" s="616">
        <f ca="1">Elec_Est!F948</f>
        <v>172615.99000000002</v>
      </c>
      <c r="K178" s="616"/>
    </row>
    <row r="179" spans="1:11">
      <c r="A179" s="1007"/>
      <c r="B179" s="1007"/>
      <c r="C179" s="1007"/>
      <c r="F179" s="616"/>
      <c r="G179" s="616"/>
      <c r="H179" s="617"/>
      <c r="K179" s="616"/>
    </row>
    <row r="180" spans="1:11">
      <c r="F180" s="616"/>
      <c r="G180" s="616"/>
      <c r="H180" s="617"/>
    </row>
    <row r="181" spans="1:11">
      <c r="A181" s="1004" t="s">
        <v>364</v>
      </c>
      <c r="F181" s="616"/>
      <c r="G181" s="616"/>
      <c r="H181" s="617"/>
    </row>
    <row r="182" spans="1:11">
      <c r="F182" s="616"/>
      <c r="G182" s="616"/>
      <c r="H182" s="617"/>
    </row>
    <row r="183" spans="1:11" ht="13.8" thickBot="1">
      <c r="A183" s="613" t="s">
        <v>643</v>
      </c>
      <c r="F183" s="1005"/>
      <c r="G183" s="616"/>
      <c r="H183" s="1006">
        <f>SUM(F183:G183)</f>
        <v>0</v>
      </c>
      <c r="J183" s="616"/>
      <c r="K183" s="616"/>
    </row>
    <row r="184" spans="1:11">
      <c r="F184" s="616"/>
      <c r="G184" s="616"/>
      <c r="H184" s="617"/>
    </row>
    <row r="185" spans="1:11">
      <c r="F185" s="616"/>
      <c r="G185" s="616"/>
      <c r="H185" s="617"/>
    </row>
    <row r="186" spans="1:11">
      <c r="F186" s="616"/>
      <c r="G186" s="616"/>
      <c r="H186" s="617"/>
    </row>
    <row r="187" spans="1:11">
      <c r="F187" s="616"/>
      <c r="G187" s="616"/>
      <c r="H187" s="617"/>
    </row>
    <row r="188" spans="1:11">
      <c r="A188" s="1004" t="s">
        <v>642</v>
      </c>
      <c r="F188" s="616"/>
      <c r="G188" s="616"/>
      <c r="H188" s="617"/>
    </row>
    <row r="189" spans="1:11">
      <c r="F189" s="616"/>
      <c r="G189" s="616"/>
      <c r="H189" s="617"/>
    </row>
    <row r="190" spans="1:11" ht="13.8" thickBot="1">
      <c r="A190" s="613" t="s">
        <v>645</v>
      </c>
      <c r="F190" s="1005"/>
      <c r="G190" s="616"/>
      <c r="H190" s="1006">
        <f>SUM(F190:G190)</f>
        <v>0</v>
      </c>
      <c r="J190" s="616"/>
      <c r="K190" s="616"/>
    </row>
    <row r="191" spans="1:11">
      <c r="F191" s="616"/>
      <c r="G191" s="616"/>
      <c r="H191" s="617"/>
    </row>
    <row r="192" spans="1:11">
      <c r="F192" s="616"/>
      <c r="G192" s="616"/>
      <c r="H192" s="617"/>
    </row>
    <row r="193" spans="1:11">
      <c r="A193" s="1004" t="s">
        <v>644</v>
      </c>
      <c r="F193" s="616"/>
      <c r="G193" s="616"/>
      <c r="H193" s="617"/>
    </row>
    <row r="194" spans="1:11">
      <c r="F194" s="616"/>
      <c r="G194" s="616"/>
      <c r="H194" s="617"/>
    </row>
    <row r="195" spans="1:11" ht="13.8" thickBot="1">
      <c r="A195" s="613" t="s">
        <v>1186</v>
      </c>
      <c r="F195" s="1005"/>
      <c r="G195" s="616"/>
      <c r="H195" s="1006">
        <f>SUM(F195:G195)</f>
        <v>0</v>
      </c>
      <c r="K195" s="616"/>
    </row>
    <row r="196" spans="1:11">
      <c r="F196" s="616"/>
      <c r="G196" s="616"/>
      <c r="H196" s="617"/>
      <c r="K196" s="1008"/>
    </row>
    <row r="197" spans="1:11">
      <c r="F197" s="616"/>
      <c r="G197" s="616"/>
      <c r="H197" s="617"/>
    </row>
    <row r="198" spans="1:11" ht="13.8" thickBot="1">
      <c r="A198" s="1004" t="s">
        <v>646</v>
      </c>
      <c r="B198" s="1004"/>
      <c r="F198" s="616"/>
      <c r="G198" s="616"/>
      <c r="H198" s="1006"/>
    </row>
    <row r="199" spans="1:11">
      <c r="A199" s="1004"/>
      <c r="B199" s="1004"/>
      <c r="F199" s="616"/>
      <c r="G199" s="616"/>
      <c r="H199" s="617"/>
    </row>
    <row r="200" spans="1:11" ht="13.8" thickBot="1">
      <c r="A200" s="1004" t="s">
        <v>647</v>
      </c>
      <c r="B200" s="1004"/>
      <c r="F200" s="616"/>
      <c r="G200" s="616"/>
      <c r="H200" s="1006">
        <f ca="1">SUM(H1:H199)</f>
        <v>386990.92000000004</v>
      </c>
      <c r="J200" s="1006">
        <f ca="1">SUM(J1:J199)</f>
        <v>380208.77</v>
      </c>
    </row>
    <row r="201" spans="1:11">
      <c r="A201" s="1004"/>
      <c r="B201" s="1004"/>
      <c r="F201" s="616"/>
      <c r="G201" s="616"/>
      <c r="H201" s="617"/>
    </row>
    <row r="202" spans="1:11" ht="13.8" thickBot="1">
      <c r="A202" s="1004" t="s">
        <v>648</v>
      </c>
      <c r="B202" s="1004"/>
      <c r="F202" s="616"/>
      <c r="G202" s="616"/>
      <c r="H202" s="1006">
        <f ca="1">H200*18%</f>
        <v>69658.365600000005</v>
      </c>
    </row>
    <row r="203" spans="1:11">
      <c r="A203" s="1004"/>
      <c r="B203" s="1004"/>
      <c r="F203" s="616"/>
      <c r="G203" s="616"/>
      <c r="H203" s="617"/>
    </row>
    <row r="204" spans="1:11" ht="13.8" thickBot="1">
      <c r="A204" s="1004" t="s">
        <v>649</v>
      </c>
      <c r="B204" s="1004"/>
      <c r="G204" s="1009" t="s">
        <v>257</v>
      </c>
      <c r="H204" s="1010">
        <f ca="1">H202+H200</f>
        <v>456649.28560000006</v>
      </c>
    </row>
    <row r="205" spans="1:11" ht="13.8" thickTop="1"/>
    <row r="210" spans="1:9">
      <c r="A210" s="613" t="s">
        <v>650</v>
      </c>
      <c r="C210" s="1377"/>
      <c r="D210" s="1377"/>
      <c r="E210" s="1377"/>
      <c r="F210" s="1377"/>
      <c r="G210" s="1377"/>
      <c r="H210" s="1377"/>
      <c r="I210" s="1377"/>
    </row>
    <row r="211" spans="1:9">
      <c r="C211" s="614"/>
      <c r="D211" s="614"/>
      <c r="E211" s="614"/>
      <c r="F211" s="614"/>
      <c r="G211" s="614"/>
      <c r="H211" s="614"/>
      <c r="I211" s="614"/>
    </row>
    <row r="212" spans="1:9">
      <c r="A212" s="613" t="s">
        <v>651</v>
      </c>
      <c r="C212" s="1377"/>
      <c r="D212" s="1377"/>
      <c r="E212" s="1377"/>
      <c r="F212" s="1377"/>
      <c r="G212" s="1377"/>
      <c r="H212" s="1377"/>
      <c r="I212" s="1377"/>
    </row>
    <row r="213" spans="1:9">
      <c r="C213" s="614"/>
      <c r="D213" s="614"/>
      <c r="E213" s="614"/>
      <c r="F213" s="614"/>
      <c r="G213" s="614"/>
      <c r="H213" s="614"/>
      <c r="I213" s="614"/>
    </row>
    <row r="214" spans="1:9">
      <c r="A214" s="613" t="s">
        <v>652</v>
      </c>
      <c r="C214" s="1377"/>
      <c r="D214" s="1377"/>
      <c r="E214" s="1377"/>
      <c r="F214" s="1377"/>
      <c r="G214" s="1377"/>
      <c r="H214" s="1377"/>
      <c r="I214" s="1377"/>
    </row>
    <row r="215" spans="1:9">
      <c r="C215" s="614"/>
      <c r="D215" s="614"/>
      <c r="E215" s="614"/>
      <c r="F215" s="614"/>
      <c r="G215" s="614"/>
      <c r="H215" s="614"/>
      <c r="I215" s="614"/>
    </row>
    <row r="216" spans="1:9">
      <c r="A216" s="613" t="s">
        <v>653</v>
      </c>
      <c r="C216" s="1377"/>
      <c r="D216" s="1377"/>
      <c r="E216" s="1377"/>
      <c r="F216" s="1377"/>
      <c r="G216" s="1377"/>
      <c r="H216" s="1377"/>
      <c r="I216" s="1377"/>
    </row>
    <row r="217" spans="1:9">
      <c r="C217" s="614"/>
      <c r="D217" s="614"/>
      <c r="E217" s="614"/>
      <c r="F217" s="614"/>
      <c r="G217" s="614"/>
      <c r="H217" s="614"/>
      <c r="I217" s="614"/>
    </row>
    <row r="218" spans="1:9">
      <c r="A218" s="613" t="s">
        <v>654</v>
      </c>
      <c r="C218" s="1377"/>
      <c r="D218" s="1377"/>
      <c r="E218" s="1377"/>
      <c r="F218" s="1377"/>
      <c r="G218" s="1377"/>
      <c r="H218" s="1377"/>
      <c r="I218" s="1377"/>
    </row>
    <row r="219" spans="1:9">
      <c r="C219" s="614"/>
      <c r="D219" s="614"/>
      <c r="E219" s="614"/>
      <c r="F219" s="614"/>
      <c r="G219" s="614"/>
      <c r="H219" s="614"/>
      <c r="I219" s="614"/>
    </row>
    <row r="220" spans="1:9">
      <c r="A220" s="613" t="s">
        <v>655</v>
      </c>
      <c r="C220" s="1377"/>
      <c r="D220" s="1377"/>
      <c r="E220" s="1377"/>
      <c r="F220" s="1377"/>
      <c r="G220" s="1377"/>
      <c r="H220" s="1377"/>
      <c r="I220" s="1377"/>
    </row>
    <row r="221" spans="1:9">
      <c r="C221" s="614"/>
      <c r="D221" s="614"/>
      <c r="E221" s="614"/>
      <c r="F221" s="614"/>
      <c r="G221" s="614"/>
      <c r="H221" s="614"/>
      <c r="I221" s="614"/>
    </row>
    <row r="222" spans="1:9">
      <c r="A222" s="613" t="s">
        <v>656</v>
      </c>
      <c r="C222" s="1377"/>
      <c r="D222" s="1377"/>
      <c r="E222" s="1377"/>
      <c r="F222" s="1377"/>
      <c r="G222" s="1377"/>
      <c r="H222" s="1377"/>
      <c r="I222" s="1377"/>
    </row>
    <row r="223" spans="1:9">
      <c r="C223" s="614"/>
      <c r="D223" s="614"/>
      <c r="E223" s="614"/>
      <c r="F223" s="614"/>
      <c r="G223" s="614"/>
      <c r="H223" s="614"/>
      <c r="I223" s="614"/>
    </row>
    <row r="224" spans="1:9">
      <c r="A224" s="613" t="s">
        <v>657</v>
      </c>
      <c r="C224" s="1377"/>
      <c r="D224" s="1377"/>
      <c r="E224" s="1377"/>
      <c r="F224" s="1377"/>
      <c r="G224" s="1377"/>
      <c r="H224" s="1377"/>
      <c r="I224" s="1377"/>
    </row>
    <row r="225" spans="1:9">
      <c r="C225" s="614"/>
      <c r="D225" s="614"/>
      <c r="E225" s="614"/>
      <c r="F225" s="614"/>
      <c r="G225" s="614"/>
      <c r="H225" s="614"/>
      <c r="I225" s="614"/>
    </row>
    <row r="226" spans="1:9">
      <c r="C226" s="1377"/>
      <c r="D226" s="1377"/>
      <c r="E226" s="1377"/>
      <c r="F226" s="1377"/>
      <c r="G226" s="1377"/>
      <c r="H226" s="1377"/>
      <c r="I226" s="1377"/>
    </row>
    <row r="227" spans="1:9">
      <c r="C227" s="614"/>
      <c r="D227" s="614"/>
      <c r="E227" s="614"/>
      <c r="F227" s="614"/>
      <c r="G227" s="614"/>
      <c r="H227" s="614"/>
      <c r="I227" s="614"/>
    </row>
    <row r="228" spans="1:9">
      <c r="A228" s="613" t="s">
        <v>658</v>
      </c>
      <c r="C228" s="1377"/>
      <c r="D228" s="1377"/>
      <c r="E228" s="1377"/>
      <c r="F228" s="1377"/>
      <c r="G228" s="1377"/>
      <c r="H228" s="1377"/>
      <c r="I228" s="1377"/>
    </row>
    <row r="229" spans="1:9">
      <c r="C229" s="614"/>
      <c r="D229" s="614"/>
      <c r="E229" s="614"/>
      <c r="F229" s="614"/>
      <c r="G229" s="614"/>
      <c r="H229" s="614"/>
      <c r="I229" s="614"/>
    </row>
    <row r="230" spans="1:9">
      <c r="A230" s="613" t="s">
        <v>659</v>
      </c>
      <c r="C230" s="1377"/>
      <c r="D230" s="1377"/>
      <c r="E230" s="1377"/>
      <c r="F230" s="1377"/>
      <c r="G230" s="1377"/>
      <c r="H230" s="1377"/>
      <c r="I230" s="1377"/>
    </row>
    <row r="231" spans="1:9">
      <c r="C231" s="614"/>
      <c r="D231" s="614"/>
      <c r="E231" s="614"/>
      <c r="F231" s="614"/>
      <c r="G231" s="614"/>
      <c r="H231" s="614"/>
      <c r="I231" s="614"/>
    </row>
    <row r="232" spans="1:9">
      <c r="A232" s="613" t="s">
        <v>660</v>
      </c>
      <c r="C232" s="1377"/>
      <c r="D232" s="1377"/>
      <c r="E232" s="1377"/>
      <c r="F232" s="1377"/>
      <c r="G232" s="1377"/>
      <c r="H232" s="1377"/>
      <c r="I232" s="1377"/>
    </row>
    <row r="234" spans="1:9">
      <c r="A234" s="613" t="s">
        <v>661</v>
      </c>
      <c r="C234" s="1377"/>
      <c r="D234" s="1377"/>
      <c r="E234" s="1377"/>
      <c r="F234" s="1377"/>
      <c r="G234" s="1377"/>
      <c r="H234" s="1377"/>
      <c r="I234" s="1377"/>
    </row>
  </sheetData>
  <mergeCells count="13">
    <mergeCell ref="C232:I232"/>
    <mergeCell ref="C234:I234"/>
    <mergeCell ref="C230:I230"/>
    <mergeCell ref="C220:I220"/>
    <mergeCell ref="C222:I222"/>
    <mergeCell ref="C224:I224"/>
    <mergeCell ref="C226:I226"/>
    <mergeCell ref="C228:I228"/>
    <mergeCell ref="C210:I210"/>
    <mergeCell ref="C212:I212"/>
    <mergeCell ref="C214:I214"/>
    <mergeCell ref="C216:I216"/>
    <mergeCell ref="C218:I218"/>
  </mergeCells>
  <printOptions horizontalCentered="1"/>
  <pageMargins left="0.47244094488188981" right="0.47244094488188981" top="0.59055118110236227" bottom="0.59055118110236227" header="0.19685039370078741" footer="0.19685039370078741"/>
  <pageSetup paperSize="9" scale="97" firstPageNumber="69" orientation="portrait" useFirstPageNumber="1" r:id="rId1"/>
  <headerFooter alignWithMargins="0">
    <oddHeader>&amp;L&amp;"Arial,Regular"&amp;9Intercontinental Hotel - Retrofit&amp;R&amp;"Arial,Regular"&amp;9 075/24</oddHeader>
    <oddFooter>&amp;L&amp;"Arial,Regular"&amp;8MTS Consulting Ltd
F15/Rev.11&amp;R&amp;P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9B4C9-9A69-483C-B695-B7049C52C958}">
  <sheetPr>
    <tabColor indexed="14"/>
  </sheetPr>
  <dimension ref="A1:IV1293"/>
  <sheetViews>
    <sheetView workbookViewId="0">
      <selection activeCell="Q33" sqref="Q33"/>
    </sheetView>
  </sheetViews>
  <sheetFormatPr defaultColWidth="9.109375" defaultRowHeight="13.8"/>
  <cols>
    <col min="1" max="2" width="11.33203125" style="36" customWidth="1"/>
    <col min="3" max="3" width="3.88671875" style="36" hidden="1" customWidth="1"/>
    <col min="4" max="4" width="49.109375" style="36" customWidth="1"/>
    <col min="5" max="6" width="32"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20" width="16.6640625" style="36" customWidth="1"/>
    <col min="21" max="21" width="6.33203125" style="36" customWidth="1"/>
    <col min="22" max="22" width="4.6640625" style="373" customWidth="1"/>
    <col min="23" max="23" width="5" style="373" bestFit="1" customWidth="1"/>
    <col min="24" max="24" width="4.88671875" style="373" bestFit="1" customWidth="1"/>
    <col min="25" max="25" width="4.33203125" style="373" bestFit="1" customWidth="1"/>
    <col min="26" max="26" width="5.33203125" style="373" customWidth="1"/>
    <col min="27" max="27" width="4" style="373" customWidth="1"/>
    <col min="28" max="28" width="4.109375" style="373" customWidth="1"/>
    <col min="29" max="32" width="9.109375" style="36" customWidth="1"/>
    <col min="33" max="33" width="12.88671875" style="36" hidden="1" customWidth="1"/>
    <col min="34" max="34" width="10.6640625" style="36" hidden="1" customWidth="1"/>
    <col min="35" max="35" width="11.44140625" style="36" hidden="1" customWidth="1"/>
    <col min="36" max="36" width="9.109375" style="36" hidden="1" customWidth="1"/>
    <col min="37" max="37" width="13.6640625" style="36" hidden="1" customWidth="1"/>
    <col min="38" max="38" width="9.109375" style="36" hidden="1" customWidth="1"/>
    <col min="39" max="40" width="12" style="36" hidden="1" customWidth="1"/>
    <col min="41" max="41" width="11.109375" style="36" hidden="1" customWidth="1"/>
    <col min="42" max="42" width="9.109375" style="36" hidden="1" customWidth="1"/>
    <col min="43" max="16384" width="9.109375" style="36"/>
  </cols>
  <sheetData>
    <row r="1" spans="1:42" s="32" customFormat="1" ht="15.6">
      <c r="A1" s="575"/>
      <c r="B1" s="552" t="s">
        <v>0</v>
      </c>
      <c r="C1" s="553">
        <f>ML_Sum!$C1</f>
        <v>1</v>
      </c>
      <c r="D1" s="554" t="str">
        <f>ML_Sum!$D1</f>
        <v>Eden Lesuire Group</v>
      </c>
      <c r="E1" s="555"/>
      <c r="F1" s="556">
        <f>ML_Sum!$F1</f>
        <v>0</v>
      </c>
      <c r="G1" s="597"/>
      <c r="H1"/>
      <c r="I1" s="324">
        <v>1</v>
      </c>
      <c r="J1" s="325">
        <f>ML_Sum!$J1</f>
        <v>1</v>
      </c>
      <c r="K1" s="325">
        <f>ML_Sum!$K1</f>
        <v>1</v>
      </c>
      <c r="L1" s="325">
        <f>ML_Sum!$L1</f>
        <v>1</v>
      </c>
      <c r="M1" s="325">
        <f>ML_Sum!$M1</f>
        <v>1</v>
      </c>
      <c r="N1" s="325">
        <f>ML_Sum!$N1</f>
        <v>1</v>
      </c>
      <c r="O1" s="325">
        <f>ML_Sum!$O1</f>
        <v>1</v>
      </c>
      <c r="P1"/>
      <c r="Q1" s="393" t="str">
        <f>ML_Sum!$Q1</f>
        <v>€</v>
      </c>
      <c r="R1" s="328" t="s">
        <v>1</v>
      </c>
      <c r="S1" s="392" t="str">
        <f>ML_Sum!$S1</f>
        <v>R</v>
      </c>
      <c r="T1" s="496">
        <f>ML_Sum!$T1</f>
        <v>1</v>
      </c>
      <c r="U1" s="497" t="str">
        <f>ML_Sum!W1</f>
        <v>BOQ</v>
      </c>
      <c r="V1" s="498" t="s">
        <v>207</v>
      </c>
      <c r="W1" s="576" t="s">
        <v>197</v>
      </c>
      <c r="X1" s="499" t="s">
        <v>198</v>
      </c>
      <c r="Y1" s="577" t="s">
        <v>199</v>
      </c>
      <c r="Z1" s="500" t="s">
        <v>195</v>
      </c>
      <c r="AA1" s="500" t="s">
        <v>200</v>
      </c>
      <c r="AB1" s="576" t="s">
        <v>201</v>
      </c>
      <c r="AG1" s="594"/>
      <c r="AH1" s="594"/>
      <c r="AI1" s="594"/>
      <c r="AJ1" s="594"/>
      <c r="AK1" s="595"/>
    </row>
    <row r="2" spans="1:42" s="32" customFormat="1">
      <c r="A2" s="551"/>
      <c r="B2" s="552" t="s">
        <v>2</v>
      </c>
      <c r="C2" s="553">
        <f>ML_Sum!$C2</f>
        <v>0.97379223448350882</v>
      </c>
      <c r="D2" s="554" t="str">
        <f>ML_Sum!$D2</f>
        <v>Intercontinental - Plant Retrofit</v>
      </c>
      <c r="E2" s="558"/>
      <c r="F2" s="556" t="str">
        <f>ML_Sum!$F2</f>
        <v>Electrical</v>
      </c>
      <c r="G2" s="557"/>
      <c r="H2"/>
      <c r="I2" s="324">
        <v>2</v>
      </c>
      <c r="J2" s="325">
        <f>ML_Sum!$J2</f>
        <v>1</v>
      </c>
      <c r="K2" s="325">
        <f>ML_Sum!$K2</f>
        <v>1</v>
      </c>
      <c r="L2" s="325">
        <f>ML_Sum!$L2</f>
        <v>1</v>
      </c>
      <c r="M2" s="325">
        <f>ML_Sum!$M2</f>
        <v>1</v>
      </c>
      <c r="N2" s="325">
        <f>ML_Sum!$N2</f>
        <v>1</v>
      </c>
      <c r="O2" s="325">
        <f>ML_Sum!$O2</f>
        <v>1</v>
      </c>
      <c r="P2"/>
      <c r="Q2" s="398">
        <f>ML_Sum!$Q2</f>
        <v>2.6207765516491222E-2</v>
      </c>
      <c r="R2" s="18" t="s">
        <v>3</v>
      </c>
      <c r="S2" s="399">
        <f>ML_Sum!$S2</f>
        <v>1.35</v>
      </c>
      <c r="T2" s="400">
        <f>ML_Sum!$T2</f>
        <v>37.071000000000005</v>
      </c>
      <c r="V2" s="373"/>
      <c r="W2" s="373"/>
      <c r="X2" s="373"/>
      <c r="Y2" s="373"/>
      <c r="Z2" s="373"/>
      <c r="AA2" s="373"/>
      <c r="AB2" s="373"/>
    </row>
    <row r="3" spans="1:42" s="32" customFormat="1">
      <c r="A3" s="559"/>
      <c r="B3" s="560" t="s">
        <v>4</v>
      </c>
      <c r="C3" s="553">
        <f>ML_Sum!$C3</f>
        <v>0.97379223448350882</v>
      </c>
      <c r="D3" s="554" t="str">
        <f>ML_Sum!$D3</f>
        <v>Retrofitting works for the Electrical Installations</v>
      </c>
      <c r="E3" s="559"/>
      <c r="F3" s="556" t="str">
        <f>ML_Sum!$F3</f>
        <v>ECA (Technician)</v>
      </c>
      <c r="G3" s="561"/>
      <c r="H3"/>
      <c r="I3" s="324">
        <v>3</v>
      </c>
      <c r="J3" s="325">
        <f>ML_Sum!$J3</f>
        <v>1</v>
      </c>
      <c r="K3" s="325">
        <f>ML_Sum!$K3</f>
        <v>1</v>
      </c>
      <c r="L3" s="325">
        <f>ML_Sum!$L3</f>
        <v>1</v>
      </c>
      <c r="M3" s="325">
        <f>ML_Sum!$M3</f>
        <v>1</v>
      </c>
      <c r="N3" s="325">
        <f>ML_Sum!$N3</f>
        <v>1</v>
      </c>
      <c r="O3" s="325">
        <f>ML_Sum!$O3</f>
        <v>1</v>
      </c>
      <c r="P3"/>
      <c r="Q3" s="398">
        <f>ML_Sum!$Q3</f>
        <v>2.6207765516491222E-2</v>
      </c>
      <c r="R3" s="19" t="s">
        <v>5</v>
      </c>
      <c r="S3" s="399">
        <f>ML_Sum!$S3</f>
        <v>1.35</v>
      </c>
      <c r="T3" s="400">
        <f>ML_Sum!$T3</f>
        <v>45.535499999999999</v>
      </c>
      <c r="V3" s="373"/>
      <c r="W3" s="373"/>
      <c r="X3" s="373"/>
      <c r="Y3" s="373"/>
      <c r="Z3" s="373"/>
      <c r="AA3" s="373"/>
      <c r="AB3" s="373"/>
    </row>
    <row r="4" spans="1:42" s="32" customFormat="1">
      <c r="A4" s="562"/>
      <c r="B4" s="552" t="s">
        <v>6</v>
      </c>
      <c r="C4" s="553">
        <f>ML_Sum!$C4</f>
        <v>0.97379223448350882</v>
      </c>
      <c r="D4" s="554" t="str">
        <f>ML_Sum!$D4</f>
        <v>EL25-0477</v>
      </c>
      <c r="E4" s="559"/>
      <c r="F4" s="556" t="str">
        <f>ML_Sum!$F4</f>
        <v>ECA (Engineer)</v>
      </c>
      <c r="G4" s="561"/>
      <c r="H4"/>
      <c r="I4" s="324">
        <v>4</v>
      </c>
      <c r="J4" s="325">
        <f>ML_Sum!$J4</f>
        <v>1</v>
      </c>
      <c r="K4" s="325">
        <f>ML_Sum!$K4</f>
        <v>1</v>
      </c>
      <c r="L4" s="325">
        <f>ML_Sum!$L4</f>
        <v>1</v>
      </c>
      <c r="M4" s="325">
        <f>ML_Sum!$M4</f>
        <v>1</v>
      </c>
      <c r="N4" s="325">
        <f>ML_Sum!$N4</f>
        <v>1</v>
      </c>
      <c r="O4" s="325">
        <f>ML_Sum!$O4</f>
        <v>1</v>
      </c>
      <c r="P4"/>
      <c r="Q4" s="398">
        <f>ML_Sum!$Q4</f>
        <v>2.6207765516491222E-2</v>
      </c>
      <c r="R4" s="20" t="s">
        <v>8</v>
      </c>
      <c r="S4" s="399">
        <f>ML_Sum!$S4</f>
        <v>1.35</v>
      </c>
      <c r="T4" s="400">
        <f>ML_Sum!$T4</f>
        <v>40.5</v>
      </c>
      <c r="V4" s="373"/>
      <c r="W4" s="373"/>
      <c r="X4" s="373"/>
      <c r="Y4" s="373"/>
      <c r="Z4" s="373"/>
      <c r="AA4" s="373"/>
      <c r="AB4" s="373"/>
    </row>
    <row r="5" spans="1:42" s="32" customFormat="1">
      <c r="A5" s="562"/>
      <c r="B5" s="552" t="s">
        <v>209</v>
      </c>
      <c r="C5" s="553">
        <f>ML_Sum!$C5</f>
        <v>1</v>
      </c>
      <c r="D5" s="554" t="str">
        <f>ML_Sum!$D5</f>
        <v>Tender</v>
      </c>
      <c r="E5" s="559"/>
      <c r="F5" s="556" t="str">
        <f>ML_Sum!$F5</f>
        <v>Megaline</v>
      </c>
      <c r="G5" s="563"/>
      <c r="H5"/>
      <c r="I5" s="324">
        <v>5</v>
      </c>
      <c r="J5" s="325">
        <f>ML_Sum!$J5</f>
        <v>1</v>
      </c>
      <c r="K5" s="325">
        <f>ML_Sum!$K5</f>
        <v>1</v>
      </c>
      <c r="L5" s="325">
        <f>ML_Sum!$L5</f>
        <v>1</v>
      </c>
      <c r="M5" s="325">
        <f>ML_Sum!$M5</f>
        <v>1</v>
      </c>
      <c r="N5" s="325">
        <f>ML_Sum!$N5</f>
        <v>1</v>
      </c>
      <c r="O5" s="325">
        <f>ML_Sum!$O5</f>
        <v>1</v>
      </c>
      <c r="P5"/>
      <c r="Q5" s="398">
        <f>ML_Sum!$Q5</f>
        <v>0</v>
      </c>
      <c r="R5" s="21" t="s">
        <v>10</v>
      </c>
      <c r="S5" s="399">
        <f>ML_Sum!$S5</f>
        <v>1</v>
      </c>
      <c r="T5" s="400">
        <f>ML_Sum!$T5</f>
        <v>37.071000000000005</v>
      </c>
      <c r="V5" s="373"/>
      <c r="W5" s="373"/>
      <c r="X5" s="373"/>
      <c r="Y5" s="373"/>
      <c r="Z5" s="373"/>
      <c r="AA5" s="373"/>
      <c r="AB5" s="373"/>
    </row>
    <row r="6" spans="1:42" s="32" customFormat="1">
      <c r="A6"/>
      <c r="B6" s="560" t="s">
        <v>9</v>
      </c>
      <c r="C6" s="553">
        <f>ML_Sum!$C6</f>
        <v>1</v>
      </c>
      <c r="D6" s="554" t="str">
        <f>ML_Sum!$D6</f>
        <v>VAT EXCL.</v>
      </c>
      <c r="E6"/>
      <c r="F6" s="556">
        <f>ML_Sum!$F6</f>
        <v>0</v>
      </c>
      <c r="G6" s="563"/>
      <c r="H6"/>
      <c r="I6" s="324">
        <v>6</v>
      </c>
      <c r="J6" s="325">
        <f>ML_Sum!$J6</f>
        <v>1</v>
      </c>
      <c r="K6" s="325">
        <f>ML_Sum!$K6</f>
        <v>1</v>
      </c>
      <c r="L6" s="325">
        <f>ML_Sum!$L6</f>
        <v>1</v>
      </c>
      <c r="M6" s="325">
        <f>ML_Sum!$M6</f>
        <v>1</v>
      </c>
      <c r="N6" s="325">
        <f>ML_Sum!$N6</f>
        <v>1</v>
      </c>
      <c r="O6" s="325">
        <f>ML_Sum!$O6</f>
        <v>1</v>
      </c>
      <c r="P6"/>
      <c r="Q6" s="398">
        <f>ML_Sum!$Q6</f>
        <v>0</v>
      </c>
      <c r="R6" s="22" t="s">
        <v>11</v>
      </c>
      <c r="S6" s="399">
        <f>ML_Sum!$S6</f>
        <v>0</v>
      </c>
      <c r="T6" s="400">
        <f>ML_Sum!$T6</f>
        <v>0</v>
      </c>
      <c r="V6" s="373"/>
      <c r="W6" s="373"/>
      <c r="X6" s="373"/>
      <c r="Y6" s="373"/>
      <c r="Z6" s="373"/>
      <c r="AA6" s="373"/>
      <c r="AB6" s="373"/>
    </row>
    <row r="7" spans="1:42" s="32" customFormat="1">
      <c r="A7" s="551"/>
      <c r="B7" s="560" t="s">
        <v>12</v>
      </c>
      <c r="C7" s="553">
        <f>ML_Sum!$C7</f>
        <v>1</v>
      </c>
      <c r="D7" s="564">
        <v>39364</v>
      </c>
      <c r="E7" s="565"/>
      <c r="F7" s="556">
        <f>ML_Sum!$F7</f>
        <v>0</v>
      </c>
      <c r="G7" s="566"/>
      <c r="H7"/>
      <c r="I7" s="324">
        <v>7</v>
      </c>
      <c r="J7" s="325">
        <f>ML_Sum!$J7</f>
        <v>1</v>
      </c>
      <c r="K7" s="325">
        <f>ML_Sum!$K7</f>
        <v>1</v>
      </c>
      <c r="L7" s="325">
        <f>ML_Sum!$L7</f>
        <v>1</v>
      </c>
      <c r="M7" s="325">
        <f>ML_Sum!$M7</f>
        <v>1</v>
      </c>
      <c r="N7" s="325">
        <f>ML_Sum!$N7</f>
        <v>1</v>
      </c>
      <c r="O7" s="325">
        <f>ML_Sum!$O7</f>
        <v>0</v>
      </c>
      <c r="P7"/>
      <c r="Q7" s="398">
        <f>ML_Sum!$Q7</f>
        <v>0</v>
      </c>
      <c r="R7" s="23" t="s">
        <v>13</v>
      </c>
      <c r="S7" s="399">
        <f>ML_Sum!$S7</f>
        <v>0</v>
      </c>
      <c r="T7" s="400">
        <f>ML_Sum!$T7</f>
        <v>0</v>
      </c>
      <c r="V7" s="373"/>
      <c r="W7" s="373"/>
      <c r="X7" s="373"/>
      <c r="Y7" s="373"/>
      <c r="Z7" s="373"/>
      <c r="AA7" s="373"/>
      <c r="AB7" s="373"/>
    </row>
    <row r="8" spans="1:42" s="32" customFormat="1">
      <c r="A8" s="562"/>
      <c r="B8" s="560" t="s">
        <v>14</v>
      </c>
      <c r="C8" s="553">
        <f>ML_Sum!$C8</f>
        <v>1</v>
      </c>
      <c r="D8" s="554" t="str">
        <f>ML_Sum!$D8</f>
        <v>M.Scicluna</v>
      </c>
      <c r="E8" s="559"/>
      <c r="F8" s="556">
        <f>ML_Sum!$F8</f>
        <v>0</v>
      </c>
      <c r="G8" s="567"/>
      <c r="H8"/>
      <c r="I8" s="324">
        <v>8</v>
      </c>
      <c r="J8" s="325">
        <f>ML_Sum!$J8</f>
        <v>1</v>
      </c>
      <c r="K8" s="325">
        <f>ML_Sum!$K8</f>
        <v>1</v>
      </c>
      <c r="L8" s="325">
        <f>ML_Sum!$L8</f>
        <v>1</v>
      </c>
      <c r="M8" s="325">
        <f>ML_Sum!$M8</f>
        <v>1</v>
      </c>
      <c r="N8" s="325">
        <f>ML_Sum!$N8</f>
        <v>1</v>
      </c>
      <c r="O8" s="325">
        <f>ML_Sum!$O8</f>
        <v>0</v>
      </c>
      <c r="P8"/>
      <c r="Q8" s="398">
        <f>ML_Sum!$Q8</f>
        <v>0</v>
      </c>
      <c r="R8" s="24" t="s">
        <v>15</v>
      </c>
      <c r="S8" s="399">
        <f>ML_Sum!$S8</f>
        <v>0</v>
      </c>
      <c r="T8" s="400">
        <f>ML_Sum!$T8</f>
        <v>0</v>
      </c>
      <c r="V8" s="373"/>
      <c r="W8" s="373"/>
      <c r="X8" s="373"/>
      <c r="Y8" s="373"/>
      <c r="Z8" s="373"/>
      <c r="AA8" s="373"/>
      <c r="AB8" s="373"/>
    </row>
    <row r="9" spans="1:42" s="32" customFormat="1">
      <c r="A9" s="562"/>
      <c r="B9" s="560" t="s">
        <v>293</v>
      </c>
      <c r="C9" s="553">
        <f>ML_Sum!$C9</f>
        <v>1</v>
      </c>
      <c r="D9" s="554">
        <f>ML_Sum!$D9</f>
        <v>27.46</v>
      </c>
      <c r="E9" s="559"/>
      <c r="F9" s="556">
        <f>ML_Sum!$F9</f>
        <v>0</v>
      </c>
      <c r="G9" s="567"/>
      <c r="H9"/>
      <c r="I9" s="324">
        <v>9</v>
      </c>
      <c r="J9" s="325">
        <f>ML_Sum!$J9</f>
        <v>1</v>
      </c>
      <c r="K9" s="325">
        <f>ML_Sum!$K9</f>
        <v>1</v>
      </c>
      <c r="L9" s="325">
        <f>ML_Sum!$L9</f>
        <v>1</v>
      </c>
      <c r="M9" s="325">
        <f>ML_Sum!$M9</f>
        <v>1</v>
      </c>
      <c r="N9" s="325">
        <f>ML_Sum!$N9</f>
        <v>1</v>
      </c>
      <c r="O9" s="325">
        <f>ML_Sum!$O9</f>
        <v>0</v>
      </c>
      <c r="P9"/>
      <c r="Q9" s="398">
        <f>ML_Sum!$Q9</f>
        <v>0</v>
      </c>
      <c r="R9" s="25" t="s">
        <v>16</v>
      </c>
      <c r="S9" s="399">
        <f>ML_Sum!$S9</f>
        <v>0</v>
      </c>
      <c r="T9" s="400">
        <f>ML_Sum!$T9</f>
        <v>0</v>
      </c>
      <c r="V9" s="373"/>
      <c r="W9" s="373"/>
      <c r="X9" s="373"/>
      <c r="Y9" s="373"/>
      <c r="Z9" s="373"/>
      <c r="AA9" s="373"/>
      <c r="AB9" s="373"/>
    </row>
    <row r="10" spans="1:42" s="32" customFormat="1">
      <c r="A10" s="562"/>
      <c r="B10" s="551"/>
      <c r="C10" s="553">
        <f>ML_Sum!$C10</f>
        <v>1</v>
      </c>
      <c r="D10" s="551"/>
      <c r="E10" s="559"/>
      <c r="F10" s="556">
        <f>ML_Sum!$F10</f>
        <v>0</v>
      </c>
      <c r="G10" s="567"/>
      <c r="H10"/>
      <c r="I10" s="324">
        <v>10</v>
      </c>
      <c r="J10" s="325">
        <f>ML_Sum!$J10</f>
        <v>1</v>
      </c>
      <c r="K10" s="325">
        <f>ML_Sum!$K10</f>
        <v>1</v>
      </c>
      <c r="L10" s="325">
        <f>ML_Sum!$L10</f>
        <v>1</v>
      </c>
      <c r="M10" s="325">
        <f>ML_Sum!$M10</f>
        <v>1</v>
      </c>
      <c r="N10" s="325">
        <f>ML_Sum!$N10</f>
        <v>1</v>
      </c>
      <c r="O10" s="325">
        <f>ML_Sum!$O10</f>
        <v>1</v>
      </c>
      <c r="P10"/>
      <c r="Q10" s="398">
        <f>ML_Sum!$Q10</f>
        <v>0</v>
      </c>
      <c r="R10" s="26" t="s">
        <v>17</v>
      </c>
      <c r="S10" s="399">
        <f>ML_Sum!$S10</f>
        <v>0</v>
      </c>
      <c r="T10" s="400">
        <f>ML_Sum!$T10</f>
        <v>0</v>
      </c>
      <c r="V10" s="373"/>
      <c r="W10" s="373"/>
      <c r="X10" s="373"/>
      <c r="Y10" s="373"/>
      <c r="Z10" s="373"/>
      <c r="AA10" s="373"/>
      <c r="AB10" s="373"/>
    </row>
    <row r="11" spans="1:42" s="32" customFormat="1">
      <c r="A11" s="562"/>
      <c r="B11" s="551"/>
      <c r="C11" s="553">
        <f>ML_Sum!$C11</f>
        <v>1</v>
      </c>
      <c r="D11" s="551"/>
      <c r="E11" s="559"/>
      <c r="F11" s="556">
        <f>ML_Sum!$F11</f>
        <v>0</v>
      </c>
      <c r="G11" s="567"/>
      <c r="H11" s="567"/>
      <c r="I11" s="551"/>
      <c r="J11" s="551"/>
      <c r="K11" s="551"/>
      <c r="L11" s="551"/>
      <c r="M11" s="551"/>
      <c r="N11" s="551"/>
      <c r="O11" s="551"/>
      <c r="P11" s="567"/>
      <c r="Q11" s="398">
        <f>ML_Sum!$Q11</f>
        <v>0</v>
      </c>
      <c r="R11" s="27" t="s">
        <v>18</v>
      </c>
      <c r="S11" s="399">
        <f>ML_Sum!$S11</f>
        <v>0</v>
      </c>
      <c r="T11" s="400">
        <f>ML_Sum!$T11</f>
        <v>0</v>
      </c>
      <c r="V11" s="373"/>
      <c r="W11" s="373"/>
      <c r="X11" s="373"/>
      <c r="Y11" s="373"/>
      <c r="Z11" s="373"/>
      <c r="AA11" s="373"/>
      <c r="AB11" s="373"/>
    </row>
    <row r="12" spans="1:42" s="32" customFormat="1" ht="14.4" thickBot="1">
      <c r="A12" s="562"/>
      <c r="B12" s="551"/>
      <c r="C12" s="553">
        <f>ML_Sum!$C12</f>
        <v>0.97379223448350882</v>
      </c>
      <c r="D12" s="551"/>
      <c r="E12" s="559"/>
      <c r="F12" s="556">
        <f>ML_Sum!$F12</f>
        <v>0</v>
      </c>
      <c r="G12" s="567"/>
      <c r="H12" s="567"/>
      <c r="I12" s="551"/>
      <c r="J12" s="551"/>
      <c r="K12" s="551"/>
      <c r="L12" s="551"/>
      <c r="M12" s="551"/>
      <c r="N12" s="551"/>
      <c r="O12" s="551"/>
      <c r="P12" s="567"/>
      <c r="Q12" s="398">
        <f>ML_Sum!$Q12</f>
        <v>2.6207765516491222E-2</v>
      </c>
      <c r="R12" s="448" t="s">
        <v>227</v>
      </c>
      <c r="S12" s="399" t="str">
        <f>ML_Sum!$S12</f>
        <v>MAT MU</v>
      </c>
      <c r="T12" s="400" t="str">
        <f>ML_Sum!$T12</f>
        <v>LAB RATE</v>
      </c>
      <c r="V12" s="373"/>
      <c r="W12" s="373"/>
      <c r="X12" s="373"/>
      <c r="Y12" s="373"/>
      <c r="Z12" s="373"/>
      <c r="AA12" s="373"/>
      <c r="AB12" s="373"/>
    </row>
    <row r="13" spans="1:42" s="32" customFormat="1" ht="14.4" thickBot="1">
      <c r="A13" s="568"/>
      <c r="B13" s="569"/>
      <c r="C13" s="570"/>
      <c r="D13" s="571"/>
      <c r="E13" s="572"/>
      <c r="F13" s="573"/>
      <c r="G13" s="574" t="s">
        <v>142</v>
      </c>
      <c r="H13" s="574" t="s">
        <v>20</v>
      </c>
      <c r="I13" s="574" t="s">
        <v>21</v>
      </c>
      <c r="J13" s="574" t="s">
        <v>22</v>
      </c>
      <c r="K13" s="574" t="s">
        <v>23</v>
      </c>
      <c r="L13" s="574" t="s">
        <v>24</v>
      </c>
      <c r="M13" s="574" t="s">
        <v>25</v>
      </c>
      <c r="N13" s="574" t="s">
        <v>26</v>
      </c>
      <c r="O13" s="574" t="s">
        <v>27</v>
      </c>
      <c r="P13" s="574" t="s">
        <v>28</v>
      </c>
      <c r="Q13" s="28" t="s">
        <v>222</v>
      </c>
      <c r="R13" s="29" t="s">
        <v>30</v>
      </c>
      <c r="S13" s="30" t="s">
        <v>31</v>
      </c>
      <c r="T13" s="31" t="s">
        <v>32</v>
      </c>
      <c r="V13" s="373"/>
      <c r="W13" s="373"/>
      <c r="X13" s="373"/>
      <c r="Y13" s="373"/>
      <c r="Z13" s="373"/>
      <c r="AA13" s="373"/>
      <c r="AB13" s="373"/>
      <c r="AG13"/>
      <c r="AH13"/>
      <c r="AI13"/>
      <c r="AJ13"/>
      <c r="AK13"/>
      <c r="AM13" s="598" t="s">
        <v>289</v>
      </c>
      <c r="AN13" s="600" t="s">
        <v>298</v>
      </c>
      <c r="AO13" s="600" t="s">
        <v>290</v>
      </c>
      <c r="AP13" s="599" t="s">
        <v>287</v>
      </c>
    </row>
    <row r="14" spans="1:42" s="602" customFormat="1" ht="13.2">
      <c r="A14" s="63"/>
      <c r="B14" s="63"/>
      <c r="C14" s="3"/>
      <c r="D14" s="3"/>
      <c r="E14" s="63"/>
      <c r="F14" s="63"/>
      <c r="G14" s="63"/>
      <c r="H14" s="63"/>
      <c r="I14" s="63"/>
      <c r="J14" s="63"/>
      <c r="K14" s="63" t="s">
        <v>134</v>
      </c>
      <c r="L14" s="63"/>
      <c r="M14" s="63"/>
      <c r="N14" s="63"/>
      <c r="O14" s="64"/>
      <c r="P14" s="63"/>
      <c r="Q14" s="63"/>
      <c r="R14" s="63"/>
      <c r="S14" s="63"/>
      <c r="T14" s="63"/>
    </row>
    <row r="15" spans="1:42" s="602" customFormat="1" ht="12">
      <c r="A15" s="63"/>
      <c r="B15" s="63"/>
      <c r="C15" s="63" t="s">
        <v>135</v>
      </c>
      <c r="D15" s="37" t="s">
        <v>136</v>
      </c>
      <c r="E15" s="63"/>
      <c r="F15" s="63"/>
      <c r="G15" s="63"/>
      <c r="H15" s="63"/>
      <c r="I15" s="63"/>
      <c r="J15" s="63"/>
      <c r="K15" s="63"/>
      <c r="L15" s="63"/>
      <c r="M15" s="63"/>
      <c r="N15" s="63"/>
      <c r="O15" s="64"/>
      <c r="P15" s="63"/>
      <c r="Q15" s="63"/>
      <c r="R15" s="63"/>
      <c r="S15" s="63"/>
      <c r="T15" s="63"/>
    </row>
    <row r="16" spans="1:42" s="602" customFormat="1" ht="12">
      <c r="A16" s="63"/>
      <c r="B16" s="63"/>
      <c r="C16" s="63"/>
      <c r="D16" s="37" t="s">
        <v>216</v>
      </c>
      <c r="E16" s="63"/>
      <c r="F16" s="63"/>
      <c r="G16" s="63"/>
      <c r="H16" s="63"/>
      <c r="I16" s="63"/>
      <c r="J16" s="63"/>
      <c r="K16" s="63"/>
      <c r="L16" s="63"/>
      <c r="M16" s="63"/>
      <c r="N16" s="63"/>
      <c r="O16" s="64"/>
      <c r="P16" s="63"/>
      <c r="Q16" s="63"/>
      <c r="R16" s="63"/>
      <c r="S16" s="38"/>
      <c r="T16" s="38"/>
    </row>
    <row r="17" spans="1:41" s="3" customFormat="1" thickBot="1">
      <c r="A17" s="611"/>
      <c r="O17" s="158"/>
    </row>
    <row r="18" spans="1:41" s="602" customFormat="1" thickTop="1">
      <c r="A18" s="63"/>
      <c r="B18" s="63"/>
      <c r="C18" s="3"/>
      <c r="D18" s="3"/>
      <c r="E18" s="63"/>
      <c r="F18" s="63"/>
      <c r="G18" s="63"/>
      <c r="H18" s="63"/>
      <c r="I18" s="63"/>
      <c r="J18" s="63"/>
      <c r="K18" s="63" t="s">
        <v>134</v>
      </c>
      <c r="L18" s="63"/>
      <c r="M18" s="63"/>
      <c r="N18" s="63"/>
      <c r="O18" s="64"/>
      <c r="P18" s="63"/>
      <c r="Q18" s="63"/>
      <c r="R18" s="63"/>
      <c r="S18" s="63"/>
      <c r="T18" s="63"/>
    </row>
    <row r="19" spans="1:41" s="602" customFormat="1" ht="12">
      <c r="A19" s="63"/>
      <c r="B19" s="63"/>
      <c r="C19" s="63" t="s">
        <v>135</v>
      </c>
      <c r="D19" s="37"/>
      <c r="E19" s="63"/>
      <c r="F19" s="63"/>
      <c r="G19" s="63"/>
      <c r="H19" s="63"/>
      <c r="I19" s="63"/>
      <c r="J19" s="63"/>
      <c r="K19" s="63"/>
      <c r="L19" s="63"/>
      <c r="M19" s="63"/>
      <c r="N19" s="63"/>
      <c r="O19" s="64"/>
      <c r="P19" s="63"/>
      <c r="Q19" s="63"/>
      <c r="R19" s="63"/>
      <c r="S19" s="63"/>
      <c r="T19" s="63"/>
    </row>
    <row r="20" spans="1:41" s="602" customFormat="1" ht="12">
      <c r="A20" s="63"/>
      <c r="B20" s="63"/>
      <c r="C20" s="63"/>
      <c r="D20" s="37" t="s">
        <v>309</v>
      </c>
      <c r="E20" s="63"/>
      <c r="F20" s="63"/>
      <c r="G20" s="63"/>
      <c r="H20" s="63"/>
      <c r="I20" s="63"/>
      <c r="J20" s="63"/>
      <c r="K20" s="63"/>
      <c r="L20" s="63"/>
      <c r="M20" s="63"/>
      <c r="N20" s="63"/>
      <c r="O20" s="64"/>
      <c r="P20" s="63"/>
      <c r="Q20" s="63"/>
      <c r="R20" s="63"/>
      <c r="S20" s="38"/>
      <c r="T20" s="38"/>
    </row>
    <row r="21" spans="1:41" s="3" customFormat="1" thickBot="1">
      <c r="A21" s="611"/>
      <c r="O21" s="158"/>
    </row>
    <row r="22" spans="1:41" s="602" customFormat="1" thickTop="1">
      <c r="A22" s="63"/>
      <c r="B22" s="63"/>
      <c r="C22" s="3"/>
      <c r="D22" s="3"/>
      <c r="E22" s="63"/>
      <c r="F22" s="63"/>
      <c r="G22" s="63"/>
      <c r="H22" s="63"/>
      <c r="I22" s="63"/>
      <c r="J22" s="63"/>
      <c r="K22" s="63" t="s">
        <v>134</v>
      </c>
      <c r="L22" s="63"/>
      <c r="M22" s="63"/>
      <c r="N22" s="63"/>
      <c r="O22" s="64"/>
      <c r="P22" s="63"/>
      <c r="Q22" s="63"/>
      <c r="R22" s="63"/>
      <c r="S22" s="63"/>
      <c r="T22" s="63"/>
    </row>
    <row r="23" spans="1:41" s="602" customFormat="1" ht="12">
      <c r="A23" s="63"/>
      <c r="B23" s="63"/>
      <c r="C23" s="63" t="s">
        <v>135</v>
      </c>
      <c r="D23" s="37"/>
      <c r="E23" s="63"/>
      <c r="F23" s="63"/>
      <c r="G23" s="63"/>
      <c r="H23" s="63"/>
      <c r="I23" s="63"/>
      <c r="J23" s="63"/>
      <c r="K23" s="63"/>
      <c r="L23" s="63"/>
      <c r="M23" s="63"/>
      <c r="N23" s="63"/>
      <c r="O23" s="64"/>
      <c r="P23" s="63"/>
      <c r="Q23" s="63"/>
      <c r="R23" s="63"/>
      <c r="S23" s="63"/>
      <c r="T23" s="63"/>
    </row>
    <row r="24" spans="1:41" s="602" customFormat="1" ht="39.9" customHeight="1">
      <c r="A24" s="63"/>
      <c r="B24" s="63"/>
      <c r="C24" s="63"/>
      <c r="D24" s="1371" t="s">
        <v>310</v>
      </c>
      <c r="E24" s="1369"/>
      <c r="F24" s="1369"/>
      <c r="G24" s="1369"/>
      <c r="H24" s="1369"/>
      <c r="I24" s="1369"/>
      <c r="J24" s="1369"/>
      <c r="K24" s="1369"/>
      <c r="L24" s="1369"/>
      <c r="M24" s="1369"/>
      <c r="N24" s="1369"/>
      <c r="O24" s="1369"/>
      <c r="P24" s="1369"/>
      <c r="Q24" s="1369"/>
      <c r="R24" s="1369"/>
      <c r="S24" s="1369"/>
      <c r="T24" s="1369"/>
    </row>
    <row r="25" spans="1:41" s="3" customFormat="1" thickBot="1">
      <c r="A25" s="611"/>
      <c r="O25" s="158"/>
    </row>
    <row r="26" spans="1:41" s="602" customFormat="1" ht="12" thickTop="1">
      <c r="A26" s="63"/>
      <c r="B26" s="41"/>
      <c r="C26" s="63"/>
      <c r="E26" s="42" t="s">
        <v>138</v>
      </c>
      <c r="F26" s="42" t="s">
        <v>139</v>
      </c>
      <c r="G26" s="63"/>
      <c r="H26" s="63"/>
      <c r="I26" s="63"/>
      <c r="J26" s="63"/>
      <c r="K26" s="63" t="s">
        <v>140</v>
      </c>
      <c r="L26" s="63"/>
      <c r="M26" s="63"/>
      <c r="N26" s="63"/>
      <c r="O26" s="64"/>
      <c r="P26" s="63"/>
      <c r="Q26" s="63"/>
      <c r="R26" s="63"/>
      <c r="S26" s="63"/>
      <c r="T26" s="41"/>
      <c r="AG26" s="667" t="s">
        <v>278</v>
      </c>
      <c r="AH26" s="667" t="s">
        <v>279</v>
      </c>
      <c r="AI26" s="667" t="s">
        <v>280</v>
      </c>
      <c r="AJ26" s="667" t="s">
        <v>281</v>
      </c>
      <c r="AK26" s="667" t="s">
        <v>282</v>
      </c>
      <c r="AM26" s="668" t="s">
        <v>291</v>
      </c>
      <c r="AN26" s="669" t="s">
        <v>292</v>
      </c>
      <c r="AO26" s="603" t="s">
        <v>288</v>
      </c>
    </row>
    <row r="27" spans="1:41" s="602" customFormat="1" ht="12" customHeight="1">
      <c r="A27" s="670">
        <v>1</v>
      </c>
      <c r="B27" s="671" t="s">
        <v>312</v>
      </c>
      <c r="C27" s="672"/>
      <c r="D27" s="673" t="s">
        <v>425</v>
      </c>
      <c r="E27" s="674">
        <f>IF(AND($A27=0,$A$1="DIF"),0, ROUND(ROUND(($R33*$S$2+($T33*$T$2))/A27,2)*$C$2,2))</f>
        <v>420.26</v>
      </c>
      <c r="F27" s="675">
        <f>ROUND($A27*$E27,2)</f>
        <v>420.26</v>
      </c>
      <c r="G27" s="676" t="s">
        <v>142</v>
      </c>
      <c r="H27" s="664"/>
      <c r="I27" s="677"/>
      <c r="J27" s="664"/>
      <c r="K27" s="664" t="s">
        <v>3</v>
      </c>
      <c r="L27" s="678" t="s">
        <v>143</v>
      </c>
      <c r="M27" s="678"/>
      <c r="N27" s="678"/>
      <c r="O27" s="678"/>
      <c r="P27" s="678"/>
      <c r="Q27" s="63"/>
      <c r="T27" s="679" t="str">
        <f>IF(AND($R33=0,$T33=0),"0.00","mu :" &amp; ROUND($F27/$C$2/($R33+$T33*$D$9),2))</f>
        <v>mu :1.35</v>
      </c>
      <c r="W27" s="604"/>
      <c r="AG27" s="549">
        <f>IF($E27=0,0,ROUND($R33*$S$2*$C$2/$A27,2))</f>
        <v>131.46</v>
      </c>
      <c r="AH27" s="549">
        <f>$AG27*$A27</f>
        <v>131.46</v>
      </c>
      <c r="AI27" s="605">
        <f>$E27-$AG27</f>
        <v>288.79999999999995</v>
      </c>
      <c r="AJ27" s="605">
        <f>$A27*$AI27</f>
        <v>288.79999999999995</v>
      </c>
      <c r="AK27" s="606">
        <f>ROUND(($AG27+$AI27)*$A27,2)</f>
        <v>420.26</v>
      </c>
      <c r="AM27" s="607">
        <f>ROUND(R33,2)</f>
        <v>100</v>
      </c>
      <c r="AN27" s="608">
        <f>ROUND(T33,2)</f>
        <v>8</v>
      </c>
      <c r="AO27" s="609">
        <f>ROUND(AM27+AN27,2)*A27</f>
        <v>108</v>
      </c>
    </row>
    <row r="28" spans="1:41" s="602" customFormat="1" ht="39.9" customHeight="1">
      <c r="A28" s="672"/>
      <c r="B28"/>
      <c r="C28" s="672"/>
      <c r="D28" s="1368" t="s">
        <v>311</v>
      </c>
      <c r="E28" s="1369"/>
      <c r="F28" s="1369"/>
      <c r="G28" s="1369"/>
      <c r="H28" s="1369"/>
      <c r="I28" s="1369"/>
      <c r="J28" s="1369"/>
      <c r="K28" s="1369"/>
      <c r="L28" s="1369"/>
      <c r="M28" s="1369"/>
      <c r="N28" s="1369"/>
      <c r="O28" s="1369"/>
      <c r="P28" s="1369"/>
      <c r="Q28" s="1369"/>
      <c r="R28" s="1369"/>
      <c r="S28" s="1369"/>
      <c r="T28" s="1369"/>
    </row>
    <row r="29" spans="1:41" s="730" customFormat="1" ht="13.2">
      <c r="A29">
        <v>1</v>
      </c>
      <c r="B29" s="730" t="s">
        <v>141</v>
      </c>
      <c r="D29" s="730" t="s">
        <v>680</v>
      </c>
      <c r="F29" s="806" t="s">
        <v>940</v>
      </c>
      <c r="G29" s="731" t="s">
        <v>681</v>
      </c>
      <c r="H29" s="732">
        <v>510</v>
      </c>
      <c r="I29" s="730" t="s">
        <v>674</v>
      </c>
      <c r="K29" s="730" t="s">
        <v>682</v>
      </c>
      <c r="O29" s="733">
        <v>2</v>
      </c>
      <c r="P29" s="734"/>
      <c r="Q29" s="735"/>
      <c r="R29" s="736">
        <f>$A29*Q29</f>
        <v>0</v>
      </c>
      <c r="S29" s="735"/>
      <c r="T29" s="737">
        <f>$A29*S29*$T$1</f>
        <v>0</v>
      </c>
    </row>
    <row r="30" spans="1:41" s="730" customFormat="1" ht="13.2">
      <c r="A30">
        <v>1</v>
      </c>
      <c r="B30" s="730" t="s">
        <v>141</v>
      </c>
      <c r="D30" s="730" t="s">
        <v>676</v>
      </c>
      <c r="G30" s="731" t="s">
        <v>677</v>
      </c>
      <c r="H30" s="732">
        <v>501</v>
      </c>
      <c r="I30" s="730" t="s">
        <v>674</v>
      </c>
      <c r="K30" s="730" t="s">
        <v>678</v>
      </c>
      <c r="O30" s="733">
        <v>1</v>
      </c>
      <c r="P30" s="734"/>
      <c r="Q30" s="735">
        <v>100</v>
      </c>
      <c r="R30" s="736">
        <f>$A30*Q30</f>
        <v>100</v>
      </c>
      <c r="S30" s="735"/>
      <c r="T30" s="737">
        <f>$A30*S30*$T$1</f>
        <v>0</v>
      </c>
    </row>
    <row r="31" spans="1:41" s="730" customFormat="1" ht="13.2">
      <c r="A31" s="167">
        <v>1</v>
      </c>
      <c r="B31" s="730" t="s">
        <v>141</v>
      </c>
      <c r="D31" s="730" t="s">
        <v>684</v>
      </c>
      <c r="G31" s="731" t="s">
        <v>685</v>
      </c>
      <c r="H31" s="732">
        <v>900</v>
      </c>
      <c r="I31" s="730" t="s">
        <v>686</v>
      </c>
      <c r="O31" s="733">
        <v>3</v>
      </c>
      <c r="P31" s="734"/>
      <c r="Q31" s="735"/>
      <c r="R31" s="736">
        <f>$A31*Q31</f>
        <v>0</v>
      </c>
      <c r="S31" s="735">
        <v>8</v>
      </c>
      <c r="T31" s="737">
        <f>$A31*S31*$T$1</f>
        <v>8</v>
      </c>
    </row>
    <row r="32" spans="1:41" s="602" customFormat="1" ht="12">
      <c r="A32" s="663"/>
      <c r="B32" s="663"/>
      <c r="C32" s="663"/>
      <c r="D32" s="663"/>
      <c r="E32" s="663"/>
      <c r="F32" s="664"/>
      <c r="G32" s="663"/>
      <c r="H32" s="663"/>
      <c r="I32" s="601"/>
      <c r="J32" s="663"/>
      <c r="K32" s="663"/>
      <c r="L32" s="663"/>
      <c r="M32" s="663"/>
      <c r="N32" s="663"/>
      <c r="O32" s="663"/>
      <c r="P32" s="663"/>
      <c r="Q32" s="601"/>
      <c r="R32" s="666">
        <f>$A32*Q32</f>
        <v>0</v>
      </c>
      <c r="S32" s="601"/>
      <c r="T32" s="681">
        <f>$A32*S32*$T$1</f>
        <v>0</v>
      </c>
    </row>
    <row r="33" spans="1:41" s="602" customFormat="1" ht="12.6" thickBot="1">
      <c r="A33" s="682" t="s">
        <v>145</v>
      </c>
      <c r="B33" s="683">
        <f>(R32+T32)</f>
        <v>0</v>
      </c>
      <c r="C33" s="684"/>
      <c r="D33" s="684"/>
      <c r="E33" s="684"/>
      <c r="F33" s="685"/>
      <c r="G33" s="684" t="s">
        <v>146</v>
      </c>
      <c r="H33" s="684"/>
      <c r="I33" s="686"/>
      <c r="J33" s="684"/>
      <c r="K33" s="684" t="s">
        <v>3</v>
      </c>
      <c r="L33" s="687" t="s">
        <v>143</v>
      </c>
      <c r="M33" s="687"/>
      <c r="N33" s="687"/>
      <c r="O33" s="687"/>
      <c r="P33" s="687"/>
      <c r="Q33" s="688"/>
      <c r="R33" s="689">
        <f>SUM(R28:R32)</f>
        <v>100</v>
      </c>
      <c r="S33" s="684"/>
      <c r="T33" s="689">
        <f>SUM(T28:T32)</f>
        <v>8</v>
      </c>
      <c r="U33" s="611"/>
      <c r="V33" s="611"/>
      <c r="W33" s="611"/>
      <c r="X33" s="611"/>
      <c r="Y33" s="611"/>
      <c r="Z33" s="611"/>
      <c r="AA33" s="611"/>
      <c r="AB33" s="611"/>
      <c r="AC33" s="611"/>
      <c r="AD33" s="611"/>
      <c r="AE33" s="611"/>
      <c r="AF33" s="611"/>
      <c r="AG33" s="611"/>
      <c r="AH33" s="611"/>
      <c r="AI33" s="611"/>
      <c r="AJ33" s="611"/>
      <c r="AK33" s="611"/>
      <c r="AL33" s="611"/>
      <c r="AM33" s="611"/>
      <c r="AN33" s="611"/>
      <c r="AO33" s="611"/>
    </row>
    <row r="34" spans="1:41" s="602" customFormat="1" thickTop="1">
      <c r="A34" s="63"/>
      <c r="B34" s="41"/>
      <c r="C34" s="63"/>
      <c r="E34" s="42" t="s">
        <v>138</v>
      </c>
      <c r="F34"/>
      <c r="G34" s="63"/>
      <c r="H34" s="63"/>
      <c r="I34" s="63"/>
      <c r="J34" s="63"/>
      <c r="K34" s="63" t="s">
        <v>140</v>
      </c>
      <c r="L34" s="709"/>
      <c r="M34" s="63"/>
      <c r="N34" s="63"/>
      <c r="O34" s="64"/>
      <c r="P34" s="63"/>
      <c r="Q34" s="63"/>
      <c r="R34" s="63"/>
      <c r="S34" s="63"/>
      <c r="T34" s="41"/>
      <c r="AG34" s="667" t="s">
        <v>278</v>
      </c>
      <c r="AH34" s="710"/>
      <c r="AI34" s="667" t="s">
        <v>280</v>
      </c>
      <c r="AM34" s="668" t="s">
        <v>291</v>
      </c>
      <c r="AN34" s="669" t="s">
        <v>292</v>
      </c>
      <c r="AO34" s="603" t="s">
        <v>288</v>
      </c>
    </row>
    <row r="35" spans="1:41" s="602" customFormat="1" ht="13.2">
      <c r="A35" s="670">
        <v>1</v>
      </c>
      <c r="B35" s="671" t="s">
        <v>312</v>
      </c>
      <c r="C35" s="672"/>
      <c r="D35" s="673" t="s">
        <v>426</v>
      </c>
      <c r="E35" s="711">
        <f>IF(AND($A35=0,$A$1="DIF"),0, ROUND(ROUND(($R41*$S$2+($T41*$T$2))/A35,2)*$C$2,2))</f>
        <v>420.26</v>
      </c>
      <c r="F35"/>
      <c r="G35" s="676" t="s">
        <v>142</v>
      </c>
      <c r="H35" s="664"/>
      <c r="I35" s="677"/>
      <c r="J35" s="664"/>
      <c r="K35" s="712" t="s">
        <v>556</v>
      </c>
      <c r="L35" s="709" t="s">
        <v>143</v>
      </c>
      <c r="M35" s="678"/>
      <c r="N35" s="678"/>
      <c r="O35" s="678"/>
      <c r="P35" s="678"/>
      <c r="Q35" s="63"/>
      <c r="T35" s="679" t="str">
        <f>IF(AND($R41=0,$T41=0),"0.00","mu :" &amp; ROUND($A35*$E35/$C$2/($R41+$T41*$D$9),2))</f>
        <v>mu :1.35</v>
      </c>
      <c r="W35" s="604"/>
      <c r="AG35" s="605">
        <f>IF($E35=0,0,ROUND($R41*$S$2*$C$2/$A35,2))</f>
        <v>131.46</v>
      </c>
      <c r="AH35" s="710"/>
      <c r="AI35" s="605">
        <f>$E35-$AG35</f>
        <v>288.79999999999995</v>
      </c>
      <c r="AM35" s="607">
        <f>ROUND(R41,2)</f>
        <v>100</v>
      </c>
      <c r="AN35" s="608">
        <f>ROUND(T41,2)</f>
        <v>8</v>
      </c>
      <c r="AO35" s="609">
        <f>ROUND(AM35+AN35,2)*A35</f>
        <v>108</v>
      </c>
    </row>
    <row r="36" spans="1:41" s="602" customFormat="1" ht="13.2">
      <c r="A36" s="672"/>
      <c r="B36"/>
      <c r="C36" s="672"/>
      <c r="D36" s="1368" t="s">
        <v>427</v>
      </c>
      <c r="E36" s="1369"/>
      <c r="F36" s="1369"/>
      <c r="G36" s="1369"/>
      <c r="H36" s="1369"/>
      <c r="I36" s="1369"/>
      <c r="J36" s="1369"/>
      <c r="K36" s="1369"/>
      <c r="L36" s="1369"/>
      <c r="M36" s="1369"/>
      <c r="N36" s="1369"/>
      <c r="O36" s="1369"/>
      <c r="P36" s="1369"/>
      <c r="Q36" s="1369"/>
      <c r="R36" s="1369"/>
      <c r="S36" s="1369"/>
      <c r="T36" s="1369"/>
    </row>
    <row r="37" spans="1:41" s="740" customFormat="1" ht="13.2">
      <c r="A37" s="739">
        <v>1</v>
      </c>
      <c r="B37" s="740" t="s">
        <v>141</v>
      </c>
      <c r="D37" s="740" t="s">
        <v>680</v>
      </c>
      <c r="E37" s="749" t="s">
        <v>683</v>
      </c>
      <c r="F37" s="806" t="s">
        <v>940</v>
      </c>
      <c r="G37" s="741" t="s">
        <v>681</v>
      </c>
      <c r="H37" s="742" t="s">
        <v>560</v>
      </c>
      <c r="I37" s="740" t="s">
        <v>674</v>
      </c>
      <c r="K37" s="740" t="s">
        <v>682</v>
      </c>
      <c r="L37" s="743" t="s">
        <v>560</v>
      </c>
      <c r="O37" s="744">
        <v>2</v>
      </c>
      <c r="P37" s="745"/>
      <c r="Q37" s="746"/>
      <c r="R37" s="747">
        <f>$A37*Q37</f>
        <v>0</v>
      </c>
      <c r="S37" s="746"/>
      <c r="T37" s="748">
        <f>$A37*S37*$T$1</f>
        <v>0</v>
      </c>
    </row>
    <row r="38" spans="1:41" s="740" customFormat="1" ht="13.2">
      <c r="A38" s="739">
        <v>1</v>
      </c>
      <c r="B38" s="740" t="s">
        <v>141</v>
      </c>
      <c r="D38" s="740" t="s">
        <v>676</v>
      </c>
      <c r="E38" s="749" t="s">
        <v>683</v>
      </c>
      <c r="G38" s="741" t="s">
        <v>677</v>
      </c>
      <c r="H38" s="742" t="s">
        <v>560</v>
      </c>
      <c r="I38" s="740" t="s">
        <v>674</v>
      </c>
      <c r="K38" s="740" t="s">
        <v>678</v>
      </c>
      <c r="L38" s="743" t="s">
        <v>560</v>
      </c>
      <c r="O38" s="744">
        <v>1</v>
      </c>
      <c r="P38" s="745"/>
      <c r="Q38" s="735">
        <v>100</v>
      </c>
      <c r="R38" s="747">
        <f>$A38*Q38</f>
        <v>100</v>
      </c>
      <c r="S38" s="746"/>
      <c r="T38" s="748">
        <f>$A38*S38*$T$1</f>
        <v>0</v>
      </c>
    </row>
    <row r="39" spans="1:41" s="740" customFormat="1" ht="13.2">
      <c r="A39" s="750">
        <v>1</v>
      </c>
      <c r="B39" s="740" t="s">
        <v>141</v>
      </c>
      <c r="D39" s="740" t="s">
        <v>684</v>
      </c>
      <c r="E39" s="749" t="s">
        <v>683</v>
      </c>
      <c r="G39" s="741" t="s">
        <v>685</v>
      </c>
      <c r="H39" s="742" t="s">
        <v>560</v>
      </c>
      <c r="I39" s="740" t="s">
        <v>686</v>
      </c>
      <c r="L39" s="743" t="s">
        <v>560</v>
      </c>
      <c r="O39" s="744">
        <v>3</v>
      </c>
      <c r="P39" s="745"/>
      <c r="Q39" s="746"/>
      <c r="R39" s="747">
        <f>$A39*Q39</f>
        <v>0</v>
      </c>
      <c r="S39" s="746">
        <v>8</v>
      </c>
      <c r="T39" s="748">
        <f>$A39*S39*$T$1</f>
        <v>8</v>
      </c>
    </row>
    <row r="40" spans="1:41" s="602" customFormat="1" ht="12">
      <c r="A40" s="663"/>
      <c r="B40" s="663"/>
      <c r="C40" s="663"/>
      <c r="D40" s="663"/>
      <c r="E40" s="663"/>
      <c r="F40" s="664"/>
      <c r="G40" s="663"/>
      <c r="H40" s="663"/>
      <c r="I40" s="601"/>
      <c r="J40" s="663"/>
      <c r="K40" s="663"/>
      <c r="L40" s="709"/>
      <c r="M40" s="663"/>
      <c r="N40" s="663"/>
      <c r="O40" s="663"/>
      <c r="P40" s="663"/>
      <c r="Q40" s="601"/>
      <c r="R40" s="666">
        <f>$A40*Q40</f>
        <v>0</v>
      </c>
      <c r="S40" s="601"/>
      <c r="T40" s="681">
        <f>$A40*S40*$T$1</f>
        <v>0</v>
      </c>
    </row>
    <row r="41" spans="1:41" s="602" customFormat="1" ht="12.6" thickBot="1">
      <c r="A41" s="682" t="s">
        <v>145</v>
      </c>
      <c r="B41" s="683">
        <f>(R40+T40)</f>
        <v>0</v>
      </c>
      <c r="C41" s="684"/>
      <c r="D41" s="684"/>
      <c r="E41" s="684"/>
      <c r="F41" s="685"/>
      <c r="G41" s="684" t="s">
        <v>146</v>
      </c>
      <c r="H41" s="684"/>
      <c r="I41" s="686"/>
      <c r="J41" s="684"/>
      <c r="K41" s="728"/>
      <c r="L41" s="729" t="s">
        <v>556</v>
      </c>
      <c r="M41" s="687"/>
      <c r="N41" s="687"/>
      <c r="O41" s="687"/>
      <c r="P41" s="687"/>
      <c r="Q41" s="688"/>
      <c r="R41" s="689">
        <f>SUM(R36:R40)</f>
        <v>100</v>
      </c>
      <c r="S41" s="684"/>
      <c r="T41" s="689">
        <f>SUM(T36:T40)</f>
        <v>8</v>
      </c>
      <c r="U41" s="611"/>
      <c r="V41" s="611"/>
      <c r="W41" s="611"/>
      <c r="X41" s="611"/>
      <c r="Y41" s="611"/>
      <c r="Z41" s="611"/>
      <c r="AA41" s="611"/>
      <c r="AB41" s="611"/>
      <c r="AC41" s="611"/>
      <c r="AD41" s="611"/>
      <c r="AE41" s="611"/>
      <c r="AF41" s="611"/>
      <c r="AG41" s="611"/>
      <c r="AH41" s="611"/>
      <c r="AI41" s="611"/>
      <c r="AJ41" s="611"/>
      <c r="AK41" s="611"/>
      <c r="AL41" s="611"/>
      <c r="AM41" s="611"/>
      <c r="AN41" s="611"/>
      <c r="AO41" s="611"/>
    </row>
    <row r="42" spans="1:41" s="602" customFormat="1" ht="12" thickTop="1">
      <c r="A42" s="63"/>
      <c r="B42" s="41"/>
      <c r="C42" s="63"/>
      <c r="E42" s="42" t="s">
        <v>138</v>
      </c>
      <c r="F42" s="42" t="s">
        <v>139</v>
      </c>
      <c r="G42" s="63"/>
      <c r="H42" s="63"/>
      <c r="I42" s="63"/>
      <c r="J42" s="63"/>
      <c r="K42" s="63" t="s">
        <v>140</v>
      </c>
      <c r="L42" s="63"/>
      <c r="M42" s="63"/>
      <c r="N42" s="63"/>
      <c r="O42" s="64"/>
      <c r="P42" s="63"/>
      <c r="Q42" s="63"/>
      <c r="R42" s="63"/>
      <c r="S42" s="63"/>
      <c r="T42" s="41"/>
      <c r="AG42" s="667" t="s">
        <v>278</v>
      </c>
      <c r="AH42" s="667" t="s">
        <v>279</v>
      </c>
      <c r="AI42" s="667" t="s">
        <v>280</v>
      </c>
      <c r="AJ42" s="667" t="s">
        <v>281</v>
      </c>
      <c r="AK42" s="667" t="s">
        <v>282</v>
      </c>
      <c r="AM42" s="668" t="s">
        <v>291</v>
      </c>
      <c r="AN42" s="669" t="s">
        <v>292</v>
      </c>
      <c r="AO42" s="603" t="s">
        <v>288</v>
      </c>
    </row>
    <row r="43" spans="1:41" s="602" customFormat="1" ht="12" customHeight="1">
      <c r="A43" s="670">
        <v>1</v>
      </c>
      <c r="B43" s="671" t="s">
        <v>312</v>
      </c>
      <c r="C43" s="672"/>
      <c r="D43" s="673" t="s">
        <v>428</v>
      </c>
      <c r="E43" s="674">
        <f>IF(AND($A43=0,$A$1="DIF"),0, ROUND(ROUND(($R49*$S$2+($T49*$T$2))/A43,2)*$C$2,2))</f>
        <v>420.26</v>
      </c>
      <c r="F43" s="675">
        <f>ROUND($A43*$E43,2)</f>
        <v>420.26</v>
      </c>
      <c r="G43" s="676" t="s">
        <v>142</v>
      </c>
      <c r="H43" s="664"/>
      <c r="I43" s="677"/>
      <c r="J43" s="664"/>
      <c r="K43" s="664" t="s">
        <v>3</v>
      </c>
      <c r="L43" s="678" t="s">
        <v>143</v>
      </c>
      <c r="M43" s="678"/>
      <c r="N43" s="678"/>
      <c r="O43" s="678"/>
      <c r="P43" s="678"/>
      <c r="Q43" s="63"/>
      <c r="T43" s="679" t="str">
        <f>IF(AND($R49=0,$T49=0),"0.00","mu :" &amp; ROUND($F43/$C$2/($R49+$T49*$D$9),2))</f>
        <v>mu :1.35</v>
      </c>
      <c r="W43" s="604"/>
      <c r="AG43" s="549">
        <f>IF($E43=0,0,ROUND($R49*$S$2*$C$2/$A43,2))</f>
        <v>131.46</v>
      </c>
      <c r="AH43" s="549">
        <f>$AG43*$A43</f>
        <v>131.46</v>
      </c>
      <c r="AI43" s="605">
        <f>$E43-$AG43</f>
        <v>288.79999999999995</v>
      </c>
      <c r="AJ43" s="605">
        <f>$A43*$AI43</f>
        <v>288.79999999999995</v>
      </c>
      <c r="AK43" s="606">
        <f>ROUND(($AG43+$AI43)*$A43,2)</f>
        <v>420.26</v>
      </c>
      <c r="AM43" s="607">
        <f>ROUND(R49,2)</f>
        <v>100</v>
      </c>
      <c r="AN43" s="608">
        <f>ROUND(T49,2)</f>
        <v>8</v>
      </c>
      <c r="AO43" s="609">
        <f>ROUND(AM43+AN43,2)*A43</f>
        <v>108</v>
      </c>
    </row>
    <row r="44" spans="1:41" s="602" customFormat="1" ht="39.9" customHeight="1">
      <c r="A44" s="672"/>
      <c r="B44"/>
      <c r="C44" s="672"/>
      <c r="D44" s="1368" t="s">
        <v>313</v>
      </c>
      <c r="E44" s="1369"/>
      <c r="F44" s="1369"/>
      <c r="G44" s="1369"/>
      <c r="H44" s="1369"/>
      <c r="I44" s="1369"/>
      <c r="J44" s="1369"/>
      <c r="K44" s="1369"/>
      <c r="L44" s="1369"/>
      <c r="M44" s="1369"/>
      <c r="N44" s="1369"/>
      <c r="O44" s="1369"/>
      <c r="P44" s="1369"/>
      <c r="Q44" s="1369"/>
      <c r="R44" s="1369"/>
      <c r="S44" s="1369"/>
      <c r="T44" s="1369"/>
    </row>
    <row r="45" spans="1:41" s="730" customFormat="1" ht="13.2">
      <c r="A45">
        <v>1</v>
      </c>
      <c r="B45" s="730" t="s">
        <v>141</v>
      </c>
      <c r="D45" s="730" t="s">
        <v>680</v>
      </c>
      <c r="F45" s="806" t="s">
        <v>941</v>
      </c>
      <c r="G45" s="731" t="s">
        <v>681</v>
      </c>
      <c r="H45" s="732">
        <v>510</v>
      </c>
      <c r="I45" s="730" t="s">
        <v>674</v>
      </c>
      <c r="K45" s="730" t="s">
        <v>682</v>
      </c>
      <c r="O45" s="733">
        <v>2</v>
      </c>
      <c r="P45" s="734"/>
      <c r="Q45" s="735"/>
      <c r="R45" s="736">
        <f>$A45*Q45</f>
        <v>0</v>
      </c>
      <c r="S45" s="735"/>
      <c r="T45" s="737">
        <f>$A45*S45*$T$1</f>
        <v>0</v>
      </c>
    </row>
    <row r="46" spans="1:41" s="730" customFormat="1" ht="13.2">
      <c r="A46">
        <v>1</v>
      </c>
      <c r="B46" s="730" t="s">
        <v>141</v>
      </c>
      <c r="D46" s="730" t="s">
        <v>676</v>
      </c>
      <c r="G46" s="731" t="s">
        <v>677</v>
      </c>
      <c r="H46" s="732">
        <v>501</v>
      </c>
      <c r="I46" s="730" t="s">
        <v>674</v>
      </c>
      <c r="K46" s="730" t="s">
        <v>678</v>
      </c>
      <c r="O46" s="733">
        <v>1</v>
      </c>
      <c r="P46" s="734"/>
      <c r="Q46" s="735">
        <v>100</v>
      </c>
      <c r="R46" s="736">
        <f>$A46*Q46</f>
        <v>100</v>
      </c>
      <c r="S46" s="735"/>
      <c r="T46" s="737">
        <f>$A46*S46*$T$1</f>
        <v>0</v>
      </c>
    </row>
    <row r="47" spans="1:41" s="730" customFormat="1" ht="13.2">
      <c r="A47" s="167">
        <v>1</v>
      </c>
      <c r="B47" s="730" t="s">
        <v>141</v>
      </c>
      <c r="D47" s="730" t="s">
        <v>684</v>
      </c>
      <c r="G47" s="731" t="s">
        <v>685</v>
      </c>
      <c r="H47" s="732">
        <v>900</v>
      </c>
      <c r="I47" s="730" t="s">
        <v>686</v>
      </c>
      <c r="O47" s="733">
        <v>3</v>
      </c>
      <c r="P47" s="734"/>
      <c r="Q47" s="735"/>
      <c r="R47" s="736">
        <f>$A47*Q47</f>
        <v>0</v>
      </c>
      <c r="S47" s="735">
        <v>8</v>
      </c>
      <c r="T47" s="737">
        <f>$A47*S47*$T$1</f>
        <v>8</v>
      </c>
    </row>
    <row r="48" spans="1:41" s="602" customFormat="1" ht="12">
      <c r="A48" s="663"/>
      <c r="B48" s="663"/>
      <c r="C48" s="663"/>
      <c r="D48" s="663"/>
      <c r="E48" s="663"/>
      <c r="F48" s="664"/>
      <c r="G48" s="663"/>
      <c r="H48" s="663"/>
      <c r="I48" s="601"/>
      <c r="J48" s="663"/>
      <c r="K48" s="663"/>
      <c r="L48" s="663"/>
      <c r="M48" s="663"/>
      <c r="N48" s="663"/>
      <c r="O48" s="663"/>
      <c r="P48" s="663"/>
      <c r="Q48" s="601"/>
      <c r="R48" s="666">
        <f>$A48*Q48</f>
        <v>0</v>
      </c>
      <c r="S48" s="601"/>
      <c r="T48" s="681">
        <f>$A48*S48*$T$1</f>
        <v>0</v>
      </c>
    </row>
    <row r="49" spans="1:41" s="602" customFormat="1" ht="12.6" thickBot="1">
      <c r="A49" s="682" t="s">
        <v>145</v>
      </c>
      <c r="B49" s="683">
        <f>(R48+T48)</f>
        <v>0</v>
      </c>
      <c r="C49" s="684"/>
      <c r="D49" s="684"/>
      <c r="E49" s="684"/>
      <c r="F49" s="685"/>
      <c r="G49" s="684" t="s">
        <v>146</v>
      </c>
      <c r="H49" s="684"/>
      <c r="I49" s="686"/>
      <c r="J49" s="684"/>
      <c r="K49" s="684" t="s">
        <v>3</v>
      </c>
      <c r="L49" s="687" t="s">
        <v>143</v>
      </c>
      <c r="M49" s="687"/>
      <c r="N49" s="687"/>
      <c r="O49" s="687"/>
      <c r="P49" s="687"/>
      <c r="Q49" s="688"/>
      <c r="R49" s="689">
        <f>SUM(R44:R48)</f>
        <v>100</v>
      </c>
      <c r="S49" s="684"/>
      <c r="T49" s="689">
        <f>SUM(T44:T48)</f>
        <v>8</v>
      </c>
      <c r="U49" s="611"/>
      <c r="V49" s="611"/>
      <c r="W49" s="611"/>
      <c r="X49" s="611"/>
      <c r="Y49" s="611"/>
      <c r="Z49" s="611"/>
      <c r="AA49" s="611"/>
      <c r="AB49" s="611"/>
      <c r="AC49" s="611"/>
      <c r="AD49" s="611"/>
      <c r="AE49" s="611"/>
      <c r="AF49" s="611"/>
      <c r="AG49" s="611"/>
      <c r="AH49" s="611"/>
      <c r="AI49" s="611"/>
      <c r="AJ49" s="611"/>
      <c r="AK49" s="611"/>
      <c r="AL49" s="611"/>
      <c r="AM49" s="611"/>
      <c r="AN49" s="611"/>
      <c r="AO49" s="611"/>
    </row>
    <row r="50" spans="1:41" s="602" customFormat="1" thickTop="1">
      <c r="A50" s="63"/>
      <c r="B50" s="41"/>
      <c r="C50" s="63"/>
      <c r="E50" s="42" t="s">
        <v>138</v>
      </c>
      <c r="F50"/>
      <c r="G50" s="63"/>
      <c r="H50" s="63"/>
      <c r="I50" s="63"/>
      <c r="J50" s="63"/>
      <c r="K50" s="63" t="s">
        <v>140</v>
      </c>
      <c r="L50" s="709"/>
      <c r="M50" s="63"/>
      <c r="N50" s="63"/>
      <c r="O50" s="64"/>
      <c r="P50" s="63"/>
      <c r="Q50" s="63"/>
      <c r="R50" s="63"/>
      <c r="S50" s="63"/>
      <c r="T50" s="41"/>
      <c r="AG50" s="667" t="s">
        <v>278</v>
      </c>
      <c r="AH50" s="710"/>
      <c r="AI50" s="667" t="s">
        <v>280</v>
      </c>
      <c r="AM50" s="668" t="s">
        <v>291</v>
      </c>
      <c r="AN50" s="669" t="s">
        <v>292</v>
      </c>
      <c r="AO50" s="603" t="s">
        <v>288</v>
      </c>
    </row>
    <row r="51" spans="1:41" s="602" customFormat="1" ht="13.2">
      <c r="A51" s="670">
        <v>1</v>
      </c>
      <c r="B51" s="671" t="s">
        <v>312</v>
      </c>
      <c r="C51" s="672"/>
      <c r="D51" s="673" t="s">
        <v>429</v>
      </c>
      <c r="E51" s="711">
        <f>IF(AND($A51=0,$A$1="DIF"),0, ROUND(ROUND(($R57*$S$2+($T57*$T$2))/A51,2)*$C$2,2))</f>
        <v>420.26</v>
      </c>
      <c r="F51"/>
      <c r="G51" s="676" t="s">
        <v>142</v>
      </c>
      <c r="H51" s="664"/>
      <c r="I51" s="677"/>
      <c r="J51" s="664"/>
      <c r="K51" s="712" t="s">
        <v>556</v>
      </c>
      <c r="L51" s="709" t="s">
        <v>143</v>
      </c>
      <c r="M51" s="678"/>
      <c r="N51" s="678"/>
      <c r="O51" s="678"/>
      <c r="P51" s="678"/>
      <c r="Q51" s="63"/>
      <c r="T51" s="679" t="str">
        <f>IF(AND($R57=0,$T57=0),"0.00","mu :" &amp; ROUND($A51*$E51/$C$2/($R57+$T57*$D$9),2))</f>
        <v>mu :1.35</v>
      </c>
      <c r="W51" s="604"/>
      <c r="AG51" s="605">
        <f>IF($E51=0,0,ROUND($R57*$S$2*$C$2/$A51,2))</f>
        <v>131.46</v>
      </c>
      <c r="AH51" s="710"/>
      <c r="AI51" s="605">
        <f>$E51-$AG51</f>
        <v>288.79999999999995</v>
      </c>
      <c r="AM51" s="607">
        <f>ROUND(R57,2)</f>
        <v>100</v>
      </c>
      <c r="AN51" s="608">
        <f>ROUND(T57,2)</f>
        <v>8</v>
      </c>
      <c r="AO51" s="609">
        <f>ROUND(AM51+AN51,2)*A51</f>
        <v>108</v>
      </c>
    </row>
    <row r="52" spans="1:41" s="602" customFormat="1" ht="13.2">
      <c r="A52" s="672"/>
      <c r="B52"/>
      <c r="C52" s="672"/>
      <c r="D52" s="1368" t="s">
        <v>430</v>
      </c>
      <c r="E52" s="1369"/>
      <c r="F52" s="1369"/>
      <c r="G52" s="1369"/>
      <c r="H52" s="1369"/>
      <c r="I52" s="1369"/>
      <c r="J52" s="1369"/>
      <c r="K52" s="1369"/>
      <c r="L52" s="1369"/>
      <c r="M52" s="1369"/>
      <c r="N52" s="1369"/>
      <c r="O52" s="1369"/>
      <c r="P52" s="1369"/>
      <c r="Q52" s="1369"/>
      <c r="R52" s="1369"/>
      <c r="S52" s="1369"/>
      <c r="T52" s="1369"/>
    </row>
    <row r="53" spans="1:41" s="740" customFormat="1" ht="13.2">
      <c r="A53" s="739">
        <v>1</v>
      </c>
      <c r="B53" s="740" t="s">
        <v>141</v>
      </c>
      <c r="D53" s="740" t="s">
        <v>680</v>
      </c>
      <c r="E53" s="749" t="s">
        <v>683</v>
      </c>
      <c r="F53" s="806" t="s">
        <v>941</v>
      </c>
      <c r="G53" s="741" t="s">
        <v>681</v>
      </c>
      <c r="H53" s="742" t="s">
        <v>560</v>
      </c>
      <c r="I53" s="740" t="s">
        <v>674</v>
      </c>
      <c r="K53" s="740" t="s">
        <v>682</v>
      </c>
      <c r="L53" s="743" t="s">
        <v>560</v>
      </c>
      <c r="O53" s="744">
        <v>2</v>
      </c>
      <c r="P53" s="745"/>
      <c r="Q53" s="746"/>
      <c r="R53" s="747">
        <f>$A53*Q53</f>
        <v>0</v>
      </c>
      <c r="S53" s="746"/>
      <c r="T53" s="748">
        <f>$A53*S53*$T$1</f>
        <v>0</v>
      </c>
    </row>
    <row r="54" spans="1:41" s="740" customFormat="1" ht="13.2">
      <c r="A54" s="739">
        <v>1</v>
      </c>
      <c r="B54" s="740" t="s">
        <v>141</v>
      </c>
      <c r="D54" s="740" t="s">
        <v>676</v>
      </c>
      <c r="E54" s="749" t="s">
        <v>683</v>
      </c>
      <c r="G54" s="741" t="s">
        <v>677</v>
      </c>
      <c r="H54" s="742" t="s">
        <v>560</v>
      </c>
      <c r="I54" s="740" t="s">
        <v>674</v>
      </c>
      <c r="K54" s="740" t="s">
        <v>678</v>
      </c>
      <c r="L54" s="743" t="s">
        <v>560</v>
      </c>
      <c r="O54" s="744">
        <v>1</v>
      </c>
      <c r="P54" s="745"/>
      <c r="Q54" s="735">
        <v>100</v>
      </c>
      <c r="R54" s="747">
        <f>$A54*Q54</f>
        <v>100</v>
      </c>
      <c r="S54" s="746"/>
      <c r="T54" s="748">
        <f>$A54*S54*$T$1</f>
        <v>0</v>
      </c>
    </row>
    <row r="55" spans="1:41" s="740" customFormat="1" ht="13.2">
      <c r="A55" s="750">
        <v>1</v>
      </c>
      <c r="B55" s="740" t="s">
        <v>141</v>
      </c>
      <c r="D55" s="740" t="s">
        <v>684</v>
      </c>
      <c r="E55" s="749" t="s">
        <v>683</v>
      </c>
      <c r="G55" s="741" t="s">
        <v>685</v>
      </c>
      <c r="H55" s="742" t="s">
        <v>560</v>
      </c>
      <c r="I55" s="740" t="s">
        <v>686</v>
      </c>
      <c r="L55" s="743" t="s">
        <v>560</v>
      </c>
      <c r="O55" s="744">
        <v>3</v>
      </c>
      <c r="P55" s="745"/>
      <c r="Q55" s="746"/>
      <c r="R55" s="747">
        <f>$A55*Q55</f>
        <v>0</v>
      </c>
      <c r="S55" s="746">
        <v>8</v>
      </c>
      <c r="T55" s="748">
        <f>$A55*S55*$T$1</f>
        <v>8</v>
      </c>
    </row>
    <row r="56" spans="1:41" s="602" customFormat="1" ht="12">
      <c r="A56" s="663"/>
      <c r="B56" s="663"/>
      <c r="C56" s="663"/>
      <c r="D56" s="663"/>
      <c r="E56" s="663"/>
      <c r="F56" s="664"/>
      <c r="G56" s="663"/>
      <c r="H56" s="663"/>
      <c r="I56" s="601"/>
      <c r="J56" s="663"/>
      <c r="K56" s="663"/>
      <c r="L56" s="709"/>
      <c r="M56" s="663"/>
      <c r="N56" s="663"/>
      <c r="O56" s="663"/>
      <c r="P56" s="663"/>
      <c r="Q56" s="601"/>
      <c r="R56" s="666">
        <f>$A56*Q56</f>
        <v>0</v>
      </c>
      <c r="S56" s="601"/>
      <c r="T56" s="681">
        <f>$A56*S56*$T$1</f>
        <v>0</v>
      </c>
    </row>
    <row r="57" spans="1:41" s="602" customFormat="1" ht="12.6" thickBot="1">
      <c r="A57" s="682" t="s">
        <v>145</v>
      </c>
      <c r="B57" s="683">
        <f>(R56+T56)</f>
        <v>0</v>
      </c>
      <c r="C57" s="684"/>
      <c r="D57" s="684"/>
      <c r="E57" s="684"/>
      <c r="F57" s="685"/>
      <c r="G57" s="684" t="s">
        <v>146</v>
      </c>
      <c r="H57" s="684"/>
      <c r="I57" s="686"/>
      <c r="J57" s="684"/>
      <c r="K57" s="728"/>
      <c r="L57" s="729" t="s">
        <v>556</v>
      </c>
      <c r="M57" s="687"/>
      <c r="N57" s="687"/>
      <c r="O57" s="687"/>
      <c r="P57" s="687"/>
      <c r="Q57" s="688"/>
      <c r="R57" s="689">
        <f>SUM(R52:R56)</f>
        <v>100</v>
      </c>
      <c r="S57" s="684"/>
      <c r="T57" s="689">
        <f>SUM(T52:T56)</f>
        <v>8</v>
      </c>
      <c r="U57" s="611"/>
      <c r="V57" s="611"/>
      <c r="W57" s="611"/>
      <c r="X57" s="611"/>
      <c r="Y57" s="611"/>
      <c r="Z57" s="611"/>
      <c r="AA57" s="611"/>
      <c r="AB57" s="611"/>
      <c r="AC57" s="611"/>
      <c r="AD57" s="611"/>
      <c r="AE57" s="611"/>
      <c r="AF57" s="611"/>
      <c r="AG57" s="611"/>
      <c r="AH57" s="611"/>
      <c r="AI57" s="611"/>
      <c r="AJ57" s="611"/>
      <c r="AK57" s="611"/>
      <c r="AL57" s="611"/>
      <c r="AM57" s="611"/>
      <c r="AN57" s="611"/>
      <c r="AO57" s="611"/>
    </row>
    <row r="58" spans="1:41" s="602" customFormat="1" thickTop="1">
      <c r="A58" s="63"/>
      <c r="B58" s="41"/>
      <c r="C58" s="63"/>
      <c r="E58" s="42" t="s">
        <v>138</v>
      </c>
      <c r="F58"/>
      <c r="G58" s="63"/>
      <c r="H58" s="63"/>
      <c r="I58" s="63"/>
      <c r="J58" s="63"/>
      <c r="K58" s="63" t="s">
        <v>140</v>
      </c>
      <c r="L58" s="709"/>
      <c r="M58" s="63"/>
      <c r="N58" s="63"/>
      <c r="O58" s="64"/>
      <c r="P58" s="63"/>
      <c r="Q58" s="63"/>
      <c r="R58" s="63"/>
      <c r="S58" s="63"/>
      <c r="T58" s="41"/>
      <c r="AG58" s="667" t="s">
        <v>278</v>
      </c>
      <c r="AH58" s="710"/>
      <c r="AI58" s="667" t="s">
        <v>280</v>
      </c>
      <c r="AM58" s="668" t="s">
        <v>291</v>
      </c>
      <c r="AN58" s="669" t="s">
        <v>292</v>
      </c>
      <c r="AO58" s="603" t="s">
        <v>288</v>
      </c>
    </row>
    <row r="59" spans="1:41" s="602" customFormat="1" ht="13.2">
      <c r="A59" s="670">
        <v>1</v>
      </c>
      <c r="B59" s="671" t="s">
        <v>312</v>
      </c>
      <c r="C59" s="672"/>
      <c r="D59" s="673" t="s">
        <v>431</v>
      </c>
      <c r="E59" s="711">
        <f>IF(AND($A59=0,$A$1="DIF"),0, ROUND(ROUND(($R65*$S$2+($T65*$T$2))/A59,2)*$C$2,2))</f>
        <v>420.26</v>
      </c>
      <c r="F59"/>
      <c r="G59" s="676" t="s">
        <v>142</v>
      </c>
      <c r="H59" s="664"/>
      <c r="I59" s="677"/>
      <c r="J59" s="664"/>
      <c r="K59" s="712" t="s">
        <v>556</v>
      </c>
      <c r="L59" s="709" t="s">
        <v>143</v>
      </c>
      <c r="M59" s="678"/>
      <c r="N59" s="678"/>
      <c r="O59" s="678"/>
      <c r="P59" s="678"/>
      <c r="Q59" s="63"/>
      <c r="T59" s="679" t="str">
        <f>IF(AND($R65=0,$T65=0),"0.00","mu :" &amp; ROUND($A59*$E59/$C$2/($R65+$T65*$D$9),2))</f>
        <v>mu :1.35</v>
      </c>
      <c r="W59" s="604"/>
      <c r="AG59" s="605">
        <f>IF($E59=0,0,ROUND($R65*$S$2*$C$2/$A59,2))</f>
        <v>131.46</v>
      </c>
      <c r="AH59" s="710"/>
      <c r="AI59" s="605">
        <f>$E59-$AG59</f>
        <v>288.79999999999995</v>
      </c>
      <c r="AM59" s="607">
        <f>ROUND(R65,2)</f>
        <v>100</v>
      </c>
      <c r="AN59" s="608">
        <f>ROUND(T65,2)</f>
        <v>8</v>
      </c>
      <c r="AO59" s="609">
        <f>ROUND(AM59+AN59,2)*A59</f>
        <v>108</v>
      </c>
    </row>
    <row r="60" spans="1:41" s="602" customFormat="1" ht="13.2" customHeight="1">
      <c r="A60" s="672"/>
      <c r="B60"/>
      <c r="C60" s="672"/>
      <c r="D60" s="1368" t="s">
        <v>432</v>
      </c>
      <c r="E60" s="1369"/>
      <c r="F60" s="1369"/>
      <c r="G60" s="1369"/>
      <c r="H60" s="1369"/>
      <c r="I60" s="1369"/>
      <c r="J60" s="1369"/>
      <c r="K60" s="1369"/>
      <c r="L60" s="1369"/>
      <c r="M60" s="1369"/>
      <c r="N60" s="1369"/>
      <c r="O60" s="1369"/>
      <c r="P60" s="1369"/>
      <c r="Q60" s="1369"/>
      <c r="R60" s="1369"/>
      <c r="S60" s="1369"/>
      <c r="T60" s="1369"/>
    </row>
    <row r="61" spans="1:41" s="740" customFormat="1" ht="13.2">
      <c r="A61" s="739">
        <v>1</v>
      </c>
      <c r="B61" s="740" t="s">
        <v>141</v>
      </c>
      <c r="D61" s="740" t="s">
        <v>680</v>
      </c>
      <c r="E61" s="749" t="s">
        <v>683</v>
      </c>
      <c r="F61" s="806" t="s">
        <v>942</v>
      </c>
      <c r="G61" s="741" t="s">
        <v>681</v>
      </c>
      <c r="H61" s="742" t="s">
        <v>560</v>
      </c>
      <c r="I61" s="740" t="s">
        <v>674</v>
      </c>
      <c r="K61" s="740" t="s">
        <v>682</v>
      </c>
      <c r="L61" s="743" t="s">
        <v>560</v>
      </c>
      <c r="O61" s="744">
        <v>2</v>
      </c>
      <c r="P61" s="745"/>
      <c r="Q61" s="746"/>
      <c r="R61" s="747">
        <f>$A61*Q61</f>
        <v>0</v>
      </c>
      <c r="S61" s="746"/>
      <c r="T61" s="748">
        <f>$A61*S61*$T$1</f>
        <v>0</v>
      </c>
    </row>
    <row r="62" spans="1:41" s="740" customFormat="1" ht="13.2">
      <c r="A62" s="739">
        <v>1</v>
      </c>
      <c r="B62" s="740" t="s">
        <v>141</v>
      </c>
      <c r="D62" s="740" t="s">
        <v>676</v>
      </c>
      <c r="E62" s="749" t="s">
        <v>683</v>
      </c>
      <c r="G62" s="741" t="s">
        <v>677</v>
      </c>
      <c r="H62" s="742" t="s">
        <v>560</v>
      </c>
      <c r="I62" s="740" t="s">
        <v>674</v>
      </c>
      <c r="K62" s="740" t="s">
        <v>678</v>
      </c>
      <c r="L62" s="743" t="s">
        <v>560</v>
      </c>
      <c r="O62" s="744">
        <v>1</v>
      </c>
      <c r="P62" s="745"/>
      <c r="Q62" s="735">
        <v>100</v>
      </c>
      <c r="R62" s="747">
        <f>$A62*Q62</f>
        <v>100</v>
      </c>
      <c r="S62" s="746"/>
      <c r="T62" s="748">
        <f>$A62*S62*$T$1</f>
        <v>0</v>
      </c>
    </row>
    <row r="63" spans="1:41" s="740" customFormat="1" ht="13.2">
      <c r="A63" s="750">
        <v>1</v>
      </c>
      <c r="B63" s="740" t="s">
        <v>141</v>
      </c>
      <c r="D63" s="740" t="s">
        <v>684</v>
      </c>
      <c r="E63" s="749" t="s">
        <v>683</v>
      </c>
      <c r="G63" s="741" t="s">
        <v>685</v>
      </c>
      <c r="H63" s="742" t="s">
        <v>560</v>
      </c>
      <c r="I63" s="740" t="s">
        <v>686</v>
      </c>
      <c r="L63" s="743" t="s">
        <v>560</v>
      </c>
      <c r="O63" s="744">
        <v>3</v>
      </c>
      <c r="P63" s="745"/>
      <c r="Q63" s="746"/>
      <c r="R63" s="747">
        <f>$A63*Q63</f>
        <v>0</v>
      </c>
      <c r="S63" s="746">
        <v>8</v>
      </c>
      <c r="T63" s="748">
        <f>$A63*S63*$T$1</f>
        <v>8</v>
      </c>
    </row>
    <row r="64" spans="1:41" s="602" customFormat="1" ht="12">
      <c r="A64" s="663"/>
      <c r="B64" s="663"/>
      <c r="C64" s="663"/>
      <c r="D64" s="663"/>
      <c r="E64" s="664"/>
      <c r="G64" s="663"/>
      <c r="H64" s="663"/>
      <c r="I64" s="601"/>
      <c r="J64" s="663"/>
      <c r="K64" s="663"/>
      <c r="L64" s="709"/>
      <c r="M64" s="663"/>
      <c r="N64" s="663"/>
      <c r="O64" s="663"/>
      <c r="P64" s="663"/>
      <c r="Q64" s="601"/>
      <c r="R64" s="666">
        <f>$A64*Q64</f>
        <v>0</v>
      </c>
      <c r="S64" s="601"/>
      <c r="T64" s="681">
        <f>$A64*S64*$T$1</f>
        <v>0</v>
      </c>
    </row>
    <row r="65" spans="1:41" s="602" customFormat="1" ht="12.6" thickBot="1">
      <c r="A65" s="682" t="s">
        <v>145</v>
      </c>
      <c r="B65" s="683">
        <f>(R64+T64)</f>
        <v>0</v>
      </c>
      <c r="C65" s="684"/>
      <c r="D65" s="684"/>
      <c r="E65" s="684"/>
      <c r="F65" s="685"/>
      <c r="G65" s="684" t="s">
        <v>146</v>
      </c>
      <c r="H65" s="684"/>
      <c r="I65" s="686"/>
      <c r="J65" s="684"/>
      <c r="K65" s="728"/>
      <c r="L65" s="729" t="s">
        <v>556</v>
      </c>
      <c r="M65" s="687"/>
      <c r="N65" s="687"/>
      <c r="O65" s="687"/>
      <c r="P65" s="687"/>
      <c r="Q65" s="688"/>
      <c r="R65" s="689">
        <f>SUM(R60:R64)</f>
        <v>100</v>
      </c>
      <c r="S65" s="684"/>
      <c r="T65" s="689">
        <f>SUM(T60:T64)</f>
        <v>8</v>
      </c>
      <c r="U65" s="611"/>
      <c r="V65" s="611"/>
      <c r="W65" s="611"/>
      <c r="X65" s="611"/>
      <c r="Y65" s="611"/>
      <c r="Z65" s="611"/>
      <c r="AA65" s="611"/>
      <c r="AB65" s="611"/>
      <c r="AC65" s="611"/>
      <c r="AD65" s="611"/>
      <c r="AE65" s="611"/>
      <c r="AF65" s="611"/>
      <c r="AG65" s="611"/>
      <c r="AH65" s="611"/>
      <c r="AI65" s="611"/>
      <c r="AJ65" s="611"/>
      <c r="AK65" s="611"/>
      <c r="AL65" s="611"/>
      <c r="AM65" s="611"/>
      <c r="AN65" s="611"/>
      <c r="AO65" s="611"/>
    </row>
    <row r="66" spans="1:41" s="602" customFormat="1" ht="12" thickTop="1">
      <c r="A66" s="63"/>
      <c r="B66" s="41"/>
      <c r="C66" s="63"/>
      <c r="E66" s="42" t="s">
        <v>138</v>
      </c>
      <c r="F66" s="42" t="s">
        <v>139</v>
      </c>
      <c r="G66" s="63"/>
      <c r="H66" s="63"/>
      <c r="I66" s="63"/>
      <c r="J66" s="63"/>
      <c r="K66" s="63" t="s">
        <v>140</v>
      </c>
      <c r="L66" s="63"/>
      <c r="M66" s="63"/>
      <c r="N66" s="63"/>
      <c r="O66" s="64"/>
      <c r="P66" s="63"/>
      <c r="Q66" s="63"/>
      <c r="R66" s="63"/>
      <c r="S66" s="63"/>
      <c r="T66" s="41"/>
      <c r="AG66" s="667" t="s">
        <v>278</v>
      </c>
      <c r="AH66" s="667" t="s">
        <v>279</v>
      </c>
      <c r="AI66" s="667" t="s">
        <v>280</v>
      </c>
      <c r="AJ66" s="667" t="s">
        <v>281</v>
      </c>
      <c r="AK66" s="667" t="s">
        <v>282</v>
      </c>
      <c r="AM66" s="668" t="s">
        <v>291</v>
      </c>
      <c r="AN66" s="669" t="s">
        <v>292</v>
      </c>
      <c r="AO66" s="603" t="s">
        <v>288</v>
      </c>
    </row>
    <row r="67" spans="1:41" s="602" customFormat="1" ht="12" customHeight="1">
      <c r="A67" s="670">
        <v>1</v>
      </c>
      <c r="B67" s="671" t="s">
        <v>312</v>
      </c>
      <c r="C67" s="672"/>
      <c r="D67" s="673" t="s">
        <v>433</v>
      </c>
      <c r="E67" s="674">
        <f>IF(AND($A67=0,$A$1="DIF"),0, ROUND(ROUND(($R73*$S$2+($T73*$T$2))/A67,2)*$C$2,2))</f>
        <v>420.26</v>
      </c>
      <c r="F67" s="675">
        <f>ROUND($A67*$E67,2)</f>
        <v>420.26</v>
      </c>
      <c r="G67" s="676" t="s">
        <v>142</v>
      </c>
      <c r="H67" s="664"/>
      <c r="I67" s="677"/>
      <c r="J67" s="664"/>
      <c r="K67" s="664" t="s">
        <v>3</v>
      </c>
      <c r="L67" s="678" t="s">
        <v>143</v>
      </c>
      <c r="M67" s="678"/>
      <c r="N67" s="678"/>
      <c r="O67" s="678"/>
      <c r="P67" s="678"/>
      <c r="Q67" s="63"/>
      <c r="T67" s="679" t="str">
        <f>IF(AND($R73=0,$T73=0),"0.00","mu :" &amp; ROUND($F67/$C$2/($R73+$T73*$D$9),2))</f>
        <v>mu :1.35</v>
      </c>
      <c r="W67" s="604"/>
      <c r="AG67" s="549">
        <f>IF($E67=0,0,ROUND($R73*$S$2*$C$2/$A67,2))</f>
        <v>131.46</v>
      </c>
      <c r="AH67" s="549">
        <f>$AG67*$A67</f>
        <v>131.46</v>
      </c>
      <c r="AI67" s="605">
        <f>$E67-$AG67</f>
        <v>288.79999999999995</v>
      </c>
      <c r="AJ67" s="605">
        <f>$A67*$AI67</f>
        <v>288.79999999999995</v>
      </c>
      <c r="AK67" s="606">
        <f>ROUND(($AG67+$AI67)*$A67,2)</f>
        <v>420.26</v>
      </c>
      <c r="AM67" s="607">
        <f>ROUND(R73,2)</f>
        <v>100</v>
      </c>
      <c r="AN67" s="608">
        <f>ROUND(T73,2)</f>
        <v>8</v>
      </c>
      <c r="AO67" s="609">
        <f>ROUND(AM67+AN67,2)*A67</f>
        <v>108</v>
      </c>
    </row>
    <row r="68" spans="1:41" s="602" customFormat="1" ht="39.9" customHeight="1">
      <c r="A68" s="672"/>
      <c r="B68"/>
      <c r="C68" s="672"/>
      <c r="D68" s="1368" t="s">
        <v>314</v>
      </c>
      <c r="E68" s="1369"/>
      <c r="F68" s="1369"/>
      <c r="G68" s="1369"/>
      <c r="H68" s="1369"/>
      <c r="I68" s="1369"/>
      <c r="J68" s="1369"/>
      <c r="K68" s="1369"/>
      <c r="L68" s="1369"/>
      <c r="M68" s="1369"/>
      <c r="N68" s="1369"/>
      <c r="O68" s="1369"/>
      <c r="P68" s="1369"/>
      <c r="Q68" s="1369"/>
      <c r="R68" s="1369"/>
      <c r="S68" s="1369"/>
      <c r="T68" s="1369"/>
    </row>
    <row r="69" spans="1:41" s="730" customFormat="1" ht="13.2">
      <c r="A69">
        <v>1</v>
      </c>
      <c r="B69" s="730" t="s">
        <v>141</v>
      </c>
      <c r="D69" s="730" t="s">
        <v>680</v>
      </c>
      <c r="F69" s="806" t="s">
        <v>941</v>
      </c>
      <c r="G69" s="731" t="s">
        <v>681</v>
      </c>
      <c r="H69" s="732">
        <v>510</v>
      </c>
      <c r="I69" s="730" t="s">
        <v>674</v>
      </c>
      <c r="K69" s="730" t="s">
        <v>682</v>
      </c>
      <c r="O69" s="733">
        <v>2</v>
      </c>
      <c r="P69" s="734"/>
      <c r="Q69" s="735"/>
      <c r="R69" s="736">
        <f>$A69*Q69</f>
        <v>0</v>
      </c>
      <c r="S69" s="735"/>
      <c r="T69" s="737">
        <f>$A69*S69*$T$1</f>
        <v>0</v>
      </c>
    </row>
    <row r="70" spans="1:41" s="730" customFormat="1" ht="13.2">
      <c r="A70">
        <v>1</v>
      </c>
      <c r="B70" s="730" t="s">
        <v>141</v>
      </c>
      <c r="D70" s="730" t="s">
        <v>676</v>
      </c>
      <c r="G70" s="731" t="s">
        <v>677</v>
      </c>
      <c r="H70" s="732">
        <v>501</v>
      </c>
      <c r="I70" s="730" t="s">
        <v>674</v>
      </c>
      <c r="K70" s="730" t="s">
        <v>678</v>
      </c>
      <c r="O70" s="733">
        <v>1</v>
      </c>
      <c r="P70" s="734"/>
      <c r="Q70" s="735">
        <v>100</v>
      </c>
      <c r="R70" s="736">
        <f>$A70*Q70</f>
        <v>100</v>
      </c>
      <c r="S70" s="735"/>
      <c r="T70" s="737">
        <f>$A70*S70*$T$1</f>
        <v>0</v>
      </c>
    </row>
    <row r="71" spans="1:41" s="730" customFormat="1" ht="13.2">
      <c r="A71" s="167">
        <v>1</v>
      </c>
      <c r="B71" s="730" t="s">
        <v>141</v>
      </c>
      <c r="D71" s="730" t="s">
        <v>684</v>
      </c>
      <c r="G71" s="731" t="s">
        <v>685</v>
      </c>
      <c r="H71" s="732">
        <v>900</v>
      </c>
      <c r="I71" s="730" t="s">
        <v>686</v>
      </c>
      <c r="O71" s="733">
        <v>3</v>
      </c>
      <c r="P71" s="734"/>
      <c r="Q71" s="735"/>
      <c r="R71" s="736">
        <f>$A71*Q71</f>
        <v>0</v>
      </c>
      <c r="S71" s="735">
        <v>8</v>
      </c>
      <c r="T71" s="737">
        <f>$A71*S71*$T$1</f>
        <v>8</v>
      </c>
    </row>
    <row r="72" spans="1:41" s="602" customFormat="1" ht="12">
      <c r="A72" s="663"/>
      <c r="B72" s="663"/>
      <c r="C72" s="663"/>
      <c r="D72" s="663"/>
      <c r="E72" s="663"/>
      <c r="F72" s="664"/>
      <c r="G72" s="663"/>
      <c r="H72" s="663"/>
      <c r="I72" s="601"/>
      <c r="J72" s="663"/>
      <c r="K72" s="663"/>
      <c r="L72" s="663"/>
      <c r="M72" s="663"/>
      <c r="N72" s="663"/>
      <c r="O72" s="663"/>
      <c r="P72" s="663"/>
      <c r="Q72" s="601"/>
      <c r="R72" s="666">
        <f>$A72*Q72</f>
        <v>0</v>
      </c>
      <c r="S72" s="601"/>
      <c r="T72" s="681">
        <f>$A72*S72*$T$1</f>
        <v>0</v>
      </c>
    </row>
    <row r="73" spans="1:41" s="602" customFormat="1" ht="12.6" thickBot="1">
      <c r="A73" s="682" t="s">
        <v>145</v>
      </c>
      <c r="B73" s="683">
        <f>(R72+T72)</f>
        <v>0</v>
      </c>
      <c r="C73" s="684"/>
      <c r="D73" s="684"/>
      <c r="E73" s="684"/>
      <c r="F73" s="685"/>
      <c r="G73" s="684" t="s">
        <v>146</v>
      </c>
      <c r="H73" s="684"/>
      <c r="I73" s="686"/>
      <c r="J73" s="684"/>
      <c r="K73" s="684" t="s">
        <v>3</v>
      </c>
      <c r="L73" s="687" t="s">
        <v>143</v>
      </c>
      <c r="M73" s="687"/>
      <c r="N73" s="687"/>
      <c r="O73" s="687"/>
      <c r="P73" s="687"/>
      <c r="Q73" s="688"/>
      <c r="R73" s="689">
        <f>SUM(R68:R72)</f>
        <v>100</v>
      </c>
      <c r="S73" s="684"/>
      <c r="T73" s="689">
        <f>SUM(T68:T72)</f>
        <v>8</v>
      </c>
      <c r="U73" s="611"/>
      <c r="V73" s="611"/>
      <c r="W73" s="611"/>
      <c r="X73" s="611"/>
      <c r="Y73" s="611"/>
      <c r="Z73" s="611"/>
      <c r="AA73" s="611"/>
      <c r="AB73" s="611"/>
      <c r="AC73" s="611"/>
      <c r="AD73" s="611"/>
      <c r="AE73" s="611"/>
      <c r="AF73" s="611"/>
      <c r="AG73" s="611"/>
      <c r="AH73" s="611"/>
      <c r="AI73" s="611"/>
      <c r="AJ73" s="611"/>
      <c r="AK73" s="611"/>
      <c r="AL73" s="611"/>
      <c r="AM73" s="611"/>
      <c r="AN73" s="611"/>
      <c r="AO73" s="611"/>
    </row>
    <row r="74" spans="1:41" s="602" customFormat="1" thickTop="1">
      <c r="A74" s="63"/>
      <c r="B74" s="41"/>
      <c r="C74" s="63"/>
      <c r="E74" s="42" t="s">
        <v>138</v>
      </c>
      <c r="F74"/>
      <c r="G74" s="63"/>
      <c r="H74" s="63"/>
      <c r="I74" s="63"/>
      <c r="J74" s="63"/>
      <c r="K74" s="63" t="s">
        <v>140</v>
      </c>
      <c r="L74" s="709"/>
      <c r="M74" s="63"/>
      <c r="N74" s="63"/>
      <c r="O74" s="64"/>
      <c r="P74" s="63"/>
      <c r="Q74" s="63"/>
      <c r="R74" s="63"/>
      <c r="S74" s="63"/>
      <c r="T74" s="41"/>
      <c r="AG74" s="667" t="s">
        <v>278</v>
      </c>
      <c r="AH74" s="710"/>
      <c r="AI74" s="667" t="s">
        <v>280</v>
      </c>
      <c r="AM74" s="668" t="s">
        <v>291</v>
      </c>
      <c r="AN74" s="669" t="s">
        <v>292</v>
      </c>
      <c r="AO74" s="603" t="s">
        <v>288</v>
      </c>
    </row>
    <row r="75" spans="1:41" s="602" customFormat="1" ht="13.2">
      <c r="A75" s="670">
        <v>1</v>
      </c>
      <c r="B75" s="671" t="s">
        <v>312</v>
      </c>
      <c r="C75" s="672"/>
      <c r="D75" s="673" t="s">
        <v>434</v>
      </c>
      <c r="E75" s="711">
        <f>IF(AND($A75=0,$A$1="DIF"),0, ROUND(ROUND(($R81*$S$2+($T81*$T$2))/A75,2)*$C$2,2))</f>
        <v>420.26</v>
      </c>
      <c r="F75"/>
      <c r="G75" s="676" t="s">
        <v>142</v>
      </c>
      <c r="H75" s="664"/>
      <c r="I75" s="677"/>
      <c r="J75" s="664"/>
      <c r="K75" s="712" t="s">
        <v>556</v>
      </c>
      <c r="L75" s="709" t="s">
        <v>143</v>
      </c>
      <c r="M75" s="678"/>
      <c r="N75" s="678"/>
      <c r="O75" s="678"/>
      <c r="P75" s="678"/>
      <c r="Q75" s="63"/>
      <c r="T75" s="679" t="str">
        <f>IF(AND($R81=0,$T81=0),"0.00","mu :" &amp; ROUND($A75*$E75/$C$2/($R81+$T81*$D$9),2))</f>
        <v>mu :1.35</v>
      </c>
      <c r="W75" s="604"/>
      <c r="AG75" s="605">
        <f>IF($E75=0,0,ROUND($R81*$S$2*$C$2/$A75,2))</f>
        <v>131.46</v>
      </c>
      <c r="AH75" s="710"/>
      <c r="AI75" s="605">
        <f>$E75-$AG75</f>
        <v>288.79999999999995</v>
      </c>
      <c r="AM75" s="607">
        <f>ROUND(R81,2)</f>
        <v>100</v>
      </c>
      <c r="AN75" s="608">
        <f>ROUND(T81,2)</f>
        <v>8</v>
      </c>
      <c r="AO75" s="609">
        <f>ROUND(AM75+AN75,2)*A75</f>
        <v>108</v>
      </c>
    </row>
    <row r="76" spans="1:41" s="602" customFormat="1" ht="13.2" customHeight="1">
      <c r="A76" s="672"/>
      <c r="B76"/>
      <c r="C76" s="672"/>
      <c r="D76" s="1368" t="s">
        <v>435</v>
      </c>
      <c r="E76" s="1369"/>
      <c r="F76" s="1369"/>
      <c r="G76" s="1369"/>
      <c r="H76" s="1369"/>
      <c r="I76" s="1369"/>
      <c r="J76" s="1369"/>
      <c r="K76" s="1369"/>
      <c r="L76" s="1369"/>
      <c r="M76" s="1369"/>
      <c r="N76" s="1369"/>
      <c r="O76" s="1369"/>
      <c r="P76" s="1369"/>
      <c r="Q76" s="1369"/>
      <c r="R76" s="1369"/>
      <c r="S76" s="1369"/>
      <c r="T76" s="1369"/>
    </row>
    <row r="77" spans="1:41" s="740" customFormat="1" ht="13.2">
      <c r="A77" s="739">
        <v>1</v>
      </c>
      <c r="B77" s="740" t="s">
        <v>141</v>
      </c>
      <c r="D77" s="740" t="s">
        <v>680</v>
      </c>
      <c r="E77" s="749" t="s">
        <v>683</v>
      </c>
      <c r="F77" s="806" t="s">
        <v>941</v>
      </c>
      <c r="G77" s="741" t="s">
        <v>681</v>
      </c>
      <c r="H77" s="742" t="s">
        <v>560</v>
      </c>
      <c r="I77" s="740" t="s">
        <v>674</v>
      </c>
      <c r="K77" s="740" t="s">
        <v>682</v>
      </c>
      <c r="L77" s="743" t="s">
        <v>560</v>
      </c>
      <c r="O77" s="744">
        <v>2</v>
      </c>
      <c r="P77" s="745"/>
      <c r="Q77" s="746"/>
      <c r="R77" s="747">
        <f>$A77*Q77</f>
        <v>0</v>
      </c>
      <c r="S77" s="746"/>
      <c r="T77" s="748">
        <f>$A77*S77*$T$1</f>
        <v>0</v>
      </c>
    </row>
    <row r="78" spans="1:41" s="740" customFormat="1" ht="13.2">
      <c r="A78" s="739">
        <v>1</v>
      </c>
      <c r="B78" s="740" t="s">
        <v>141</v>
      </c>
      <c r="D78" s="740" t="s">
        <v>676</v>
      </c>
      <c r="E78" s="749" t="s">
        <v>683</v>
      </c>
      <c r="G78" s="741" t="s">
        <v>677</v>
      </c>
      <c r="H78" s="742" t="s">
        <v>560</v>
      </c>
      <c r="I78" s="740" t="s">
        <v>674</v>
      </c>
      <c r="K78" s="740" t="s">
        <v>678</v>
      </c>
      <c r="L78" s="743" t="s">
        <v>560</v>
      </c>
      <c r="O78" s="744">
        <v>1</v>
      </c>
      <c r="P78" s="745"/>
      <c r="Q78" s="735">
        <v>100</v>
      </c>
      <c r="R78" s="747">
        <f>$A78*Q78</f>
        <v>100</v>
      </c>
      <c r="S78" s="746"/>
      <c r="T78" s="748">
        <f>$A78*S78*$T$1</f>
        <v>0</v>
      </c>
    </row>
    <row r="79" spans="1:41" s="740" customFormat="1" ht="13.2">
      <c r="A79" s="750">
        <v>1</v>
      </c>
      <c r="B79" s="740" t="s">
        <v>141</v>
      </c>
      <c r="D79" s="740" t="s">
        <v>684</v>
      </c>
      <c r="E79" s="749" t="s">
        <v>683</v>
      </c>
      <c r="G79" s="741" t="s">
        <v>685</v>
      </c>
      <c r="H79" s="742" t="s">
        <v>560</v>
      </c>
      <c r="I79" s="740" t="s">
        <v>686</v>
      </c>
      <c r="L79" s="743" t="s">
        <v>560</v>
      </c>
      <c r="O79" s="744">
        <v>3</v>
      </c>
      <c r="P79" s="745"/>
      <c r="Q79" s="746"/>
      <c r="R79" s="747">
        <f>$A79*Q79</f>
        <v>0</v>
      </c>
      <c r="S79" s="746">
        <v>8</v>
      </c>
      <c r="T79" s="748">
        <f>$A79*S79*$T$1</f>
        <v>8</v>
      </c>
    </row>
    <row r="80" spans="1:41" s="602" customFormat="1" ht="12">
      <c r="A80" s="663"/>
      <c r="B80" s="663"/>
      <c r="C80" s="663"/>
      <c r="D80" s="663"/>
      <c r="E80" s="663"/>
      <c r="F80" s="664"/>
      <c r="G80" s="663"/>
      <c r="H80" s="663"/>
      <c r="I80" s="601"/>
      <c r="J80" s="663"/>
      <c r="K80" s="663"/>
      <c r="L80" s="709"/>
      <c r="M80" s="663"/>
      <c r="N80" s="663"/>
      <c r="O80" s="663"/>
      <c r="P80" s="663"/>
      <c r="Q80" s="601"/>
      <c r="R80" s="666">
        <f>$A80*Q80</f>
        <v>0</v>
      </c>
      <c r="S80" s="601"/>
      <c r="T80" s="681">
        <f>$A80*S80*$T$1</f>
        <v>0</v>
      </c>
    </row>
    <row r="81" spans="1:41" s="602" customFormat="1" ht="12.6" thickBot="1">
      <c r="A81" s="682" t="s">
        <v>145</v>
      </c>
      <c r="B81" s="683">
        <f>(R80+T80)</f>
        <v>0</v>
      </c>
      <c r="C81" s="684"/>
      <c r="D81" s="684"/>
      <c r="E81" s="684"/>
      <c r="F81" s="685"/>
      <c r="G81" s="684" t="s">
        <v>146</v>
      </c>
      <c r="H81" s="684"/>
      <c r="I81" s="686"/>
      <c r="J81" s="684"/>
      <c r="K81" s="728"/>
      <c r="L81" s="729" t="s">
        <v>556</v>
      </c>
      <c r="M81" s="687"/>
      <c r="N81" s="687"/>
      <c r="O81" s="687"/>
      <c r="P81" s="687"/>
      <c r="Q81" s="688"/>
      <c r="R81" s="689">
        <f>SUM(R76:R80)</f>
        <v>100</v>
      </c>
      <c r="S81" s="684"/>
      <c r="T81" s="689">
        <f>SUM(T76:T80)</f>
        <v>8</v>
      </c>
      <c r="U81" s="611"/>
      <c r="V81" s="611"/>
      <c r="W81" s="611"/>
      <c r="X81" s="611"/>
      <c r="Y81" s="611"/>
      <c r="Z81" s="611"/>
      <c r="AA81" s="611"/>
      <c r="AB81" s="611"/>
      <c r="AC81" s="611"/>
      <c r="AD81" s="611"/>
      <c r="AE81" s="611"/>
      <c r="AF81" s="611"/>
      <c r="AG81" s="611"/>
      <c r="AH81" s="611"/>
      <c r="AI81" s="611"/>
      <c r="AJ81" s="611"/>
      <c r="AK81" s="611"/>
      <c r="AL81" s="611"/>
      <c r="AM81" s="611"/>
      <c r="AN81" s="611"/>
      <c r="AO81" s="611"/>
    </row>
    <row r="82" spans="1:41" s="602" customFormat="1" thickTop="1">
      <c r="A82" s="63"/>
      <c r="B82" s="41"/>
      <c r="C82" s="63"/>
      <c r="E82" s="42" t="s">
        <v>138</v>
      </c>
      <c r="F82"/>
      <c r="G82" s="63"/>
      <c r="H82" s="63"/>
      <c r="I82" s="63"/>
      <c r="J82" s="63"/>
      <c r="K82" s="63" t="s">
        <v>140</v>
      </c>
      <c r="L82" s="709"/>
      <c r="M82" s="63"/>
      <c r="N82" s="63"/>
      <c r="O82" s="64"/>
      <c r="P82" s="63"/>
      <c r="Q82" s="63"/>
      <c r="R82" s="63"/>
      <c r="S82" s="63"/>
      <c r="T82" s="41"/>
      <c r="AG82" s="667" t="s">
        <v>278</v>
      </c>
      <c r="AH82" s="710"/>
      <c r="AI82" s="667" t="s">
        <v>280</v>
      </c>
      <c r="AM82" s="668" t="s">
        <v>291</v>
      </c>
      <c r="AN82" s="669" t="s">
        <v>292</v>
      </c>
      <c r="AO82" s="603" t="s">
        <v>288</v>
      </c>
    </row>
    <row r="83" spans="1:41" s="602" customFormat="1" ht="13.2">
      <c r="A83" s="670">
        <v>1</v>
      </c>
      <c r="B83" s="671" t="s">
        <v>312</v>
      </c>
      <c r="C83" s="672"/>
      <c r="D83" s="673" t="s">
        <v>436</v>
      </c>
      <c r="E83" s="711">
        <f>IF(AND($A83=0,$A$1="DIF"),0, ROUND(ROUND(($R89*$S$2+($T89*$T$2))/A83,2)*$C$2,2))</f>
        <v>420.26</v>
      </c>
      <c r="F83"/>
      <c r="G83" s="676" t="s">
        <v>142</v>
      </c>
      <c r="H83" s="664"/>
      <c r="I83" s="677"/>
      <c r="J83" s="664"/>
      <c r="K83" s="712" t="s">
        <v>556</v>
      </c>
      <c r="L83" s="709" t="s">
        <v>143</v>
      </c>
      <c r="M83" s="678"/>
      <c r="N83" s="678"/>
      <c r="O83" s="678"/>
      <c r="P83" s="678"/>
      <c r="Q83" s="63"/>
      <c r="T83" s="679" t="str">
        <f>IF(AND($R89=0,$T89=0),"0.00","mu :" &amp; ROUND($A83*$E83/$C$2/($R89+$T89*$D$9),2))</f>
        <v>mu :1.35</v>
      </c>
      <c r="W83" s="604"/>
      <c r="AG83" s="605">
        <f>IF($E83=0,0,ROUND($R89*$S$2*$C$2/$A83,2))</f>
        <v>131.46</v>
      </c>
      <c r="AH83" s="710"/>
      <c r="AI83" s="605">
        <f>$E83-$AG83</f>
        <v>288.79999999999995</v>
      </c>
      <c r="AM83" s="607">
        <f>ROUND(R89,2)</f>
        <v>100</v>
      </c>
      <c r="AN83" s="608">
        <f>ROUND(T89,2)</f>
        <v>8</v>
      </c>
      <c r="AO83" s="609">
        <f>ROUND(AM83+AN83,2)*A83</f>
        <v>108</v>
      </c>
    </row>
    <row r="84" spans="1:41" s="602" customFormat="1" ht="13.2" customHeight="1">
      <c r="A84" s="672"/>
      <c r="B84"/>
      <c r="C84" s="672"/>
      <c r="D84" s="1368" t="s">
        <v>437</v>
      </c>
      <c r="E84" s="1369"/>
      <c r="F84" s="1369"/>
      <c r="G84" s="1369"/>
      <c r="H84" s="1369"/>
      <c r="I84" s="1369"/>
      <c r="J84" s="1369"/>
      <c r="K84" s="1369"/>
      <c r="L84" s="1369"/>
      <c r="M84" s="1369"/>
      <c r="N84" s="1369"/>
      <c r="O84" s="1369"/>
      <c r="P84" s="1369"/>
      <c r="Q84" s="1369"/>
      <c r="R84" s="1369"/>
      <c r="S84" s="1369"/>
      <c r="T84" s="1369"/>
    </row>
    <row r="85" spans="1:41" s="740" customFormat="1" ht="13.2">
      <c r="A85" s="739">
        <v>1</v>
      </c>
      <c r="B85" s="740" t="s">
        <v>141</v>
      </c>
      <c r="D85" s="740" t="s">
        <v>680</v>
      </c>
      <c r="E85" s="749" t="s">
        <v>683</v>
      </c>
      <c r="F85" s="806" t="s">
        <v>942</v>
      </c>
      <c r="G85" s="741" t="s">
        <v>681</v>
      </c>
      <c r="H85" s="742" t="s">
        <v>560</v>
      </c>
      <c r="I85" s="740" t="s">
        <v>674</v>
      </c>
      <c r="K85" s="740" t="s">
        <v>682</v>
      </c>
      <c r="L85" s="743" t="s">
        <v>560</v>
      </c>
      <c r="O85" s="744">
        <v>2</v>
      </c>
      <c r="P85" s="745"/>
      <c r="Q85" s="746"/>
      <c r="R85" s="747">
        <f>$A85*Q85</f>
        <v>0</v>
      </c>
      <c r="S85" s="746"/>
      <c r="T85" s="748">
        <f>$A85*S85*$T$1</f>
        <v>0</v>
      </c>
    </row>
    <row r="86" spans="1:41" s="740" customFormat="1" ht="13.2">
      <c r="A86" s="739">
        <v>1</v>
      </c>
      <c r="B86" s="740" t="s">
        <v>141</v>
      </c>
      <c r="D86" s="740" t="s">
        <v>676</v>
      </c>
      <c r="E86" s="749" t="s">
        <v>683</v>
      </c>
      <c r="G86" s="741" t="s">
        <v>677</v>
      </c>
      <c r="H86" s="742" t="s">
        <v>560</v>
      </c>
      <c r="I86" s="740" t="s">
        <v>674</v>
      </c>
      <c r="K86" s="740" t="s">
        <v>678</v>
      </c>
      <c r="L86" s="743" t="s">
        <v>560</v>
      </c>
      <c r="O86" s="744">
        <v>1</v>
      </c>
      <c r="P86" s="745"/>
      <c r="Q86" s="735">
        <v>100</v>
      </c>
      <c r="R86" s="747">
        <f>$A86*Q86</f>
        <v>100</v>
      </c>
      <c r="S86" s="746"/>
      <c r="T86" s="748">
        <f>$A86*S86*$T$1</f>
        <v>0</v>
      </c>
    </row>
    <row r="87" spans="1:41" s="740" customFormat="1" ht="13.2">
      <c r="A87" s="750">
        <v>1</v>
      </c>
      <c r="B87" s="740" t="s">
        <v>141</v>
      </c>
      <c r="D87" s="740" t="s">
        <v>684</v>
      </c>
      <c r="E87" s="749" t="s">
        <v>683</v>
      </c>
      <c r="G87" s="741" t="s">
        <v>685</v>
      </c>
      <c r="H87" s="742" t="s">
        <v>560</v>
      </c>
      <c r="I87" s="740" t="s">
        <v>686</v>
      </c>
      <c r="L87" s="743" t="s">
        <v>560</v>
      </c>
      <c r="O87" s="744">
        <v>3</v>
      </c>
      <c r="P87" s="745"/>
      <c r="Q87" s="746"/>
      <c r="R87" s="747">
        <f>$A87*Q87</f>
        <v>0</v>
      </c>
      <c r="S87" s="746">
        <v>8</v>
      </c>
      <c r="T87" s="748">
        <f>$A87*S87*$T$1</f>
        <v>8</v>
      </c>
    </row>
    <row r="88" spans="1:41" s="602" customFormat="1" ht="12">
      <c r="A88" s="663"/>
      <c r="B88" s="663"/>
      <c r="C88" s="663"/>
      <c r="D88" s="663"/>
      <c r="E88" s="663"/>
      <c r="F88" s="664"/>
      <c r="G88" s="663"/>
      <c r="H88" s="663"/>
      <c r="I88" s="601"/>
      <c r="J88" s="663"/>
      <c r="K88" s="663"/>
      <c r="L88" s="709"/>
      <c r="M88" s="663"/>
      <c r="N88" s="663"/>
      <c r="O88" s="663"/>
      <c r="P88" s="663"/>
      <c r="Q88" s="601"/>
      <c r="R88" s="666">
        <f>$A88*Q88</f>
        <v>0</v>
      </c>
      <c r="S88" s="601"/>
      <c r="T88" s="681">
        <f>$A88*S88*$T$1</f>
        <v>0</v>
      </c>
    </row>
    <row r="89" spans="1:41" s="602" customFormat="1" ht="12.6" thickBot="1">
      <c r="A89" s="682" t="s">
        <v>145</v>
      </c>
      <c r="B89" s="683">
        <f>(R88+T88)</f>
        <v>0</v>
      </c>
      <c r="C89" s="684"/>
      <c r="D89" s="684"/>
      <c r="E89" s="684"/>
      <c r="F89" s="685"/>
      <c r="G89" s="684" t="s">
        <v>146</v>
      </c>
      <c r="H89" s="684"/>
      <c r="I89" s="686"/>
      <c r="J89" s="684"/>
      <c r="K89" s="728"/>
      <c r="L89" s="729" t="s">
        <v>556</v>
      </c>
      <c r="M89" s="687"/>
      <c r="N89" s="687"/>
      <c r="O89" s="687"/>
      <c r="P89" s="687"/>
      <c r="Q89" s="688"/>
      <c r="R89" s="689">
        <f>SUM(R84:R88)</f>
        <v>100</v>
      </c>
      <c r="S89" s="684"/>
      <c r="T89" s="689">
        <f>SUM(T84:T88)</f>
        <v>8</v>
      </c>
      <c r="U89" s="611"/>
      <c r="V89" s="611"/>
      <c r="W89" s="611"/>
      <c r="X89" s="611"/>
      <c r="Y89" s="611"/>
      <c r="Z89" s="611"/>
      <c r="AA89" s="611"/>
      <c r="AB89" s="611"/>
      <c r="AC89" s="611"/>
      <c r="AD89" s="611"/>
      <c r="AE89" s="611"/>
      <c r="AF89" s="611"/>
      <c r="AG89" s="611"/>
      <c r="AH89" s="611"/>
      <c r="AI89" s="611"/>
      <c r="AJ89" s="611"/>
      <c r="AK89" s="611"/>
      <c r="AL89" s="611"/>
      <c r="AM89" s="611"/>
      <c r="AN89" s="611"/>
      <c r="AO89" s="611"/>
    </row>
    <row r="90" spans="1:41" s="602" customFormat="1" ht="12" thickTop="1">
      <c r="A90" s="51" t="s">
        <v>154</v>
      </c>
      <c r="D90" s="13"/>
      <c r="E90" s="42"/>
      <c r="O90" s="698"/>
    </row>
    <row r="91" spans="1:41" s="602" customFormat="1" ht="13.2">
      <c r="B91" s="3"/>
      <c r="O91" s="698"/>
    </row>
    <row r="92" spans="1:41" s="602" customFormat="1" ht="12">
      <c r="B92" s="699">
        <f>$F92/$C$2-($R92*$S$2+$T92*$T$2)</f>
        <v>7.4952797983769415E-3</v>
      </c>
      <c r="D92" s="700" t="s">
        <v>414</v>
      </c>
      <c r="E92" s="701"/>
      <c r="F92" s="702">
        <f>SUMIF($L14:$L90,"ITEM",F14:F90)</f>
        <v>1260.78</v>
      </c>
      <c r="G92" s="663"/>
      <c r="H92" s="663"/>
      <c r="I92" s="601"/>
      <c r="J92" s="663"/>
      <c r="K92" s="663"/>
      <c r="L92" s="678" t="s">
        <v>166</v>
      </c>
      <c r="M92" s="678"/>
      <c r="N92" s="678"/>
      <c r="O92" s="678"/>
      <c r="P92" s="678"/>
      <c r="R92" s="702">
        <f>SUMIF($L14:$L90,"ITEM",R14:R90)</f>
        <v>300</v>
      </c>
      <c r="S92" s="71"/>
      <c r="T92" s="702">
        <f>SUMIF($L14:$L90,"ITEM",T14:T90)</f>
        <v>24</v>
      </c>
    </row>
    <row r="93" spans="1:41" s="602" customFormat="1" ht="13.2">
      <c r="A93" s="63"/>
      <c r="B93" s="55" t="s">
        <v>413</v>
      </c>
      <c r="C93" s="63"/>
      <c r="D93" s="3"/>
      <c r="F93" s="703" t="s">
        <v>168</v>
      </c>
      <c r="G93" s="663"/>
      <c r="H93" s="663"/>
      <c r="I93" s="601"/>
      <c r="J93" s="663"/>
      <c r="K93" s="663"/>
      <c r="L93" s="663"/>
      <c r="M93" s="663"/>
      <c r="N93" s="663"/>
      <c r="O93" s="663"/>
      <c r="P93" s="663"/>
      <c r="Q93" s="665"/>
      <c r="R93" s="703" t="s">
        <v>169</v>
      </c>
      <c r="S93" s="38"/>
      <c r="T93" s="703" t="s">
        <v>170</v>
      </c>
    </row>
    <row r="94" spans="1:41" s="602" customFormat="1" ht="13.2">
      <c r="A94" s="663"/>
      <c r="B94" s="3"/>
      <c r="C94" s="663"/>
      <c r="D94" s="3"/>
      <c r="E94" s="3"/>
      <c r="G94" s="3"/>
      <c r="H94" s="3"/>
      <c r="I94" s="3"/>
      <c r="J94" s="3"/>
      <c r="K94" s="3"/>
      <c r="L94" s="3"/>
      <c r="M94" s="3"/>
      <c r="N94" s="3"/>
      <c r="O94" s="158"/>
      <c r="P94" s="3"/>
      <c r="Q94" s="3"/>
      <c r="R94" s="3"/>
      <c r="S94" s="3"/>
      <c r="T94" s="3"/>
    </row>
    <row r="95" spans="1:41" s="602" customFormat="1" ht="12" thickBot="1">
      <c r="A95" s="611"/>
      <c r="B95" s="684"/>
      <c r="C95" s="684"/>
      <c r="D95" s="611"/>
      <c r="E95" s="39"/>
      <c r="F95" s="704"/>
      <c r="G95" s="684"/>
      <c r="H95" s="684"/>
      <c r="I95" s="686"/>
      <c r="J95" s="684"/>
      <c r="K95" s="684"/>
      <c r="L95" s="687"/>
      <c r="M95" s="687"/>
      <c r="N95" s="687"/>
      <c r="O95" s="687"/>
      <c r="P95" s="687"/>
      <c r="Q95" s="688"/>
      <c r="R95" s="704"/>
      <c r="S95" s="705"/>
      <c r="T95" s="704"/>
      <c r="U95" s="611"/>
      <c r="V95" s="611"/>
      <c r="W95" s="611"/>
      <c r="X95" s="611"/>
      <c r="Y95" s="611"/>
      <c r="Z95" s="611"/>
      <c r="AA95" s="611"/>
      <c r="AB95" s="611"/>
      <c r="AC95" s="611"/>
      <c r="AD95" s="611"/>
      <c r="AE95" s="611"/>
      <c r="AF95" s="611"/>
      <c r="AG95" s="611"/>
      <c r="AH95" s="611"/>
      <c r="AI95" s="611"/>
      <c r="AJ95" s="611"/>
      <c r="AK95" s="611"/>
    </row>
    <row r="96" spans="1:41" s="602" customFormat="1" thickTop="1">
      <c r="A96" s="63"/>
      <c r="B96" s="63"/>
      <c r="C96" s="3"/>
      <c r="D96" s="3"/>
      <c r="E96" s="63"/>
      <c r="F96" s="63"/>
      <c r="G96" s="63"/>
      <c r="H96" s="63"/>
      <c r="I96" s="63"/>
      <c r="J96" s="63"/>
      <c r="K96" s="63" t="s">
        <v>134</v>
      </c>
      <c r="L96" s="63"/>
      <c r="M96" s="63"/>
      <c r="N96" s="63"/>
      <c r="O96" s="64"/>
      <c r="P96" s="63"/>
      <c r="Q96" s="63"/>
      <c r="R96" s="63"/>
      <c r="S96" s="63"/>
      <c r="T96" s="63"/>
    </row>
    <row r="97" spans="1:41" s="602" customFormat="1" ht="12">
      <c r="A97" s="63"/>
      <c r="B97" s="63"/>
      <c r="C97" s="63" t="s">
        <v>135</v>
      </c>
      <c r="D97" s="37"/>
      <c r="E97" s="63"/>
      <c r="F97" s="63"/>
      <c r="G97" s="63"/>
      <c r="H97" s="63"/>
      <c r="I97" s="63"/>
      <c r="J97" s="63"/>
      <c r="K97" s="63"/>
      <c r="L97" s="63"/>
      <c r="M97" s="63"/>
      <c r="N97" s="63"/>
      <c r="O97" s="64"/>
      <c r="P97" s="63"/>
      <c r="Q97" s="63"/>
      <c r="R97" s="63"/>
      <c r="S97" s="63"/>
      <c r="T97" s="63"/>
    </row>
    <row r="98" spans="1:41" s="602" customFormat="1" ht="12">
      <c r="A98" s="63"/>
      <c r="B98" s="63"/>
      <c r="C98" s="63"/>
      <c r="D98" s="37" t="s">
        <v>438</v>
      </c>
      <c r="E98" s="63"/>
      <c r="F98" s="63"/>
      <c r="G98" s="63"/>
      <c r="H98" s="63"/>
      <c r="I98" s="63"/>
      <c r="J98" s="63"/>
      <c r="K98" s="63"/>
      <c r="L98" s="63"/>
      <c r="M98" s="63"/>
      <c r="N98" s="63"/>
      <c r="O98" s="64"/>
      <c r="P98" s="63"/>
      <c r="Q98" s="63"/>
      <c r="R98" s="63"/>
      <c r="S98" s="38"/>
      <c r="T98" s="38"/>
    </row>
    <row r="99" spans="1:41" s="3" customFormat="1" thickBot="1">
      <c r="A99" s="611"/>
      <c r="O99" s="158"/>
    </row>
    <row r="100" spans="1:41" s="602" customFormat="1" thickTop="1">
      <c r="A100" s="63"/>
      <c r="B100" s="63"/>
      <c r="C100" s="3"/>
      <c r="D100" s="3"/>
      <c r="E100" s="63"/>
      <c r="F100" s="63"/>
      <c r="G100" s="63"/>
      <c r="H100" s="63"/>
      <c r="I100" s="63"/>
      <c r="J100" s="63"/>
      <c r="K100" s="63" t="s">
        <v>134</v>
      </c>
      <c r="L100" s="63"/>
      <c r="M100" s="63"/>
      <c r="N100" s="63"/>
      <c r="O100" s="64"/>
      <c r="P100" s="63"/>
      <c r="Q100" s="63"/>
      <c r="R100" s="63"/>
      <c r="S100" s="63"/>
      <c r="T100" s="63"/>
    </row>
    <row r="101" spans="1:41" s="602" customFormat="1" ht="12">
      <c r="A101" s="63"/>
      <c r="B101" s="63"/>
      <c r="C101" s="63" t="s">
        <v>135</v>
      </c>
      <c r="D101" s="37"/>
      <c r="E101" s="63"/>
      <c r="F101" s="63"/>
      <c r="G101" s="63"/>
      <c r="H101" s="63"/>
      <c r="I101" s="63"/>
      <c r="J101" s="63"/>
      <c r="K101" s="63"/>
      <c r="L101" s="63"/>
      <c r="M101" s="63"/>
      <c r="N101" s="63"/>
      <c r="O101" s="64"/>
      <c r="P101" s="63"/>
      <c r="Q101" s="63"/>
      <c r="R101" s="63"/>
      <c r="S101" s="63"/>
      <c r="T101" s="63"/>
    </row>
    <row r="102" spans="1:41" s="602" customFormat="1" ht="12">
      <c r="A102" s="63"/>
      <c r="B102" s="63"/>
      <c r="C102" s="63"/>
      <c r="D102" s="37" t="s">
        <v>317</v>
      </c>
      <c r="E102" s="63"/>
      <c r="F102" s="63"/>
      <c r="G102" s="63"/>
      <c r="H102" s="63"/>
      <c r="I102" s="63"/>
      <c r="J102" s="63"/>
      <c r="K102" s="63"/>
      <c r="L102" s="63"/>
      <c r="M102" s="63"/>
      <c r="N102" s="63"/>
      <c r="O102" s="64"/>
      <c r="P102" s="63"/>
      <c r="Q102" s="63"/>
      <c r="R102" s="63"/>
      <c r="S102" s="38"/>
      <c r="T102" s="38"/>
    </row>
    <row r="103" spans="1:41" s="3" customFormat="1" thickBot="1">
      <c r="A103" s="611"/>
      <c r="O103" s="158"/>
    </row>
    <row r="104" spans="1:41" s="602" customFormat="1" thickTop="1">
      <c r="A104" s="63"/>
      <c r="B104" s="63"/>
      <c r="C104" s="3"/>
      <c r="D104" s="3"/>
      <c r="E104" s="63"/>
      <c r="F104" s="63"/>
      <c r="G104" s="63"/>
      <c r="H104" s="63"/>
      <c r="I104" s="63"/>
      <c r="J104" s="63"/>
      <c r="K104" s="63" t="s">
        <v>134</v>
      </c>
      <c r="L104" s="63"/>
      <c r="M104" s="63"/>
      <c r="N104" s="63"/>
      <c r="O104" s="64"/>
      <c r="P104" s="63"/>
      <c r="Q104" s="63"/>
      <c r="R104" s="63"/>
      <c r="S104" s="63"/>
      <c r="T104" s="63"/>
    </row>
    <row r="105" spans="1:41" s="602" customFormat="1" ht="12">
      <c r="A105" s="63"/>
      <c r="B105" s="63"/>
      <c r="C105" s="63" t="s">
        <v>135</v>
      </c>
      <c r="D105" s="37" t="s">
        <v>439</v>
      </c>
      <c r="E105" s="63"/>
      <c r="F105" s="63"/>
      <c r="G105" s="63"/>
      <c r="H105" s="63"/>
      <c r="I105" s="63"/>
      <c r="J105" s="63"/>
      <c r="K105" s="63"/>
      <c r="L105" s="63"/>
      <c r="M105" s="63"/>
      <c r="N105" s="63"/>
      <c r="O105" s="64"/>
      <c r="P105" s="63"/>
      <c r="Q105" s="63"/>
      <c r="R105" s="63"/>
      <c r="S105" s="63"/>
      <c r="T105" s="63"/>
    </row>
    <row r="106" spans="1:41" s="602" customFormat="1" ht="12">
      <c r="A106" s="63"/>
      <c r="B106" s="63"/>
      <c r="C106" s="63"/>
      <c r="D106" s="37" t="s">
        <v>318</v>
      </c>
      <c r="E106" s="63"/>
      <c r="F106" s="63"/>
      <c r="G106" s="63"/>
      <c r="H106" s="63"/>
      <c r="I106" s="63"/>
      <c r="J106" s="63"/>
      <c r="K106" s="63"/>
      <c r="L106" s="63"/>
      <c r="M106" s="63"/>
      <c r="N106" s="63"/>
      <c r="O106" s="64"/>
      <c r="P106" s="63"/>
      <c r="Q106" s="63"/>
      <c r="R106" s="63"/>
      <c r="S106" s="38"/>
      <c r="T106" s="38"/>
    </row>
    <row r="107" spans="1:41" s="3" customFormat="1" thickBot="1">
      <c r="A107" s="611"/>
      <c r="O107" s="158"/>
    </row>
    <row r="108" spans="1:41" s="602" customFormat="1" ht="12" thickTop="1">
      <c r="A108" s="63"/>
      <c r="B108" s="41"/>
      <c r="C108" s="63"/>
      <c r="E108" s="42" t="s">
        <v>138</v>
      </c>
      <c r="F108" s="42" t="s">
        <v>139</v>
      </c>
      <c r="G108" s="63"/>
      <c r="H108" s="63"/>
      <c r="I108" s="63"/>
      <c r="J108" s="63"/>
      <c r="K108" s="63" t="s">
        <v>140</v>
      </c>
      <c r="L108" s="63"/>
      <c r="M108" s="63"/>
      <c r="N108" s="63"/>
      <c r="O108" s="64"/>
      <c r="P108" s="63"/>
      <c r="Q108" s="63"/>
      <c r="R108" s="63"/>
      <c r="S108" s="63"/>
      <c r="T108" s="41"/>
      <c r="AG108" s="667" t="s">
        <v>278</v>
      </c>
      <c r="AH108" s="667" t="s">
        <v>279</v>
      </c>
      <c r="AI108" s="667" t="s">
        <v>280</v>
      </c>
      <c r="AJ108" s="667" t="s">
        <v>281</v>
      </c>
      <c r="AK108" s="667" t="s">
        <v>282</v>
      </c>
      <c r="AM108" s="668" t="s">
        <v>291</v>
      </c>
      <c r="AN108" s="669" t="s">
        <v>292</v>
      </c>
      <c r="AO108" s="603" t="s">
        <v>288</v>
      </c>
    </row>
    <row r="109" spans="1:41" s="602" customFormat="1" ht="12" customHeight="1">
      <c r="A109" s="670">
        <v>1</v>
      </c>
      <c r="B109" s="671" t="s">
        <v>320</v>
      </c>
      <c r="C109" s="672"/>
      <c r="D109" s="673" t="s">
        <v>440</v>
      </c>
      <c r="E109" s="674">
        <f>IF(AND($A109=0,$A$1="DIF"),0, ROUND(ROUND(($R114*$S$2+($T114*$T$2))/A109,2)*$C$2,2))</f>
        <v>801.7</v>
      </c>
      <c r="F109" s="675">
        <f>ROUND($A109*$E109,2)</f>
        <v>801.7</v>
      </c>
      <c r="G109" s="676" t="s">
        <v>142</v>
      </c>
      <c r="H109" s="664"/>
      <c r="I109" s="677"/>
      <c r="J109" s="664"/>
      <c r="K109" s="664" t="s">
        <v>3</v>
      </c>
      <c r="L109" s="678" t="s">
        <v>143</v>
      </c>
      <c r="M109" s="678"/>
      <c r="N109" s="678"/>
      <c r="O109" s="678"/>
      <c r="P109" s="678"/>
      <c r="Q109" s="63"/>
      <c r="T109" s="679" t="str">
        <f>IF(AND($R114=0,$T114=0),"0.00","mu :" &amp; ROUND($F109/$C$2/($R114+$T114*$D$9),2))</f>
        <v>mu :1.35</v>
      </c>
      <c r="W109" s="604"/>
      <c r="AG109" s="549">
        <f>IF($E109=0,0,ROUND($R114*$S$2*$C$2/$A109,2))</f>
        <v>657.31</v>
      </c>
      <c r="AH109" s="549">
        <f>$AG109*$A109</f>
        <v>657.31</v>
      </c>
      <c r="AI109" s="605">
        <f>$E109-$AG109</f>
        <v>144.3900000000001</v>
      </c>
      <c r="AJ109" s="605">
        <f>$A109*$AI109</f>
        <v>144.3900000000001</v>
      </c>
      <c r="AK109" s="606">
        <f>ROUND(($AG109+$AI109)*$A109,2)</f>
        <v>801.7</v>
      </c>
      <c r="AM109" s="607">
        <f>ROUND(R114,2)</f>
        <v>500</v>
      </c>
      <c r="AN109" s="608">
        <f>ROUND(T114,2)</f>
        <v>4</v>
      </c>
      <c r="AO109" s="609">
        <f>ROUND(AM109+AN109,2)*A109</f>
        <v>504</v>
      </c>
    </row>
    <row r="110" spans="1:41" s="602" customFormat="1" ht="13.2">
      <c r="A110" s="672"/>
      <c r="B110"/>
      <c r="C110" s="672"/>
      <c r="D110" s="673" t="s">
        <v>319</v>
      </c>
      <c r="F110" s="664"/>
      <c r="G110" s="3"/>
      <c r="H110" s="664"/>
      <c r="I110" s="677"/>
      <c r="J110" s="664"/>
      <c r="K110" s="664" t="s">
        <v>144</v>
      </c>
      <c r="L110" s="664"/>
      <c r="M110" s="664"/>
      <c r="N110" s="664"/>
      <c r="O110" s="664"/>
      <c r="P110" s="664"/>
      <c r="Q110" s="63"/>
      <c r="R110" s="610"/>
      <c r="S110" s="680"/>
      <c r="T110" s="664"/>
    </row>
    <row r="111" spans="1:41" s="730" customFormat="1" ht="13.2">
      <c r="A111">
        <v>1</v>
      </c>
      <c r="B111" s="730" t="s">
        <v>141</v>
      </c>
      <c r="D111" s="730" t="s">
        <v>680</v>
      </c>
      <c r="E111" s="730" t="s">
        <v>675</v>
      </c>
      <c r="F111" s="806" t="s">
        <v>689</v>
      </c>
      <c r="G111" s="731" t="s">
        <v>681</v>
      </c>
      <c r="H111" s="732">
        <v>510</v>
      </c>
      <c r="I111" s="730" t="s">
        <v>674</v>
      </c>
      <c r="K111" s="730" t="s">
        <v>682</v>
      </c>
      <c r="O111" s="733">
        <v>2</v>
      </c>
      <c r="P111" s="734"/>
      <c r="Q111" s="735"/>
      <c r="R111" s="736">
        <f>$A111*Q111</f>
        <v>0</v>
      </c>
      <c r="S111" s="735">
        <f>4</f>
        <v>4</v>
      </c>
      <c r="T111" s="737">
        <f>$A111*S111*$T$1</f>
        <v>4</v>
      </c>
    </row>
    <row r="112" spans="1:41" s="730" customFormat="1" ht="13.2">
      <c r="A112">
        <v>1</v>
      </c>
      <c r="B112" s="730" t="s">
        <v>312</v>
      </c>
      <c r="D112" s="730" t="s">
        <v>690</v>
      </c>
      <c r="G112" s="731" t="s">
        <v>691</v>
      </c>
      <c r="H112" s="732">
        <v>962</v>
      </c>
      <c r="I112" s="730" t="s">
        <v>686</v>
      </c>
      <c r="O112" s="733">
        <v>2</v>
      </c>
      <c r="P112" s="734">
        <v>38129</v>
      </c>
      <c r="Q112" s="735">
        <v>500</v>
      </c>
      <c r="R112" s="736">
        <f>$A112*Q112</f>
        <v>500</v>
      </c>
      <c r="S112" s="735"/>
      <c r="T112" s="737">
        <f>$A112*S112*$T$1</f>
        <v>0</v>
      </c>
    </row>
    <row r="113" spans="1:41" s="602" customFormat="1" ht="12">
      <c r="A113" s="802"/>
      <c r="B113" s="663"/>
      <c r="C113" s="663"/>
      <c r="D113" s="663"/>
      <c r="E113" s="663"/>
      <c r="F113" s="664"/>
      <c r="G113" s="663"/>
      <c r="H113" s="663"/>
      <c r="I113" s="601"/>
      <c r="J113" s="663"/>
      <c r="K113" s="663"/>
      <c r="L113" s="663"/>
      <c r="M113" s="663"/>
      <c r="N113" s="663"/>
      <c r="O113" s="663"/>
      <c r="P113" s="663"/>
      <c r="Q113" s="601"/>
      <c r="R113" s="666">
        <f>$A113*Q113</f>
        <v>0</v>
      </c>
      <c r="S113" s="601"/>
      <c r="T113" s="681">
        <f>$A113*S113*$T$1</f>
        <v>0</v>
      </c>
    </row>
    <row r="114" spans="1:41" s="602" customFormat="1" ht="12.6" thickBot="1">
      <c r="A114" s="682" t="s">
        <v>145</v>
      </c>
      <c r="B114" s="683">
        <f>(R113+T113)</f>
        <v>0</v>
      </c>
      <c r="C114" s="684"/>
      <c r="D114" s="684"/>
      <c r="E114" s="684"/>
      <c r="F114" s="685"/>
      <c r="G114" s="684" t="s">
        <v>146</v>
      </c>
      <c r="H114" s="684"/>
      <c r="I114" s="686"/>
      <c r="J114" s="684"/>
      <c r="K114" s="684" t="s">
        <v>3</v>
      </c>
      <c r="L114" s="687" t="s">
        <v>143</v>
      </c>
      <c r="M114" s="687"/>
      <c r="N114" s="687"/>
      <c r="O114" s="687"/>
      <c r="P114" s="687"/>
      <c r="Q114" s="688"/>
      <c r="R114" s="689">
        <f>SUM(R110:R113)</f>
        <v>500</v>
      </c>
      <c r="S114" s="684"/>
      <c r="T114" s="689">
        <f>SUM(T110:T113)</f>
        <v>4</v>
      </c>
      <c r="U114" s="611"/>
      <c r="V114" s="611"/>
      <c r="W114" s="611"/>
      <c r="X114" s="611"/>
      <c r="Y114" s="611"/>
      <c r="Z114" s="611"/>
      <c r="AA114" s="611"/>
      <c r="AB114" s="611"/>
      <c r="AC114" s="611"/>
      <c r="AD114" s="611"/>
      <c r="AE114" s="611"/>
      <c r="AF114" s="611"/>
      <c r="AG114" s="611"/>
      <c r="AH114" s="611"/>
      <c r="AI114" s="611"/>
      <c r="AJ114" s="611"/>
      <c r="AK114" s="611"/>
      <c r="AL114" s="611"/>
      <c r="AM114" s="611"/>
      <c r="AN114" s="611"/>
      <c r="AO114" s="611"/>
    </row>
    <row r="115" spans="1:41" s="602" customFormat="1" thickTop="1">
      <c r="A115" s="63"/>
      <c r="B115" s="41"/>
      <c r="C115" s="63"/>
      <c r="E115" s="42" t="s">
        <v>138</v>
      </c>
      <c r="F115" s="42" t="s">
        <v>139</v>
      </c>
      <c r="G115" s="63"/>
      <c r="H115" s="63"/>
      <c r="I115" s="63"/>
      <c r="J115" s="63"/>
      <c r="K115" s="63" t="s">
        <v>140</v>
      </c>
      <c r="L115" s="751"/>
      <c r="M115" s="63"/>
      <c r="N115" s="63"/>
      <c r="O115" s="64"/>
      <c r="P115" s="63"/>
      <c r="Q115"/>
      <c r="R115"/>
      <c r="S115"/>
      <c r="T115" s="41"/>
      <c r="AG115" s="667" t="s">
        <v>278</v>
      </c>
      <c r="AH115" s="667" t="s">
        <v>279</v>
      </c>
      <c r="AI115" s="667" t="s">
        <v>280</v>
      </c>
      <c r="AJ115" s="667" t="s">
        <v>281</v>
      </c>
      <c r="AK115" s="667" t="s">
        <v>282</v>
      </c>
      <c r="AM115" s="668" t="s">
        <v>291</v>
      </c>
      <c r="AN115" s="669" t="s">
        <v>292</v>
      </c>
      <c r="AO115" s="603" t="s">
        <v>288</v>
      </c>
    </row>
    <row r="116" spans="1:41" s="602" customFormat="1" ht="13.2">
      <c r="A116" s="670">
        <v>1</v>
      </c>
      <c r="B116" s="671" t="s">
        <v>320</v>
      </c>
      <c r="C116" s="672"/>
      <c r="D116" s="673" t="s">
        <v>441</v>
      </c>
      <c r="E116" s="752">
        <f>IF(AND($A116=0,$A$1="DIF"),0,ROUND(ROUND(SUMIF($L118:$L128,"SUBI",$E118:$E128)/$A116,2)*$C$12,2))</f>
        <v>8535.82</v>
      </c>
      <c r="F116" s="753">
        <f>ROUND($A116*$E116,2)</f>
        <v>8535.82</v>
      </c>
      <c r="G116" s="676" t="s">
        <v>142</v>
      </c>
      <c r="H116" s="664"/>
      <c r="I116" s="677"/>
      <c r="J116" s="664"/>
      <c r="K116" s="754"/>
      <c r="L116" s="709" t="s">
        <v>143</v>
      </c>
      <c r="M116" s="678"/>
      <c r="N116" s="678"/>
      <c r="O116" s="678"/>
      <c r="P116" s="678"/>
      <c r="Q116"/>
      <c r="R116"/>
      <c r="S116"/>
      <c r="T116" s="755" t="str">
        <f>IF(AND($R134=0,$T134=0),"0.00","mu :" &amp; ROUND($F116/$C$12/($R134+$T134*$D$9),2))</f>
        <v>mu :1.38</v>
      </c>
      <c r="W116" s="604"/>
      <c r="AG116" s="756">
        <f>IF(A116=0,0,ROUND(SUM(AG118:AG134)/A116,2))</f>
        <v>7486.91</v>
      </c>
      <c r="AH116" s="756">
        <f>$AG116*$A116</f>
        <v>7486.91</v>
      </c>
      <c r="AI116" s="756">
        <f>$E116-$AG116</f>
        <v>1048.9099999999999</v>
      </c>
      <c r="AJ116" s="756">
        <f>$A116*$AI116</f>
        <v>1048.9099999999999</v>
      </c>
      <c r="AK116" s="757">
        <f>ROUND(($AG116+$AI116)*$A116,2)</f>
        <v>8535.82</v>
      </c>
      <c r="AM116" s="607">
        <f>ROUND(R134,2)</f>
        <v>5545.86</v>
      </c>
      <c r="AN116" s="608">
        <f>ROUND(T134,2)</f>
        <v>30</v>
      </c>
      <c r="AO116" s="609">
        <f>ROUND(AM116+AN116,2)*A116</f>
        <v>5575.86</v>
      </c>
    </row>
    <row r="117" spans="1:41" s="602" customFormat="1" ht="21.6" customHeight="1">
      <c r="A117" s="672"/>
      <c r="B117"/>
      <c r="C117" s="672"/>
      <c r="D117" s="673" t="s">
        <v>321</v>
      </c>
      <c r="F117" s="664"/>
      <c r="G117" s="664"/>
      <c r="H117" s="664"/>
      <c r="I117" s="677"/>
      <c r="J117" s="664"/>
      <c r="K117" s="664" t="s">
        <v>144</v>
      </c>
      <c r="L117" s="712"/>
      <c r="M117" s="664"/>
      <c r="N117" s="664"/>
      <c r="O117" s="664"/>
      <c r="P117" s="664"/>
      <c r="Q117" s="63"/>
      <c r="R117" s="610"/>
      <c r="S117" s="680"/>
      <c r="T117" s="664"/>
    </row>
    <row r="118" spans="1:41" s="602" customFormat="1" ht="12">
      <c r="A118" s="870"/>
      <c r="B118" s="871"/>
      <c r="C118" s="663"/>
      <c r="D118" s="781"/>
      <c r="E118" s="872">
        <f>F116/$C$12-SUMIF($L115:$L134,"SUBI",$E115:$E134)</f>
        <v>-4.6426504140981706E-3</v>
      </c>
      <c r="F118" s="873" t="s">
        <v>687</v>
      </c>
      <c r="G118" s="762"/>
      <c r="H118" s="762"/>
      <c r="I118" s="763"/>
      <c r="J118" s="762"/>
      <c r="K118" s="762"/>
      <c r="L118" s="764"/>
      <c r="M118" s="765"/>
      <c r="N118" s="765"/>
      <c r="O118" s="765"/>
      <c r="P118" s="765"/>
      <c r="Q118" s="766"/>
      <c r="R118" s="767"/>
      <c r="S118" s="766"/>
      <c r="T118" s="768"/>
    </row>
    <row r="119" spans="1:41" s="602" customFormat="1" ht="12" customHeight="1">
      <c r="A119" s="769"/>
      <c r="B119" s="770"/>
      <c r="C119" s="771"/>
      <c r="D119" s="771" t="str">
        <f>$F$2</f>
        <v>Electrical</v>
      </c>
      <c r="E119" s="771">
        <f>ROUND(($R123*$S$2 + ($T123*$T$2)), 2)</f>
        <v>74.14</v>
      </c>
      <c r="F119" s="772">
        <f>$E119*$C$12</f>
        <v>72.196956264607351</v>
      </c>
      <c r="G119" s="610"/>
      <c r="H119" s="773"/>
      <c r="I119" s="610"/>
      <c r="J119" s="64"/>
      <c r="K119" s="774" t="s">
        <v>3</v>
      </c>
      <c r="L119" s="775" t="s">
        <v>688</v>
      </c>
      <c r="M119" s="610"/>
      <c r="N119" s="610"/>
      <c r="O119" s="64"/>
      <c r="P119" s="610"/>
      <c r="Q119" s="610"/>
      <c r="R119"/>
      <c r="S119"/>
      <c r="T119"/>
    </row>
    <row r="120" spans="1:41" s="730" customFormat="1" ht="13.2">
      <c r="A120">
        <v>1</v>
      </c>
      <c r="B120" s="730" t="s">
        <v>141</v>
      </c>
      <c r="D120" s="730" t="s">
        <v>932</v>
      </c>
      <c r="E120" s="730" t="s">
        <v>934</v>
      </c>
      <c r="G120" s="731" t="s">
        <v>933</v>
      </c>
      <c r="H120" s="732">
        <v>570</v>
      </c>
      <c r="I120" s="730" t="s">
        <v>674</v>
      </c>
      <c r="O120" s="733">
        <v>2</v>
      </c>
      <c r="P120" s="734"/>
      <c r="Q120" s="735"/>
      <c r="R120" s="736">
        <f>$A120*Q120</f>
        <v>0</v>
      </c>
      <c r="S120" s="735">
        <v>2</v>
      </c>
      <c r="T120" s="737">
        <f>$A120*S120*$T$1</f>
        <v>2</v>
      </c>
    </row>
    <row r="121" spans="1:41" s="602" customFormat="1" ht="14.4" customHeight="1">
      <c r="A121" s="70"/>
      <c r="B121" s="610"/>
      <c r="C121" s="610"/>
      <c r="D121" s="610"/>
      <c r="E121" s="610"/>
      <c r="F121" s="610"/>
      <c r="G121" s="610"/>
      <c r="H121" s="773"/>
      <c r="I121" s="610"/>
      <c r="J121" s="64"/>
      <c r="K121" s="776"/>
      <c r="L121" s="777"/>
      <c r="M121" s="610"/>
      <c r="N121" s="610"/>
      <c r="O121" s="64"/>
      <c r="P121" s="610"/>
      <c r="Q121" s="610"/>
      <c r="R121" s="725">
        <f>$A121*Q121</f>
        <v>0</v>
      </c>
      <c r="S121" s="610"/>
      <c r="T121" s="681">
        <f>$A121*S121*$T$1</f>
        <v>0</v>
      </c>
    </row>
    <row r="122" spans="1:41" s="602" customFormat="1" ht="14.4" customHeight="1">
      <c r="A122" s="70"/>
      <c r="B122" s="610"/>
      <c r="C122" s="610"/>
      <c r="D122" s="610"/>
      <c r="E122" s="610"/>
      <c r="F122" s="610"/>
      <c r="G122" s="610"/>
      <c r="H122" s="773"/>
      <c r="I122" s="610"/>
      <c r="J122" s="64"/>
      <c r="K122" s="776"/>
      <c r="L122" s="777"/>
      <c r="M122" s="610"/>
      <c r="N122" s="610"/>
      <c r="O122" s="64"/>
      <c r="P122" s="610"/>
      <c r="Q122" s="610"/>
      <c r="R122" s="725">
        <f>$A122*Q122</f>
        <v>0</v>
      </c>
      <c r="S122" s="610"/>
      <c r="T122" s="681">
        <f>$A122*S122*$T$1</f>
        <v>0</v>
      </c>
    </row>
    <row r="123" spans="1:41" s="602" customFormat="1" ht="12">
      <c r="A123" s="792" t="s">
        <v>145</v>
      </c>
      <c r="B123" s="793">
        <f>(R122+T122)</f>
        <v>0</v>
      </c>
      <c r="C123" s="762"/>
      <c r="G123" s="780"/>
      <c r="H123" s="780"/>
      <c r="I123" s="780"/>
      <c r="J123" s="780"/>
      <c r="K123" s="781" t="s">
        <v>3</v>
      </c>
      <c r="L123" s="782" t="s">
        <v>688</v>
      </c>
      <c r="M123" s="780"/>
      <c r="N123" s="780"/>
      <c r="O123" s="780"/>
      <c r="P123" s="780"/>
      <c r="Q123" s="783"/>
      <c r="R123" s="784">
        <f>SUM(R119:R122)</f>
        <v>0</v>
      </c>
      <c r="S123" s="785"/>
      <c r="T123" s="784">
        <f>SUM(T119:T122)</f>
        <v>2</v>
      </c>
      <c r="AG123" s="786">
        <f>ROUND($R123*$S$2,2)</f>
        <v>0</v>
      </c>
    </row>
    <row r="124" spans="1:41" s="602" customFormat="1" ht="12" customHeight="1">
      <c r="A124" s="769"/>
      <c r="B124" s="874"/>
      <c r="C124" s="875"/>
      <c r="D124" s="876" t="str">
        <f>$F$3</f>
        <v>ECA (Technician)</v>
      </c>
      <c r="E124" s="876">
        <f>ROUND(($R127*$S$3 + ($T127*$T$3)), 2)</f>
        <v>8124.41</v>
      </c>
      <c r="F124" s="877">
        <f>$E124*$C$12</f>
        <v>7911.4873677601636</v>
      </c>
      <c r="G124" s="601"/>
      <c r="H124" s="601"/>
      <c r="I124" s="601"/>
      <c r="J124" s="601"/>
      <c r="K124" s="774" t="s">
        <v>5</v>
      </c>
      <c r="L124" s="775" t="s">
        <v>688</v>
      </c>
      <c r="M124" s="601"/>
      <c r="N124" s="601"/>
      <c r="O124" s="601"/>
      <c r="P124" s="601"/>
      <c r="Q124" s="601"/>
      <c r="R124" s="791"/>
      <c r="S124" s="601"/>
      <c r="T124" s="791"/>
    </row>
    <row r="125" spans="1:41" s="730" customFormat="1" ht="13.2">
      <c r="A125">
        <v>1</v>
      </c>
      <c r="B125" s="730" t="s">
        <v>141</v>
      </c>
      <c r="D125" s="730" t="s">
        <v>932</v>
      </c>
      <c r="E125" s="730" t="s">
        <v>1077</v>
      </c>
      <c r="F125" s="730" t="s">
        <v>1073</v>
      </c>
      <c r="G125" s="731" t="s">
        <v>933</v>
      </c>
      <c r="H125" s="732">
        <v>570</v>
      </c>
      <c r="I125" s="730" t="s">
        <v>674</v>
      </c>
      <c r="O125" s="733">
        <v>2</v>
      </c>
      <c r="P125" s="734"/>
      <c r="Q125" s="735">
        <v>5545.86</v>
      </c>
      <c r="R125" s="736">
        <f>$A125*Q125</f>
        <v>5545.86</v>
      </c>
      <c r="S125" s="735">
        <v>14</v>
      </c>
      <c r="T125" s="737">
        <f>$A125*S125*$T$1</f>
        <v>14</v>
      </c>
    </row>
    <row r="126" spans="1:41" s="602" customFormat="1" ht="15.6" customHeight="1">
      <c r="A126" s="70"/>
      <c r="B126" s="610"/>
      <c r="C126" s="610"/>
      <c r="D126" s="3"/>
      <c r="E126" s="610"/>
      <c r="F126" s="610"/>
      <c r="G126" s="610"/>
      <c r="H126" s="610"/>
      <c r="I126" s="610"/>
      <c r="J126" s="610"/>
      <c r="K126" s="610"/>
      <c r="L126" s="777"/>
      <c r="M126" s="610"/>
      <c r="N126" s="610"/>
      <c r="O126" s="610"/>
      <c r="P126" s="610"/>
      <c r="Q126" s="610"/>
      <c r="R126" s="725">
        <f>$A126*Q126</f>
        <v>0</v>
      </c>
      <c r="S126" s="610"/>
      <c r="T126" s="681">
        <f>$A126*S126*$T$1</f>
        <v>0</v>
      </c>
    </row>
    <row r="127" spans="1:41" s="602" customFormat="1" ht="12">
      <c r="A127" s="792" t="s">
        <v>145</v>
      </c>
      <c r="B127" s="793">
        <f>(R126+T126)</f>
        <v>0</v>
      </c>
      <c r="C127" s="762"/>
      <c r="G127" s="780"/>
      <c r="H127" s="780"/>
      <c r="I127" s="780"/>
      <c r="J127" s="780"/>
      <c r="K127" s="795" t="s">
        <v>5</v>
      </c>
      <c r="L127" s="782" t="s">
        <v>688</v>
      </c>
      <c r="M127" s="780"/>
      <c r="N127" s="780"/>
      <c r="O127" s="780"/>
      <c r="P127" s="780"/>
      <c r="Q127" s="783"/>
      <c r="R127" s="784">
        <f>SUM(R124:R126)</f>
        <v>5545.86</v>
      </c>
      <c r="S127" s="785"/>
      <c r="T127" s="784">
        <f>SUM(T124:T126)</f>
        <v>14</v>
      </c>
      <c r="AG127" s="797">
        <f>ROUND($R127*$S$3,2)</f>
        <v>7486.91</v>
      </c>
    </row>
    <row r="128" spans="1:41" s="602" customFormat="1" ht="12" customHeight="1">
      <c r="A128" s="787"/>
      <c r="B128" s="878"/>
      <c r="C128" s="879"/>
      <c r="D128" s="880" t="str">
        <f>$F$4</f>
        <v>ECA (Engineer)</v>
      </c>
      <c r="E128" s="880">
        <f>ROUND(($R132*$S$4 + ($T132*$T$4)), 2)</f>
        <v>567</v>
      </c>
      <c r="F128" s="881">
        <f ca="1">$F116-SUMIF($L118:$P125,"SUBI",$F118:$F125)</f>
        <v>552.13567597522888</v>
      </c>
      <c r="G128" s="601"/>
      <c r="H128" s="601"/>
      <c r="I128" s="601"/>
      <c r="J128" s="601"/>
      <c r="K128" s="882" t="s">
        <v>8</v>
      </c>
      <c r="L128" s="775" t="s">
        <v>688</v>
      </c>
      <c r="M128" s="601"/>
      <c r="N128" s="601"/>
      <c r="O128" s="601"/>
      <c r="P128" s="601"/>
      <c r="Q128" s="601"/>
      <c r="R128" s="791"/>
      <c r="S128" s="601"/>
      <c r="T128" s="791"/>
    </row>
    <row r="129" spans="1:41" s="730" customFormat="1" ht="13.2">
      <c r="A129">
        <v>1</v>
      </c>
      <c r="B129" s="730" t="s">
        <v>141</v>
      </c>
      <c r="D129" s="730" t="s">
        <v>932</v>
      </c>
      <c r="E129" s="730" t="s">
        <v>1076</v>
      </c>
      <c r="F129" s="730" t="s">
        <v>1073</v>
      </c>
      <c r="G129" s="731" t="s">
        <v>933</v>
      </c>
      <c r="H129" s="732">
        <v>570</v>
      </c>
      <c r="I129" s="730" t="s">
        <v>674</v>
      </c>
      <c r="O129" s="733">
        <v>2</v>
      </c>
      <c r="P129" s="734"/>
      <c r="Q129" s="735"/>
      <c r="R129" s="736">
        <f>$A129*Q129</f>
        <v>0</v>
      </c>
      <c r="S129" s="735">
        <v>14</v>
      </c>
      <c r="T129" s="737">
        <f>$A129*S129*$T$1</f>
        <v>14</v>
      </c>
    </row>
    <row r="130" spans="1:41" s="602" customFormat="1" ht="12">
      <c r="A130" s="63"/>
      <c r="B130" s="663"/>
      <c r="C130" s="663"/>
      <c r="D130" s="883"/>
      <c r="E130" s="800"/>
      <c r="F130" s="601"/>
      <c r="G130" s="601"/>
      <c r="H130" s="601"/>
      <c r="I130" s="601"/>
      <c r="J130" s="601"/>
      <c r="K130" s="601"/>
      <c r="L130" s="884"/>
      <c r="M130" s="601"/>
      <c r="N130" s="601"/>
      <c r="O130" s="601"/>
      <c r="P130" s="601"/>
      <c r="Q130" s="601"/>
      <c r="R130" s="666">
        <f>$A130*Q130</f>
        <v>0</v>
      </c>
      <c r="S130" s="601"/>
      <c r="T130" s="681">
        <f>$A130*S130*$T$1</f>
        <v>0</v>
      </c>
    </row>
    <row r="131" spans="1:41" s="602" customFormat="1" ht="12">
      <c r="A131" s="63"/>
      <c r="B131" s="663"/>
      <c r="C131" s="663"/>
      <c r="D131" s="883"/>
      <c r="E131" s="800"/>
      <c r="F131" s="601"/>
      <c r="G131" s="601"/>
      <c r="H131" s="601"/>
      <c r="I131" s="601"/>
      <c r="J131" s="601"/>
      <c r="K131" s="601"/>
      <c r="L131" s="884"/>
      <c r="M131" s="601"/>
      <c r="N131" s="601"/>
      <c r="O131" s="601"/>
      <c r="P131" s="601"/>
      <c r="Q131" s="601"/>
      <c r="R131" s="666">
        <f>$A131*Q131</f>
        <v>0</v>
      </c>
      <c r="S131" s="601"/>
      <c r="T131" s="681">
        <f>$A131*S131*$T$1</f>
        <v>0</v>
      </c>
    </row>
    <row r="132" spans="1:41" s="602" customFormat="1" ht="12.75" customHeight="1">
      <c r="A132" s="792" t="s">
        <v>145</v>
      </c>
      <c r="B132" s="793">
        <f>(R131+T131)</f>
        <v>0</v>
      </c>
      <c r="C132" s="794"/>
      <c r="D132" s="794"/>
      <c r="E132" s="794"/>
      <c r="F132" s="794"/>
      <c r="G132" s="783"/>
      <c r="H132" s="783"/>
      <c r="I132" s="783"/>
      <c r="J132" s="783"/>
      <c r="K132" s="795" t="s">
        <v>8</v>
      </c>
      <c r="L132" s="796" t="s">
        <v>688</v>
      </c>
      <c r="M132" s="783"/>
      <c r="N132" s="783"/>
      <c r="O132" s="783"/>
      <c r="P132" s="783"/>
      <c r="Q132" s="783"/>
      <c r="R132" s="784">
        <f>SUM(R128:R131)</f>
        <v>0</v>
      </c>
      <c r="S132" s="785"/>
      <c r="T132" s="784">
        <f>SUM(T128:T131)</f>
        <v>14</v>
      </c>
      <c r="AG132" s="885">
        <f>ROUND($R132*$S$4,2)</f>
        <v>0</v>
      </c>
    </row>
    <row r="133" spans="1:41" s="602" customFormat="1" ht="12.75" customHeight="1">
      <c r="A133" s="798"/>
      <c r="B133" s="799"/>
      <c r="E133" s="663"/>
      <c r="F133" s="800"/>
      <c r="G133" s="663"/>
      <c r="H133" s="663"/>
      <c r="I133" s="601"/>
      <c r="J133" s="663"/>
      <c r="K133" s="663"/>
      <c r="L133" s="801"/>
      <c r="M133" s="802"/>
      <c r="N133" s="802"/>
      <c r="O133" s="802"/>
      <c r="P133" s="802"/>
      <c r="Q133" s="665"/>
      <c r="R133" s="791"/>
      <c r="S133" s="663"/>
      <c r="T133" s="791"/>
    </row>
    <row r="134" spans="1:41" s="602" customFormat="1" ht="13.5" customHeight="1" thickBot="1">
      <c r="A134" s="803"/>
      <c r="B134" s="804"/>
      <c r="C134" s="611"/>
      <c r="D134" s="611"/>
      <c r="E134" s="684"/>
      <c r="F134" s="685"/>
      <c r="G134" s="684" t="s">
        <v>146</v>
      </c>
      <c r="H134" s="684"/>
      <c r="I134" s="686"/>
      <c r="J134" s="684"/>
      <c r="K134" s="684"/>
      <c r="L134" s="729" t="s">
        <v>143</v>
      </c>
      <c r="M134" s="687"/>
      <c r="N134" s="687"/>
      <c r="O134" s="687"/>
      <c r="P134" s="687"/>
      <c r="Q134" s="688"/>
      <c r="R134" s="805">
        <f>SUMIF($L117:$L133,"SUBI",R117:R133)</f>
        <v>5545.86</v>
      </c>
      <c r="S134" s="886"/>
      <c r="T134" s="805">
        <f>SUMIF($L117:$L133,"SUBI",T117:T133)</f>
        <v>30</v>
      </c>
      <c r="U134" s="611"/>
      <c r="V134" s="611"/>
      <c r="W134" s="611"/>
      <c r="X134" s="611"/>
      <c r="Y134" s="611"/>
      <c r="Z134" s="611"/>
      <c r="AA134" s="611"/>
      <c r="AB134" s="611"/>
      <c r="AC134" s="611"/>
      <c r="AD134" s="611"/>
      <c r="AE134" s="611"/>
      <c r="AF134" s="611"/>
      <c r="AG134" s="611"/>
      <c r="AH134" s="611"/>
      <c r="AI134" s="611"/>
      <c r="AJ134" s="611"/>
      <c r="AK134" s="611"/>
      <c r="AL134" s="611"/>
      <c r="AM134" s="611"/>
      <c r="AN134" s="611"/>
      <c r="AO134" s="611"/>
    </row>
    <row r="135" spans="1:41" s="602" customFormat="1" ht="12" thickTop="1">
      <c r="A135" s="63"/>
      <c r="B135" s="41"/>
      <c r="C135" s="63"/>
      <c r="E135" s="42" t="s">
        <v>138</v>
      </c>
      <c r="F135" s="42" t="s">
        <v>139</v>
      </c>
      <c r="G135" s="63"/>
      <c r="H135" s="63"/>
      <c r="I135" s="63"/>
      <c r="J135" s="63"/>
      <c r="K135" s="63" t="s">
        <v>140</v>
      </c>
      <c r="L135" s="63"/>
      <c r="M135" s="63"/>
      <c r="N135" s="63"/>
      <c r="O135" s="64"/>
      <c r="P135" s="63"/>
      <c r="Q135" s="63"/>
      <c r="R135" s="63"/>
      <c r="S135" s="63"/>
      <c r="T135" s="41"/>
      <c r="AG135" s="667" t="s">
        <v>278</v>
      </c>
      <c r="AH135" s="667" t="s">
        <v>279</v>
      </c>
      <c r="AI135" s="667" t="s">
        <v>280</v>
      </c>
      <c r="AJ135" s="667" t="s">
        <v>281</v>
      </c>
      <c r="AK135" s="667" t="s">
        <v>282</v>
      </c>
      <c r="AM135" s="668" t="s">
        <v>291</v>
      </c>
      <c r="AN135" s="669" t="s">
        <v>292</v>
      </c>
      <c r="AO135" s="603" t="s">
        <v>288</v>
      </c>
    </row>
    <row r="136" spans="1:41" s="602" customFormat="1" ht="12" customHeight="1">
      <c r="A136" s="670">
        <v>1</v>
      </c>
      <c r="B136" s="671" t="s">
        <v>320</v>
      </c>
      <c r="C136" s="672"/>
      <c r="D136" s="673" t="s">
        <v>442</v>
      </c>
      <c r="E136" s="674">
        <f>IF(AND($A136=0,$A$1="DIF"),0, ROUND(ROUND(($R140*$S$2+($T140*$T$2))/A136,2)*$C$2,2))</f>
        <v>460.12</v>
      </c>
      <c r="F136" s="675">
        <f>ROUND($A136*$E136,2)</f>
        <v>460.12</v>
      </c>
      <c r="G136" s="676" t="s">
        <v>142</v>
      </c>
      <c r="H136" s="664"/>
      <c r="I136" s="677"/>
      <c r="J136" s="664"/>
      <c r="K136" s="664" t="s">
        <v>3</v>
      </c>
      <c r="L136" s="678" t="s">
        <v>143</v>
      </c>
      <c r="M136" s="678"/>
      <c r="N136" s="678"/>
      <c r="O136" s="678"/>
      <c r="P136" s="678"/>
      <c r="Q136" s="63"/>
      <c r="T136" s="679" t="str">
        <f>IF(AND($R140=0,$T140=0),"0.00","mu :" &amp; ROUND($F136/$C$2/($R140+$T140*$D$9),2))</f>
        <v>mu :1.35</v>
      </c>
      <c r="W136" s="604"/>
      <c r="AG136" s="549">
        <f>IF($E136=0,0,ROUND($R140*$S$2*$C$2/$A136,2))</f>
        <v>460.12</v>
      </c>
      <c r="AH136" s="549">
        <f>$AG136*$A136</f>
        <v>460.12</v>
      </c>
      <c r="AI136" s="605">
        <f>$E136-$AG136</f>
        <v>0</v>
      </c>
      <c r="AJ136" s="605">
        <f>$A136*$AI136</f>
        <v>0</v>
      </c>
      <c r="AK136" s="606">
        <f>ROUND(($AG136+$AI136)*$A136,2)</f>
        <v>460.12</v>
      </c>
      <c r="AM136" s="607">
        <f>ROUND(R140,2)</f>
        <v>350</v>
      </c>
      <c r="AN136" s="608">
        <f>ROUND(T140,2)</f>
        <v>0</v>
      </c>
      <c r="AO136" s="609">
        <f>ROUND(AM136+AN136,2)*A136</f>
        <v>350</v>
      </c>
    </row>
    <row r="137" spans="1:41" s="602" customFormat="1" ht="39.9" customHeight="1">
      <c r="A137" s="672"/>
      <c r="B137"/>
      <c r="C137" s="672"/>
      <c r="D137" s="1368" t="s">
        <v>322</v>
      </c>
      <c r="E137" s="1369"/>
      <c r="F137" s="1369"/>
      <c r="G137" s="1369"/>
      <c r="H137" s="1369"/>
      <c r="I137" s="1369"/>
      <c r="J137" s="1369"/>
      <c r="K137" s="1369"/>
      <c r="L137" s="1369"/>
      <c r="M137" s="1369"/>
      <c r="N137" s="1369"/>
      <c r="O137" s="1369"/>
      <c r="P137" s="1369"/>
      <c r="Q137" s="1369"/>
      <c r="R137" s="1369"/>
      <c r="S137" s="1369"/>
      <c r="T137" s="1369"/>
    </row>
    <row r="138" spans="1:41" s="730" customFormat="1" ht="13.2">
      <c r="A138" s="167">
        <v>1</v>
      </c>
      <c r="B138" s="730" t="s">
        <v>141</v>
      </c>
      <c r="D138" s="730" t="s">
        <v>672</v>
      </c>
      <c r="F138" s="738" t="s">
        <v>1026</v>
      </c>
      <c r="G138" s="731" t="s">
        <v>673</v>
      </c>
      <c r="H138" s="732">
        <v>810</v>
      </c>
      <c r="I138" s="730" t="s">
        <v>674</v>
      </c>
      <c r="O138" s="733">
        <v>2</v>
      </c>
      <c r="P138" s="734"/>
      <c r="Q138" s="735">
        <v>350</v>
      </c>
      <c r="R138" s="736">
        <f>$A138*Q138</f>
        <v>350</v>
      </c>
      <c r="S138" s="735"/>
      <c r="T138" s="737">
        <f>$A138*S138*$T$1</f>
        <v>0</v>
      </c>
    </row>
    <row r="139" spans="1:41" s="602" customFormat="1" ht="12">
      <c r="A139" s="663"/>
      <c r="B139" s="663"/>
      <c r="C139" s="663"/>
      <c r="D139" s="663"/>
      <c r="E139" s="663"/>
      <c r="F139" s="664"/>
      <c r="G139" s="663"/>
      <c r="H139" s="663"/>
      <c r="I139" s="601"/>
      <c r="J139" s="663"/>
      <c r="K139" s="663"/>
      <c r="L139" s="663"/>
      <c r="M139" s="663"/>
      <c r="N139" s="663"/>
      <c r="O139" s="663"/>
      <c r="P139" s="663"/>
      <c r="Q139" s="601"/>
      <c r="R139" s="666">
        <f>$A139*Q139</f>
        <v>0</v>
      </c>
      <c r="S139" s="601"/>
      <c r="T139" s="681">
        <f>$A139*S139*$T$1</f>
        <v>0</v>
      </c>
    </row>
    <row r="140" spans="1:41" s="602" customFormat="1" ht="12.6" thickBot="1">
      <c r="A140" s="682" t="s">
        <v>145</v>
      </c>
      <c r="B140" s="683">
        <f>(R139+T139)</f>
        <v>0</v>
      </c>
      <c r="C140" s="684"/>
      <c r="D140" s="684"/>
      <c r="E140" s="684"/>
      <c r="F140" s="685"/>
      <c r="G140" s="684" t="s">
        <v>146</v>
      </c>
      <c r="H140" s="684"/>
      <c r="I140" s="686"/>
      <c r="J140" s="684"/>
      <c r="K140" s="684" t="s">
        <v>3</v>
      </c>
      <c r="L140" s="687" t="s">
        <v>143</v>
      </c>
      <c r="M140" s="687"/>
      <c r="N140" s="687"/>
      <c r="O140" s="687"/>
      <c r="P140" s="687"/>
      <c r="Q140" s="688"/>
      <c r="R140" s="689">
        <f>SUM(R137:R139)</f>
        <v>350</v>
      </c>
      <c r="S140" s="684"/>
      <c r="T140" s="689">
        <f>SUM(T137:T139)</f>
        <v>0</v>
      </c>
      <c r="U140" s="611"/>
      <c r="V140" s="611"/>
      <c r="W140" s="611"/>
      <c r="X140" s="611"/>
      <c r="Y140" s="611"/>
      <c r="Z140" s="611"/>
      <c r="AA140" s="611"/>
      <c r="AB140" s="611"/>
      <c r="AC140" s="611"/>
      <c r="AD140" s="611"/>
      <c r="AE140" s="611"/>
      <c r="AF140" s="611"/>
      <c r="AG140" s="611"/>
      <c r="AH140" s="611"/>
      <c r="AI140" s="611"/>
      <c r="AJ140" s="611"/>
      <c r="AK140" s="611"/>
      <c r="AL140" s="611"/>
      <c r="AM140" s="611"/>
      <c r="AN140" s="611"/>
      <c r="AO140" s="611"/>
    </row>
    <row r="141" spans="1:41" s="602" customFormat="1" thickTop="1">
      <c r="A141" s="63"/>
      <c r="B141" s="63"/>
      <c r="C141" s="3"/>
      <c r="D141" s="3"/>
      <c r="E141" s="63"/>
      <c r="F141" s="63"/>
      <c r="G141" s="63"/>
      <c r="H141" s="63"/>
      <c r="I141" s="63"/>
      <c r="J141" s="63"/>
      <c r="K141" s="63" t="s">
        <v>134</v>
      </c>
      <c r="L141" s="63"/>
      <c r="M141" s="63"/>
      <c r="N141" s="63"/>
      <c r="O141" s="64"/>
      <c r="P141" s="63"/>
      <c r="Q141" s="63"/>
      <c r="R141" s="63"/>
      <c r="S141" s="63"/>
      <c r="T141" s="63"/>
    </row>
    <row r="142" spans="1:41" s="602" customFormat="1" ht="12">
      <c r="A142" s="63"/>
      <c r="B142" s="63"/>
      <c r="C142" s="63" t="s">
        <v>135</v>
      </c>
      <c r="D142" s="37" t="s">
        <v>443</v>
      </c>
      <c r="E142" s="63"/>
      <c r="F142" s="63"/>
      <c r="G142" s="63"/>
      <c r="H142" s="63"/>
      <c r="I142" s="63"/>
      <c r="J142" s="63"/>
      <c r="K142" s="63"/>
      <c r="L142" s="63"/>
      <c r="M142" s="63"/>
      <c r="N142" s="63"/>
      <c r="O142" s="64"/>
      <c r="P142" s="63"/>
      <c r="Q142" s="63"/>
      <c r="R142" s="63"/>
      <c r="S142" s="63"/>
      <c r="T142" s="63"/>
    </row>
    <row r="143" spans="1:41" s="602" customFormat="1" ht="12">
      <c r="A143" s="63"/>
      <c r="B143" s="63"/>
      <c r="C143" s="63"/>
      <c r="D143" s="37" t="s">
        <v>323</v>
      </c>
      <c r="E143" s="63"/>
      <c r="F143" s="63"/>
      <c r="G143" s="63"/>
      <c r="H143" s="63"/>
      <c r="I143" s="63"/>
      <c r="J143" s="63"/>
      <c r="K143" s="63"/>
      <c r="L143" s="63"/>
      <c r="M143" s="63"/>
      <c r="N143" s="63"/>
      <c r="O143" s="64"/>
      <c r="P143" s="63"/>
      <c r="Q143" s="63"/>
      <c r="R143" s="63"/>
      <c r="S143" s="38"/>
      <c r="T143" s="38"/>
    </row>
    <row r="144" spans="1:41" s="3" customFormat="1" thickBot="1">
      <c r="A144" s="611"/>
      <c r="O144" s="158"/>
    </row>
    <row r="145" spans="1:41" s="602" customFormat="1" ht="12" thickTop="1">
      <c r="A145" s="63"/>
      <c r="B145" s="41"/>
      <c r="C145" s="63"/>
      <c r="E145" s="42" t="s">
        <v>138</v>
      </c>
      <c r="F145" s="42" t="s">
        <v>139</v>
      </c>
      <c r="G145" s="63"/>
      <c r="H145" s="63"/>
      <c r="I145" s="63"/>
      <c r="J145" s="63"/>
      <c r="K145" s="63" t="s">
        <v>140</v>
      </c>
      <c r="L145" s="63"/>
      <c r="M145" s="63"/>
      <c r="N145" s="63"/>
      <c r="O145" s="64"/>
      <c r="P145" s="63"/>
      <c r="Q145" s="63"/>
      <c r="R145" s="63"/>
      <c r="S145" s="63"/>
      <c r="T145" s="41"/>
      <c r="AG145" s="667" t="s">
        <v>278</v>
      </c>
      <c r="AH145" s="667" t="s">
        <v>279</v>
      </c>
      <c r="AI145" s="667" t="s">
        <v>280</v>
      </c>
      <c r="AJ145" s="667" t="s">
        <v>281</v>
      </c>
      <c r="AK145" s="667" t="s">
        <v>282</v>
      </c>
      <c r="AM145" s="668" t="s">
        <v>291</v>
      </c>
      <c r="AN145" s="669" t="s">
        <v>292</v>
      </c>
      <c r="AO145" s="603" t="s">
        <v>288</v>
      </c>
    </row>
    <row r="146" spans="1:41" s="602" customFormat="1" ht="12" customHeight="1">
      <c r="A146" s="670">
        <v>1</v>
      </c>
      <c r="B146" s="671" t="s">
        <v>320</v>
      </c>
      <c r="C146" s="672"/>
      <c r="D146" s="673" t="s">
        <v>444</v>
      </c>
      <c r="E146" s="674">
        <f>IF(AND($A146=0,$A$1="DIF"),0, ROUND(ROUND(($R151*$S$2+($T151*$T$2))/A146,2)*$C$2,2))</f>
        <v>1467.14</v>
      </c>
      <c r="F146" s="675">
        <f>ROUND($A146*$E146,2)</f>
        <v>1467.14</v>
      </c>
      <c r="G146" s="676" t="s">
        <v>142</v>
      </c>
      <c r="H146" s="664"/>
      <c r="I146" s="677"/>
      <c r="J146" s="664"/>
      <c r="K146" s="664" t="s">
        <v>3</v>
      </c>
      <c r="L146" s="678" t="s">
        <v>143</v>
      </c>
      <c r="M146" s="678"/>
      <c r="N146" s="678"/>
      <c r="O146" s="678"/>
      <c r="P146" s="678"/>
      <c r="Q146" s="63"/>
      <c r="T146" s="679" t="str">
        <f>IF(AND($R151=0,$T151=0),"0.00","mu :" &amp; ROUND($F146/$C$2/($R151+$T151*$D$9),2))</f>
        <v>mu :1.35</v>
      </c>
      <c r="W146" s="604"/>
      <c r="AG146" s="549">
        <f>IF($E146=0,0,ROUND($R151*$S$2*$C$2/$A146,2))</f>
        <v>131.46</v>
      </c>
      <c r="AH146" s="549">
        <f>$AG146*$A146</f>
        <v>131.46</v>
      </c>
      <c r="AI146" s="605">
        <f>$E146-$AG146</f>
        <v>1335.68</v>
      </c>
      <c r="AJ146" s="605">
        <f>$A146*$AI146</f>
        <v>1335.68</v>
      </c>
      <c r="AK146" s="606">
        <f>ROUND(($AG146+$AI146)*$A146,2)</f>
        <v>1467.14</v>
      </c>
      <c r="AM146" s="607">
        <f>ROUND(R151,2)</f>
        <v>100</v>
      </c>
      <c r="AN146" s="608">
        <f>ROUND(T151,2)</f>
        <v>37</v>
      </c>
      <c r="AO146" s="609">
        <f>ROUND(AM146+AN146,2)*A146</f>
        <v>137</v>
      </c>
    </row>
    <row r="147" spans="1:41" s="602" customFormat="1" ht="13.2">
      <c r="A147" s="672"/>
      <c r="B147"/>
      <c r="C147" s="672"/>
      <c r="D147" s="673" t="s">
        <v>319</v>
      </c>
      <c r="F147" s="664"/>
      <c r="G147" s="3"/>
      <c r="H147" s="664"/>
      <c r="I147" s="677"/>
      <c r="J147" s="664"/>
      <c r="K147" s="664" t="s">
        <v>144</v>
      </c>
      <c r="L147" s="664"/>
      <c r="M147" s="664"/>
      <c r="N147" s="664"/>
      <c r="O147" s="664"/>
      <c r="P147" s="664"/>
      <c r="Q147" s="63"/>
      <c r="R147" s="610"/>
      <c r="S147" s="680"/>
      <c r="T147" s="664"/>
    </row>
    <row r="148" spans="1:41" s="730" customFormat="1" ht="13.2">
      <c r="A148">
        <v>1</v>
      </c>
      <c r="B148" s="730" t="s">
        <v>141</v>
      </c>
      <c r="D148" s="730" t="s">
        <v>680</v>
      </c>
      <c r="E148" s="730" t="s">
        <v>935</v>
      </c>
      <c r="F148" s="806" t="s">
        <v>689</v>
      </c>
      <c r="G148" s="731" t="s">
        <v>681</v>
      </c>
      <c r="H148" s="732">
        <v>510</v>
      </c>
      <c r="I148" s="730" t="s">
        <v>674</v>
      </c>
      <c r="K148" s="730" t="s">
        <v>682</v>
      </c>
      <c r="O148" s="733">
        <v>2</v>
      </c>
      <c r="P148" s="734"/>
      <c r="Q148" s="735"/>
      <c r="R148" s="736">
        <f>$A148*Q148</f>
        <v>0</v>
      </c>
      <c r="S148" s="735">
        <f>3*8+13</f>
        <v>37</v>
      </c>
      <c r="T148" s="737">
        <f>$A148*S148*$T$1</f>
        <v>37</v>
      </c>
    </row>
    <row r="149" spans="1:41" s="730" customFormat="1" ht="13.2">
      <c r="A149">
        <v>1</v>
      </c>
      <c r="B149" s="730" t="s">
        <v>141</v>
      </c>
      <c r="D149" s="730" t="s">
        <v>676</v>
      </c>
      <c r="G149" s="731" t="s">
        <v>677</v>
      </c>
      <c r="H149" s="732">
        <v>501</v>
      </c>
      <c r="I149" s="730" t="s">
        <v>674</v>
      </c>
      <c r="K149" s="730" t="s">
        <v>678</v>
      </c>
      <c r="O149" s="733">
        <v>1</v>
      </c>
      <c r="P149" s="734"/>
      <c r="Q149" s="735">
        <v>100</v>
      </c>
      <c r="R149" s="736">
        <f>$A149*Q149</f>
        <v>100</v>
      </c>
      <c r="S149" s="735"/>
      <c r="T149" s="737">
        <f>$A149*S149*$T$1</f>
        <v>0</v>
      </c>
    </row>
    <row r="150" spans="1:41" s="602" customFormat="1" ht="12">
      <c r="A150" s="663"/>
      <c r="B150" s="663"/>
      <c r="C150" s="663"/>
      <c r="D150" s="663"/>
      <c r="E150" s="663"/>
      <c r="F150" s="664"/>
      <c r="G150" s="663"/>
      <c r="H150" s="663"/>
      <c r="I150" s="601"/>
      <c r="J150" s="663"/>
      <c r="K150" s="663"/>
      <c r="L150" s="663"/>
      <c r="M150" s="663"/>
      <c r="N150" s="663"/>
      <c r="O150" s="663"/>
      <c r="P150" s="663"/>
      <c r="Q150" s="601"/>
      <c r="R150" s="666">
        <f>$A150*Q150</f>
        <v>0</v>
      </c>
      <c r="S150" s="601"/>
      <c r="T150" s="681">
        <f>$A150*S150*$T$1</f>
        <v>0</v>
      </c>
    </row>
    <row r="151" spans="1:41" s="602" customFormat="1" ht="12.6" thickBot="1">
      <c r="A151" s="682" t="s">
        <v>145</v>
      </c>
      <c r="B151" s="683">
        <f>(R150+T150)</f>
        <v>0</v>
      </c>
      <c r="C151" s="684"/>
      <c r="D151" s="684"/>
      <c r="E151" s="684"/>
      <c r="F151" s="685"/>
      <c r="G151" s="684" t="s">
        <v>146</v>
      </c>
      <c r="H151" s="684"/>
      <c r="I151" s="686"/>
      <c r="J151" s="684"/>
      <c r="K151" s="684" t="s">
        <v>3</v>
      </c>
      <c r="L151" s="687" t="s">
        <v>143</v>
      </c>
      <c r="M151" s="687"/>
      <c r="N151" s="687"/>
      <c r="O151" s="687"/>
      <c r="P151" s="687"/>
      <c r="Q151" s="688"/>
      <c r="R151" s="689">
        <f>SUM(R147:R150)</f>
        <v>100</v>
      </c>
      <c r="S151" s="684"/>
      <c r="T151" s="689">
        <f>SUM(T147:T150)</f>
        <v>37</v>
      </c>
      <c r="U151" s="611"/>
      <c r="V151" s="611"/>
      <c r="W151" s="611"/>
      <c r="X151" s="611"/>
      <c r="Y151" s="611"/>
      <c r="Z151" s="611"/>
      <c r="AA151" s="611"/>
      <c r="AB151" s="611"/>
      <c r="AC151" s="611"/>
      <c r="AD151" s="611"/>
      <c r="AE151" s="611"/>
      <c r="AF151" s="611"/>
      <c r="AG151" s="611"/>
      <c r="AH151" s="611"/>
      <c r="AI151" s="611"/>
      <c r="AJ151" s="611"/>
      <c r="AK151" s="611"/>
      <c r="AL151" s="611"/>
      <c r="AM151" s="611"/>
      <c r="AN151" s="611"/>
      <c r="AO151" s="611"/>
    </row>
    <row r="152" spans="1:41" s="602" customFormat="1" thickTop="1">
      <c r="A152" s="63"/>
      <c r="B152" s="41"/>
      <c r="C152" s="63"/>
      <c r="E152" s="42" t="s">
        <v>138</v>
      </c>
      <c r="F152" s="42" t="s">
        <v>139</v>
      </c>
      <c r="G152" s="63"/>
      <c r="H152" s="63"/>
      <c r="I152" s="63"/>
      <c r="J152" s="63"/>
      <c r="K152" s="63" t="s">
        <v>140</v>
      </c>
      <c r="L152" s="751"/>
      <c r="M152" s="63"/>
      <c r="N152" s="63"/>
      <c r="O152" s="64"/>
      <c r="P152" s="63"/>
      <c r="Q152"/>
      <c r="R152"/>
      <c r="S152"/>
      <c r="T152" s="41"/>
      <c r="AG152" s="667" t="s">
        <v>278</v>
      </c>
      <c r="AH152" s="667" t="s">
        <v>279</v>
      </c>
      <c r="AI152" s="667" t="s">
        <v>280</v>
      </c>
      <c r="AJ152" s="667" t="s">
        <v>281</v>
      </c>
      <c r="AK152" s="667" t="s">
        <v>282</v>
      </c>
      <c r="AM152" s="668" t="s">
        <v>291</v>
      </c>
      <c r="AN152" s="669" t="s">
        <v>292</v>
      </c>
      <c r="AO152" s="603" t="s">
        <v>288</v>
      </c>
    </row>
    <row r="153" spans="1:41" s="602" customFormat="1" ht="13.2">
      <c r="A153" s="670">
        <v>1</v>
      </c>
      <c r="B153" s="671" t="s">
        <v>320</v>
      </c>
      <c r="C153" s="672"/>
      <c r="D153" s="673" t="s">
        <v>445</v>
      </c>
      <c r="E153" s="752">
        <f>IF(AND($A153=0,$A$1="DIF"),0, ROUND(ROUND(SUMIF($L155:$L161,"SUBI",$E155:$E161)/$A153,2)*$C$12,2))</f>
        <v>709.06</v>
      </c>
      <c r="F153" s="753">
        <f>ROUND($A153*$E153,2)</f>
        <v>709.06</v>
      </c>
      <c r="G153" s="676" t="s">
        <v>142</v>
      </c>
      <c r="H153" s="664"/>
      <c r="I153" s="677"/>
      <c r="J153" s="664"/>
      <c r="K153" s="754"/>
      <c r="L153" s="709" t="s">
        <v>143</v>
      </c>
      <c r="M153" s="678"/>
      <c r="N153" s="678"/>
      <c r="O153" s="678"/>
      <c r="P153" s="678"/>
      <c r="Q153"/>
      <c r="R153"/>
      <c r="S153"/>
      <c r="T153" s="755" t="str">
        <f>IF(AND($R166=0,$T166=0),"0.00","mu :" &amp; ROUND($F153/$C$12/($R166+$T166*$D$9),2))</f>
        <v>mu :1.35</v>
      </c>
      <c r="W153" s="604"/>
      <c r="AG153" s="756">
        <f>IF(A153=0,0,ROUND(SUM(AG155:AG166)/A153,2))</f>
        <v>135</v>
      </c>
      <c r="AH153" s="756">
        <f>$AG153*$A153</f>
        <v>135</v>
      </c>
      <c r="AI153" s="756">
        <f>$E153-$AG153</f>
        <v>574.05999999999995</v>
      </c>
      <c r="AJ153" s="756">
        <f>$A153*$AI153</f>
        <v>574.05999999999995</v>
      </c>
      <c r="AK153" s="757">
        <f>ROUND(($AG153+$AI153)*$A153,2)</f>
        <v>709.06</v>
      </c>
      <c r="AM153" s="607">
        <f>ROUND(R166,2)</f>
        <v>100</v>
      </c>
      <c r="AN153" s="608">
        <f>ROUND(T166,2)</f>
        <v>16</v>
      </c>
      <c r="AO153" s="609">
        <f>ROUND(AM153+AN153,2)*A153</f>
        <v>116</v>
      </c>
    </row>
    <row r="154" spans="1:41" s="602" customFormat="1" ht="19.95" customHeight="1">
      <c r="A154" s="672"/>
      <c r="B154"/>
      <c r="C154" s="672"/>
      <c r="D154" s="673" t="s">
        <v>321</v>
      </c>
      <c r="F154" s="664"/>
      <c r="G154" s="664"/>
      <c r="H154" s="664"/>
      <c r="I154" s="677"/>
      <c r="J154" s="664"/>
      <c r="K154" s="664" t="s">
        <v>144</v>
      </c>
      <c r="L154" s="712"/>
      <c r="M154" s="664"/>
      <c r="N154" s="664"/>
      <c r="O154" s="664"/>
      <c r="P154" s="664"/>
      <c r="Q154" s="63"/>
      <c r="R154" s="610"/>
      <c r="S154" s="680"/>
      <c r="T154" s="664"/>
    </row>
    <row r="155" spans="1:41" s="602" customFormat="1" ht="12">
      <c r="A155" s="758"/>
      <c r="B155" s="759"/>
      <c r="C155" s="663"/>
      <c r="D155" s="664"/>
      <c r="E155" s="760">
        <f>F153/$C$12-SUMIF($L152:$L166,"SUBI",$E152:$E166)</f>
        <v>3.001033561758959E-3</v>
      </c>
      <c r="F155" s="761" t="s">
        <v>687</v>
      </c>
      <c r="G155" s="762"/>
      <c r="H155" s="762"/>
      <c r="I155" s="763"/>
      <c r="J155" s="762"/>
      <c r="K155" s="762"/>
      <c r="L155" s="764"/>
      <c r="M155" s="765"/>
      <c r="N155" s="765"/>
      <c r="O155" s="765"/>
      <c r="P155" s="765"/>
      <c r="Q155" s="766"/>
      <c r="R155" s="767"/>
      <c r="S155" s="766"/>
      <c r="T155" s="768"/>
    </row>
    <row r="156" spans="1:41" s="602" customFormat="1" ht="12" customHeight="1">
      <c r="A156" s="769"/>
      <c r="B156" s="770"/>
      <c r="C156" s="771"/>
      <c r="D156" s="771" t="str">
        <f>$F$2</f>
        <v>Electrical</v>
      </c>
      <c r="E156" s="771">
        <f>ROUND(($R160*$S$2 + ($T160*$T$2)), 2)</f>
        <v>728.14</v>
      </c>
      <c r="F156" s="772">
        <f>$E156*$C$12</f>
        <v>709.05707761682208</v>
      </c>
      <c r="G156" s="610"/>
      <c r="H156" s="773"/>
      <c r="I156" s="610"/>
      <c r="J156" s="64"/>
      <c r="K156" s="774" t="s">
        <v>3</v>
      </c>
      <c r="L156" s="775" t="s">
        <v>688</v>
      </c>
      <c r="M156" s="610"/>
      <c r="N156" s="610"/>
      <c r="O156" s="64"/>
      <c r="P156" s="610"/>
      <c r="Q156" s="610"/>
      <c r="R156"/>
      <c r="S156"/>
      <c r="T156"/>
    </row>
    <row r="157" spans="1:41" s="730" customFormat="1" ht="13.2">
      <c r="A157">
        <v>1</v>
      </c>
      <c r="B157" s="730" t="s">
        <v>141</v>
      </c>
      <c r="D157" s="730" t="s">
        <v>932</v>
      </c>
      <c r="E157" s="730" t="s">
        <v>936</v>
      </c>
      <c r="G157" s="731" t="s">
        <v>933</v>
      </c>
      <c r="H157" s="732">
        <v>570</v>
      </c>
      <c r="I157" s="730" t="s">
        <v>674</v>
      </c>
      <c r="O157" s="733">
        <v>2</v>
      </c>
      <c r="P157" s="734"/>
      <c r="Q157" s="735"/>
      <c r="R157" s="736">
        <f>$A157*Q157</f>
        <v>0</v>
      </c>
      <c r="S157" s="735">
        <v>16</v>
      </c>
      <c r="T157" s="737">
        <f>$A157*S157*$T$1</f>
        <v>16</v>
      </c>
    </row>
    <row r="158" spans="1:41" s="730" customFormat="1" ht="13.2">
      <c r="A158">
        <v>1</v>
      </c>
      <c r="B158" s="730" t="s">
        <v>141</v>
      </c>
      <c r="D158" s="730" t="s">
        <v>676</v>
      </c>
      <c r="G158" s="731" t="s">
        <v>677</v>
      </c>
      <c r="H158" s="732">
        <v>501</v>
      </c>
      <c r="I158" s="730" t="s">
        <v>674</v>
      </c>
      <c r="K158" s="730" t="s">
        <v>678</v>
      </c>
      <c r="O158" s="733">
        <v>1</v>
      </c>
      <c r="P158" s="734"/>
      <c r="Q158" s="735">
        <v>100</v>
      </c>
      <c r="R158" s="736">
        <f>$A158*Q158</f>
        <v>100</v>
      </c>
      <c r="S158" s="735"/>
      <c r="T158" s="737">
        <f>$A158*S158*$T$1</f>
        <v>0</v>
      </c>
    </row>
    <row r="159" spans="1:41" s="602" customFormat="1" ht="13.95" customHeight="1">
      <c r="A159" s="70"/>
      <c r="B159" s="610"/>
      <c r="C159" s="610"/>
      <c r="D159" s="610"/>
      <c r="E159" s="610"/>
      <c r="F159" s="610"/>
      <c r="G159" s="610"/>
      <c r="H159" s="773"/>
      <c r="I159" s="610"/>
      <c r="J159" s="64"/>
      <c r="K159" s="776"/>
      <c r="L159" s="777"/>
      <c r="M159" s="610"/>
      <c r="N159" s="610"/>
      <c r="O159" s="64"/>
      <c r="P159" s="610"/>
      <c r="Q159" s="610"/>
      <c r="R159" s="725">
        <f>$A159*Q159</f>
        <v>0</v>
      </c>
      <c r="S159" s="610"/>
      <c r="T159" s="681">
        <f>$A159*S159*$T$1</f>
        <v>0</v>
      </c>
    </row>
    <row r="160" spans="1:41" s="602" customFormat="1" ht="12">
      <c r="A160" s="778" t="s">
        <v>145</v>
      </c>
      <c r="B160" s="779">
        <f>(R159+T159)</f>
        <v>0</v>
      </c>
      <c r="C160" s="663"/>
      <c r="G160" s="780"/>
      <c r="H160" s="780"/>
      <c r="I160" s="780"/>
      <c r="J160" s="780"/>
      <c r="K160" s="781" t="s">
        <v>3</v>
      </c>
      <c r="L160" s="782" t="s">
        <v>688</v>
      </c>
      <c r="M160" s="780"/>
      <c r="N160" s="780"/>
      <c r="O160" s="780"/>
      <c r="P160" s="780"/>
      <c r="Q160" s="783"/>
      <c r="R160" s="784">
        <f>SUM(R156:R159)</f>
        <v>100</v>
      </c>
      <c r="S160" s="785"/>
      <c r="T160" s="784">
        <f>SUM(T156:T159)</f>
        <v>16</v>
      </c>
      <c r="AG160" s="786">
        <f>ROUND($R160*$S$2,2)</f>
        <v>135</v>
      </c>
    </row>
    <row r="161" spans="1:41" s="602" customFormat="1" ht="12" customHeight="1">
      <c r="A161" s="787"/>
      <c r="B161" s="788"/>
      <c r="C161" s="789"/>
      <c r="D161" s="789" t="str">
        <f>$F$3</f>
        <v>ECA (Technician)</v>
      </c>
      <c r="E161" s="789">
        <f>ROUND(($R164*$S$3 + ($T164*$T$3)), 2)</f>
        <v>0</v>
      </c>
      <c r="F161" s="790">
        <f ca="1">$F153-SUMIF($L155:$P158,"SUBI",$F155:$F158)</f>
        <v>2.9223831778608655E-3</v>
      </c>
      <c r="G161" s="601"/>
      <c r="H161" s="601"/>
      <c r="I161" s="601"/>
      <c r="J161" s="601"/>
      <c r="K161" s="774" t="s">
        <v>5</v>
      </c>
      <c r="L161" s="775" t="s">
        <v>688</v>
      </c>
      <c r="M161" s="601"/>
      <c r="N161" s="601"/>
      <c r="O161" s="601"/>
      <c r="P161" s="601"/>
      <c r="Q161" s="601"/>
      <c r="R161" s="791"/>
      <c r="S161" s="601"/>
      <c r="T161" s="791"/>
    </row>
    <row r="162" spans="1:41" s="730" customFormat="1" ht="13.2">
      <c r="A162">
        <v>1</v>
      </c>
      <c r="B162" s="730" t="s">
        <v>141</v>
      </c>
      <c r="D162" s="730" t="s">
        <v>932</v>
      </c>
      <c r="E162" s="730" t="s">
        <v>937</v>
      </c>
      <c r="G162" s="731" t="s">
        <v>933</v>
      </c>
      <c r="H162" s="732">
        <v>570</v>
      </c>
      <c r="I162" s="730" t="s">
        <v>674</v>
      </c>
      <c r="O162" s="733">
        <v>2</v>
      </c>
      <c r="P162" s="734"/>
      <c r="Q162" s="735"/>
      <c r="R162" s="736">
        <f>$A162*Q162</f>
        <v>0</v>
      </c>
      <c r="S162" s="735"/>
      <c r="T162" s="737">
        <f>$A162*S162*$T$1</f>
        <v>0</v>
      </c>
    </row>
    <row r="163" spans="1:41" s="602" customFormat="1" ht="13.2">
      <c r="A163" s="70"/>
      <c r="B163" s="610"/>
      <c r="C163" s="610"/>
      <c r="D163" s="3"/>
      <c r="E163" s="610"/>
      <c r="F163" s="610"/>
      <c r="G163" s="610"/>
      <c r="H163" s="610"/>
      <c r="I163" s="610"/>
      <c r="J163" s="610"/>
      <c r="K163" s="610"/>
      <c r="L163" s="777"/>
      <c r="M163" s="610"/>
      <c r="N163" s="610"/>
      <c r="O163" s="610"/>
      <c r="P163" s="610"/>
      <c r="Q163" s="610"/>
      <c r="R163" s="725">
        <f>$A163*Q163</f>
        <v>0</v>
      </c>
      <c r="S163" s="610"/>
      <c r="T163" s="681">
        <f>$A163*S163*$T$1</f>
        <v>0</v>
      </c>
    </row>
    <row r="164" spans="1:41" s="602" customFormat="1" ht="12" customHeight="1">
      <c r="A164" s="792" t="s">
        <v>145</v>
      </c>
      <c r="B164" s="793">
        <f>(R163+T163)</f>
        <v>0</v>
      </c>
      <c r="C164" s="794"/>
      <c r="D164" s="794"/>
      <c r="E164" s="794"/>
      <c r="F164" s="794"/>
      <c r="G164" s="783"/>
      <c r="H164" s="783"/>
      <c r="I164" s="783"/>
      <c r="J164" s="783"/>
      <c r="K164" s="795" t="s">
        <v>5</v>
      </c>
      <c r="L164" s="796" t="s">
        <v>688</v>
      </c>
      <c r="M164" s="783"/>
      <c r="N164" s="783"/>
      <c r="O164" s="783"/>
      <c r="P164" s="783"/>
      <c r="Q164" s="783"/>
      <c r="R164" s="784">
        <f>SUM(R161:R163)</f>
        <v>0</v>
      </c>
      <c r="S164" s="785"/>
      <c r="T164" s="784">
        <f>SUM(T161:T163)</f>
        <v>0</v>
      </c>
      <c r="AG164" s="797">
        <f>ROUND($R164*$S$3,2)</f>
        <v>0</v>
      </c>
    </row>
    <row r="165" spans="1:41" s="602" customFormat="1" ht="12.75" customHeight="1">
      <c r="A165" s="798"/>
      <c r="B165" s="799"/>
      <c r="E165" s="663"/>
      <c r="F165" s="800"/>
      <c r="G165" s="663"/>
      <c r="H165" s="663"/>
      <c r="I165" s="601"/>
      <c r="J165" s="663"/>
      <c r="K165" s="663"/>
      <c r="L165" s="801"/>
      <c r="M165" s="802"/>
      <c r="N165" s="802"/>
      <c r="O165" s="802"/>
      <c r="P165" s="802"/>
      <c r="Q165" s="665"/>
      <c r="R165" s="791"/>
      <c r="S165" s="663"/>
      <c r="T165" s="791"/>
    </row>
    <row r="166" spans="1:41" s="602" customFormat="1" ht="13.5" customHeight="1" thickBot="1">
      <c r="A166" s="803"/>
      <c r="B166" s="804"/>
      <c r="C166" s="611"/>
      <c r="D166" s="611"/>
      <c r="E166" s="684"/>
      <c r="F166" s="685"/>
      <c r="G166" s="684" t="s">
        <v>146</v>
      </c>
      <c r="H166" s="684"/>
      <c r="I166" s="686"/>
      <c r="J166" s="684"/>
      <c r="K166" s="684"/>
      <c r="L166" s="729" t="s">
        <v>143</v>
      </c>
      <c r="M166" s="687"/>
      <c r="N166" s="687"/>
      <c r="O166" s="687"/>
      <c r="P166" s="687"/>
      <c r="Q166" s="688"/>
      <c r="R166" s="805">
        <f>SUMIF($L154:$L165,"SUBI",R154:R165)</f>
        <v>100</v>
      </c>
      <c r="S166" s="684"/>
      <c r="T166" s="805">
        <f>SUMIF($L154:$L165,"SUBI",T154:T165)</f>
        <v>16</v>
      </c>
      <c r="U166" s="611"/>
      <c r="V166" s="611"/>
      <c r="W166" s="611"/>
      <c r="X166" s="611"/>
      <c r="Y166" s="611"/>
      <c r="Z166" s="611"/>
      <c r="AA166" s="611"/>
      <c r="AB166" s="611"/>
      <c r="AC166" s="611"/>
      <c r="AD166" s="611"/>
      <c r="AE166" s="611"/>
      <c r="AF166" s="611"/>
      <c r="AG166" s="611"/>
      <c r="AH166" s="611"/>
      <c r="AI166" s="611"/>
      <c r="AJ166" s="611"/>
      <c r="AK166" s="611"/>
      <c r="AL166" s="611"/>
      <c r="AM166" s="611"/>
      <c r="AN166" s="611"/>
      <c r="AO166" s="611"/>
    </row>
    <row r="167" spans="1:41" s="602" customFormat="1" ht="12" thickTop="1">
      <c r="A167" s="63"/>
      <c r="B167" s="41"/>
      <c r="C167" s="63"/>
      <c r="E167" s="42" t="s">
        <v>138</v>
      </c>
      <c r="F167" s="42" t="s">
        <v>139</v>
      </c>
      <c r="G167" s="63"/>
      <c r="H167" s="63"/>
      <c r="I167" s="63"/>
      <c r="J167" s="63"/>
      <c r="K167" s="63" t="s">
        <v>140</v>
      </c>
      <c r="L167" s="63"/>
      <c r="M167" s="63"/>
      <c r="N167" s="63"/>
      <c r="O167" s="64"/>
      <c r="P167" s="63"/>
      <c r="Q167" s="63"/>
      <c r="R167" s="63"/>
      <c r="S167" s="63"/>
      <c r="T167" s="41"/>
      <c r="AG167" s="667" t="s">
        <v>278</v>
      </c>
      <c r="AH167" s="667" t="s">
        <v>279</v>
      </c>
      <c r="AI167" s="667" t="s">
        <v>280</v>
      </c>
      <c r="AJ167" s="667" t="s">
        <v>281</v>
      </c>
      <c r="AK167" s="667" t="s">
        <v>282</v>
      </c>
      <c r="AM167" s="668" t="s">
        <v>291</v>
      </c>
      <c r="AN167" s="669" t="s">
        <v>292</v>
      </c>
      <c r="AO167" s="603" t="s">
        <v>288</v>
      </c>
    </row>
    <row r="168" spans="1:41" s="602" customFormat="1" ht="12" customHeight="1">
      <c r="A168" s="670">
        <v>1</v>
      </c>
      <c r="B168" s="671" t="s">
        <v>320</v>
      </c>
      <c r="C168" s="672"/>
      <c r="D168" s="673" t="s">
        <v>446</v>
      </c>
      <c r="E168" s="674">
        <f>IF(AND($A168=0,$A$1="DIF"),0, ROUND(ROUND(($R173*$S$2+($T173*$T$2))/A168,2)*$C$2,2))</f>
        <v>85.34</v>
      </c>
      <c r="F168" s="675">
        <f>ROUND($A168*$E168,2)</f>
        <v>85.34</v>
      </c>
      <c r="G168" s="676" t="s">
        <v>142</v>
      </c>
      <c r="H168" s="664"/>
      <c r="I168" s="677"/>
      <c r="J168" s="664"/>
      <c r="K168" s="664" t="s">
        <v>3</v>
      </c>
      <c r="L168" s="678" t="s">
        <v>143</v>
      </c>
      <c r="M168" s="678"/>
      <c r="N168" s="678"/>
      <c r="O168" s="678"/>
      <c r="P168" s="678"/>
      <c r="Q168" s="63"/>
      <c r="T168" s="679" t="str">
        <f>IF(AND($R173=0,$T173=0),"0.00","mu :" &amp; ROUND($F168/$C$2/($R173+$T173*$D$9),2))</f>
        <v>mu :1.35</v>
      </c>
      <c r="W168" s="604"/>
      <c r="AG168" s="549">
        <f>IF($E168=0,0,ROUND($R173*$S$2*$C$2/$A168,2))</f>
        <v>13.15</v>
      </c>
      <c r="AH168" s="549">
        <f>$AG168*$A168</f>
        <v>13.15</v>
      </c>
      <c r="AI168" s="605">
        <f>$E168-$AG168</f>
        <v>72.19</v>
      </c>
      <c r="AJ168" s="605">
        <f>$A168*$AI168</f>
        <v>72.19</v>
      </c>
      <c r="AK168" s="606">
        <f>ROUND(($AG168+$AI168)*$A168,2)</f>
        <v>85.34</v>
      </c>
      <c r="AM168" s="607">
        <f>ROUND(R173,2)</f>
        <v>10</v>
      </c>
      <c r="AN168" s="608">
        <f>ROUND(T173,2)</f>
        <v>2</v>
      </c>
      <c r="AO168" s="609">
        <f>ROUND(AM168+AN168,2)*A168</f>
        <v>12</v>
      </c>
    </row>
    <row r="169" spans="1:41" s="602" customFormat="1" ht="39.9" customHeight="1">
      <c r="A169" s="672"/>
      <c r="B169"/>
      <c r="C169" s="672"/>
      <c r="D169" s="1368" t="s">
        <v>322</v>
      </c>
      <c r="E169" s="1369"/>
      <c r="F169" s="1369"/>
      <c r="G169" s="1369"/>
      <c r="H169" s="1369"/>
      <c r="I169" s="1369"/>
      <c r="J169" s="1369"/>
      <c r="K169" s="1369"/>
      <c r="L169" s="1369"/>
      <c r="M169" s="1369"/>
      <c r="N169" s="1369"/>
      <c r="O169" s="1369"/>
      <c r="P169" s="1369"/>
      <c r="Q169" s="1369"/>
      <c r="R169" s="1369"/>
      <c r="S169" s="1369"/>
      <c r="T169" s="1369"/>
    </row>
    <row r="170" spans="1:41" s="730" customFormat="1" ht="13.2">
      <c r="A170" s="167">
        <v>1</v>
      </c>
      <c r="B170" s="730" t="s">
        <v>141</v>
      </c>
      <c r="D170" s="730" t="s">
        <v>672</v>
      </c>
      <c r="F170" s="738" t="s">
        <v>679</v>
      </c>
      <c r="G170" s="731" t="s">
        <v>673</v>
      </c>
      <c r="H170" s="732">
        <v>810</v>
      </c>
      <c r="I170" s="730" t="s">
        <v>674</v>
      </c>
      <c r="O170" s="733">
        <v>2</v>
      </c>
      <c r="P170" s="734"/>
      <c r="Q170" s="735"/>
      <c r="R170" s="736">
        <f>$A170*Q170</f>
        <v>0</v>
      </c>
      <c r="S170" s="735">
        <v>2</v>
      </c>
      <c r="T170" s="737">
        <f>$A170*S170*$T$1</f>
        <v>2</v>
      </c>
    </row>
    <row r="171" spans="1:41" s="730" customFormat="1" ht="13.2">
      <c r="A171">
        <v>1</v>
      </c>
      <c r="B171" s="730" t="s">
        <v>141</v>
      </c>
      <c r="D171" s="730" t="s">
        <v>676</v>
      </c>
      <c r="G171" s="731" t="s">
        <v>677</v>
      </c>
      <c r="H171" s="732">
        <v>501</v>
      </c>
      <c r="I171" s="730" t="s">
        <v>674</v>
      </c>
      <c r="K171" s="730" t="s">
        <v>678</v>
      </c>
      <c r="O171" s="733">
        <v>1</v>
      </c>
      <c r="P171" s="734"/>
      <c r="Q171" s="735">
        <v>10</v>
      </c>
      <c r="R171" s="736">
        <f>$A171*Q171</f>
        <v>10</v>
      </c>
      <c r="S171" s="735"/>
      <c r="T171" s="737">
        <f>$A171*S171*$T$1</f>
        <v>0</v>
      </c>
    </row>
    <row r="172" spans="1:41" s="602" customFormat="1" ht="12">
      <c r="A172" s="663"/>
      <c r="B172" s="663"/>
      <c r="C172" s="663"/>
      <c r="D172" s="663"/>
      <c r="E172" s="663"/>
      <c r="F172" s="664"/>
      <c r="G172" s="663"/>
      <c r="H172" s="663"/>
      <c r="I172" s="601"/>
      <c r="J172" s="663"/>
      <c r="K172" s="663"/>
      <c r="L172" s="663"/>
      <c r="M172" s="663"/>
      <c r="N172" s="663"/>
      <c r="O172" s="663"/>
      <c r="P172" s="663"/>
      <c r="Q172" s="601"/>
      <c r="R172" s="666">
        <f>$A172*Q172</f>
        <v>0</v>
      </c>
      <c r="S172" s="601"/>
      <c r="T172" s="681">
        <f>$A172*S172*$T$1</f>
        <v>0</v>
      </c>
    </row>
    <row r="173" spans="1:41" s="602" customFormat="1" ht="12.6" thickBot="1">
      <c r="A173" s="682" t="s">
        <v>145</v>
      </c>
      <c r="B173" s="683">
        <f>(R172+T172)</f>
        <v>0</v>
      </c>
      <c r="C173" s="684"/>
      <c r="D173" s="684"/>
      <c r="E173" s="684"/>
      <c r="F173" s="685"/>
      <c r="G173" s="684" t="s">
        <v>146</v>
      </c>
      <c r="H173" s="684"/>
      <c r="I173" s="686"/>
      <c r="J173" s="684"/>
      <c r="K173" s="684" t="s">
        <v>3</v>
      </c>
      <c r="L173" s="687" t="s">
        <v>143</v>
      </c>
      <c r="M173" s="687"/>
      <c r="N173" s="687"/>
      <c r="O173" s="687"/>
      <c r="P173" s="687"/>
      <c r="Q173" s="688"/>
      <c r="R173" s="689">
        <f>SUM(R169:R172)</f>
        <v>10</v>
      </c>
      <c r="S173" s="684"/>
      <c r="T173" s="689">
        <f>SUM(T169:T172)</f>
        <v>2</v>
      </c>
      <c r="U173" s="611"/>
      <c r="V173" s="611"/>
      <c r="W173" s="611"/>
      <c r="X173" s="611"/>
      <c r="Y173" s="611"/>
      <c r="Z173" s="611"/>
      <c r="AA173" s="611"/>
      <c r="AB173" s="611"/>
      <c r="AC173" s="611"/>
      <c r="AD173" s="611"/>
      <c r="AE173" s="611"/>
      <c r="AF173" s="611"/>
      <c r="AG173" s="611"/>
      <c r="AH173" s="611"/>
      <c r="AI173" s="611"/>
      <c r="AJ173" s="611"/>
      <c r="AK173" s="611"/>
      <c r="AL173" s="611"/>
      <c r="AM173" s="611"/>
      <c r="AN173" s="611"/>
      <c r="AO173" s="611"/>
    </row>
    <row r="174" spans="1:41" s="602" customFormat="1" thickTop="1">
      <c r="A174" s="63"/>
      <c r="B174" s="63"/>
      <c r="C174" s="3"/>
      <c r="D174" s="3"/>
      <c r="E174" s="63"/>
      <c r="F174" s="63"/>
      <c r="G174" s="63"/>
      <c r="H174" s="63"/>
      <c r="I174" s="63"/>
      <c r="J174" s="63"/>
      <c r="K174" s="63" t="s">
        <v>134</v>
      </c>
      <c r="L174" s="63"/>
      <c r="M174" s="63"/>
      <c r="N174" s="63"/>
      <c r="O174" s="64"/>
      <c r="P174" s="63"/>
      <c r="Q174" s="63"/>
      <c r="R174" s="63"/>
      <c r="S174" s="63"/>
      <c r="T174" s="63"/>
    </row>
    <row r="175" spans="1:41" s="602" customFormat="1" ht="12">
      <c r="A175" s="63"/>
      <c r="B175" s="63"/>
      <c r="C175" s="63" t="s">
        <v>135</v>
      </c>
      <c r="D175" s="37" t="s">
        <v>136</v>
      </c>
      <c r="E175" s="63"/>
      <c r="F175" s="63"/>
      <c r="G175" s="63"/>
      <c r="H175" s="63"/>
      <c r="I175" s="63"/>
      <c r="J175" s="63"/>
      <c r="K175" s="63"/>
      <c r="L175" s="63"/>
      <c r="M175" s="63"/>
      <c r="N175" s="63"/>
      <c r="O175" s="64"/>
      <c r="P175" s="63"/>
      <c r="Q175" s="63"/>
      <c r="R175" s="63"/>
      <c r="S175" s="63"/>
      <c r="T175" s="63"/>
    </row>
    <row r="176" spans="1:41" s="602" customFormat="1" ht="12">
      <c r="A176" s="63"/>
      <c r="B176" s="63"/>
      <c r="C176" s="63"/>
      <c r="D176" s="37" t="s">
        <v>324</v>
      </c>
      <c r="E176" s="63"/>
      <c r="F176" s="63"/>
      <c r="G176" s="63"/>
      <c r="H176" s="63"/>
      <c r="I176" s="63"/>
      <c r="J176" s="63"/>
      <c r="K176" s="63"/>
      <c r="L176" s="63"/>
      <c r="M176" s="63"/>
      <c r="N176" s="63"/>
      <c r="O176" s="64"/>
      <c r="P176" s="63"/>
      <c r="Q176" s="63"/>
      <c r="R176" s="63"/>
      <c r="S176" s="38"/>
      <c r="T176" s="38"/>
    </row>
    <row r="177" spans="1:41" s="3" customFormat="1" thickBot="1">
      <c r="A177" s="611"/>
      <c r="O177" s="158"/>
    </row>
    <row r="178" spans="1:41" s="602" customFormat="1" thickTop="1">
      <c r="A178" s="63"/>
      <c r="B178" s="63"/>
      <c r="C178" s="3"/>
      <c r="D178" s="3"/>
      <c r="E178" s="63"/>
      <c r="F178" s="63"/>
      <c r="G178" s="63"/>
      <c r="H178" s="63"/>
      <c r="I178" s="63"/>
      <c r="J178" s="63"/>
      <c r="K178" s="63" t="s">
        <v>134</v>
      </c>
      <c r="L178" s="63"/>
      <c r="M178" s="63"/>
      <c r="N178" s="63"/>
      <c r="O178" s="64"/>
      <c r="P178" s="63"/>
      <c r="Q178" s="63"/>
      <c r="R178" s="63"/>
      <c r="S178" s="63"/>
      <c r="T178" s="63"/>
    </row>
    <row r="179" spans="1:41" s="602" customFormat="1" ht="12">
      <c r="A179" s="63"/>
      <c r="B179" s="63"/>
      <c r="C179" s="63" t="s">
        <v>135</v>
      </c>
      <c r="D179" s="37" t="s">
        <v>447</v>
      </c>
      <c r="E179" s="63"/>
      <c r="F179" s="63"/>
      <c r="G179" s="63"/>
      <c r="H179" s="63"/>
      <c r="I179" s="63"/>
      <c r="J179" s="63"/>
      <c r="K179" s="63"/>
      <c r="L179" s="63"/>
      <c r="M179" s="63"/>
      <c r="N179" s="63"/>
      <c r="O179" s="64"/>
      <c r="P179" s="63"/>
      <c r="Q179" s="63"/>
      <c r="R179" s="63"/>
      <c r="S179" s="63"/>
      <c r="T179" s="63"/>
    </row>
    <row r="180" spans="1:41" s="602" customFormat="1" ht="39.9" customHeight="1">
      <c r="A180" s="63"/>
      <c r="B180" s="63"/>
      <c r="C180" s="63"/>
      <c r="D180" s="1371" t="s">
        <v>393</v>
      </c>
      <c r="E180" s="1369"/>
      <c r="F180" s="1369"/>
      <c r="G180" s="1369"/>
      <c r="H180" s="1369"/>
      <c r="I180" s="1369"/>
      <c r="J180" s="1369"/>
      <c r="K180" s="1369"/>
      <c r="L180" s="1369"/>
      <c r="M180" s="1369"/>
      <c r="N180" s="1369"/>
      <c r="O180" s="1369"/>
      <c r="P180" s="1369"/>
      <c r="Q180" s="1369"/>
      <c r="R180" s="1369"/>
      <c r="S180" s="1369"/>
      <c r="T180" s="1369"/>
    </row>
    <row r="181" spans="1:41" s="3" customFormat="1" thickBot="1">
      <c r="A181" s="611"/>
      <c r="O181" s="158"/>
    </row>
    <row r="182" spans="1:41" s="602" customFormat="1" ht="12" thickTop="1">
      <c r="A182" s="63"/>
      <c r="B182" s="41"/>
      <c r="C182" s="63"/>
      <c r="E182" s="42" t="s">
        <v>138</v>
      </c>
      <c r="F182" s="42" t="s">
        <v>139</v>
      </c>
      <c r="G182" s="63"/>
      <c r="H182" s="63"/>
      <c r="I182" s="63"/>
      <c r="J182" s="63"/>
      <c r="K182" s="63" t="s">
        <v>140</v>
      </c>
      <c r="L182" s="63"/>
      <c r="M182" s="63"/>
      <c r="N182" s="63"/>
      <c r="O182" s="64"/>
      <c r="P182" s="63"/>
      <c r="Q182" s="63"/>
      <c r="R182" s="63"/>
      <c r="S182" s="63"/>
      <c r="T182" s="41"/>
      <c r="AG182" s="667" t="s">
        <v>278</v>
      </c>
      <c r="AH182" s="667" t="s">
        <v>279</v>
      </c>
      <c r="AI182" s="667" t="s">
        <v>280</v>
      </c>
      <c r="AJ182" s="667" t="s">
        <v>281</v>
      </c>
      <c r="AK182" s="667" t="s">
        <v>282</v>
      </c>
      <c r="AM182" s="668" t="s">
        <v>291</v>
      </c>
      <c r="AN182" s="669" t="s">
        <v>292</v>
      </c>
      <c r="AO182" s="603" t="s">
        <v>288</v>
      </c>
    </row>
    <row r="183" spans="1:41" s="602" customFormat="1" ht="12" customHeight="1">
      <c r="A183" s="670">
        <v>155</v>
      </c>
      <c r="B183" s="671" t="s">
        <v>326</v>
      </c>
      <c r="C183" s="672"/>
      <c r="D183" s="673" t="s">
        <v>448</v>
      </c>
      <c r="E183" s="674">
        <f ca="1">IF(AND($A183=0,$A$1="DIF"),0, ROUND(ROUND(($R190*$S$2+($T190*$T$2))/A183,2)*$C$2,2))</f>
        <v>0</v>
      </c>
      <c r="F183" s="675">
        <f ca="1">ROUND($A183*$E183,2)</f>
        <v>0</v>
      </c>
      <c r="G183" s="676" t="s">
        <v>142</v>
      </c>
      <c r="H183" s="664"/>
      <c r="I183" s="677"/>
      <c r="J183" s="664"/>
      <c r="K183" s="664" t="s">
        <v>3</v>
      </c>
      <c r="L183" s="678" t="s">
        <v>143</v>
      </c>
      <c r="M183" s="678"/>
      <c r="N183" s="678"/>
      <c r="O183" s="678"/>
      <c r="P183" s="678"/>
      <c r="Q183" s="63"/>
      <c r="T183" s="679" t="str">
        <f ca="1">IF(AND($R190=0,$T190=0),"0.00","mu :" &amp; ROUND($F183/$C$2/($R190+$T190*$D$9),2))</f>
        <v>0.00</v>
      </c>
      <c r="W183" s="604"/>
      <c r="AG183" s="549">
        <f ca="1">IF($E183=0,0,ROUND($R190*$S$2*$C$2/$A183,2))</f>
        <v>0</v>
      </c>
      <c r="AH183" s="549">
        <f ca="1">$AG183*$A183</f>
        <v>0</v>
      </c>
      <c r="AI183" s="605">
        <f ca="1">$E183-$AG183</f>
        <v>0</v>
      </c>
      <c r="AJ183" s="605">
        <f ca="1">$A183*$AI183</f>
        <v>0</v>
      </c>
      <c r="AK183" s="606">
        <f ca="1">ROUND(($AG183+$AI183)*$A183,2)</f>
        <v>0</v>
      </c>
      <c r="AM183" s="607">
        <f ca="1">ROUND(R190,2)</f>
        <v>0</v>
      </c>
      <c r="AN183" s="608">
        <f ca="1">ROUND(T190,2)</f>
        <v>0</v>
      </c>
      <c r="AO183" s="609">
        <f ca="1">ROUND(AM183+AN183,2)*A183</f>
        <v>0</v>
      </c>
    </row>
    <row r="184" spans="1:41" s="602" customFormat="1" ht="13.2">
      <c r="A184" s="672"/>
      <c r="B184"/>
      <c r="C184" s="672"/>
      <c r="D184" s="673" t="s">
        <v>325</v>
      </c>
      <c r="F184" s="664"/>
      <c r="G184" s="3"/>
      <c r="H184" s="664"/>
      <c r="I184" s="677"/>
      <c r="J184" s="664"/>
      <c r="K184" s="664" t="s">
        <v>144</v>
      </c>
      <c r="L184" s="664"/>
      <c r="M184" s="664"/>
      <c r="N184" s="664"/>
      <c r="O184" s="664"/>
      <c r="P184" s="664"/>
      <c r="Q184" s="63"/>
      <c r="R184" s="610"/>
      <c r="S184" s="680"/>
      <c r="T184" s="664"/>
    </row>
    <row r="185" spans="1:41" s="713" customFormat="1" ht="13.2">
      <c r="A185"/>
      <c r="B185" s="807"/>
      <c r="C185" s="807" t="s">
        <v>692</v>
      </c>
      <c r="D185" s="807" t="str">
        <f ca="1">CELL("Address",Elec_Rates!D$299)</f>
        <v>[E25_0477_IH_Retro_Elec_Est_Rev_A_AW.xlsx]Elec_Rates!$D$299</v>
      </c>
      <c r="E185" s="808"/>
      <c r="F185" s="808"/>
      <c r="G185" s="809" t="s">
        <v>693</v>
      </c>
      <c r="H185" s="809"/>
      <c r="I185" s="809"/>
      <c r="J185" s="809"/>
      <c r="K185" s="810"/>
      <c r="L185" s="808"/>
      <c r="M185" s="808"/>
      <c r="N185" s="808"/>
      <c r="O185" s="811"/>
      <c r="P185" s="808"/>
      <c r="Q185" s="812"/>
      <c r="R185" s="813"/>
      <c r="S185" s="812"/>
      <c r="T185" s="814"/>
      <c r="U185" s="815"/>
    </row>
    <row r="186" spans="1:41" s="713" customFormat="1" ht="11.4">
      <c r="A186" s="816">
        <v>155</v>
      </c>
      <c r="B186" s="817">
        <v>1</v>
      </c>
      <c r="C186" s="817">
        <f>$A186*$B186</f>
        <v>155</v>
      </c>
      <c r="D186" s="818" t="str">
        <f>Elec_Rates!$D$299</f>
        <v>017# 500mm galvanised steel cable tray</v>
      </c>
      <c r="E186" s="818"/>
      <c r="F186" s="818" t="s">
        <v>694</v>
      </c>
      <c r="G186" s="819" t="s">
        <v>695</v>
      </c>
      <c r="H186" s="819"/>
      <c r="I186" s="819"/>
      <c r="J186" s="819"/>
      <c r="K186" s="820"/>
      <c r="L186" s="815"/>
      <c r="M186" s="815"/>
      <c r="N186" s="815"/>
      <c r="O186" s="821"/>
      <c r="P186" s="818"/>
      <c r="Q186" s="822">
        <f ca="1">$B186*Elec_Rates!$R$299</f>
        <v>0</v>
      </c>
      <c r="R186" s="813">
        <f ca="1">$A186*Q186</f>
        <v>0</v>
      </c>
      <c r="S186" s="822">
        <f ca="1">$B186*Elec_Rates!$T$299</f>
        <v>0</v>
      </c>
      <c r="T186" s="814">
        <f ca="1">$A186*S186</f>
        <v>0</v>
      </c>
      <c r="U186" s="583"/>
    </row>
    <row r="187" spans="1:41" s="713" customFormat="1" ht="13.2">
      <c r="A187"/>
      <c r="B187" s="807"/>
      <c r="C187" s="807" t="s">
        <v>692</v>
      </c>
      <c r="D187" s="807" t="str">
        <f ca="1">CELL("Address",Elec_Rates!D$334)</f>
        <v>[E25_0477_IH_Retro_Elec_Est_Rev_A_AW.xlsx]Elec_Rates!$D$334</v>
      </c>
      <c r="E187" s="808"/>
      <c r="F187" s="808"/>
      <c r="G187" s="809" t="s">
        <v>693</v>
      </c>
      <c r="H187" s="809"/>
      <c r="I187" s="809"/>
      <c r="J187" s="809"/>
      <c r="K187" s="810"/>
      <c r="L187" s="808"/>
      <c r="M187" s="808"/>
      <c r="N187" s="808"/>
      <c r="O187" s="811"/>
      <c r="P187" s="808"/>
      <c r="Q187" s="812"/>
      <c r="R187" s="813"/>
      <c r="S187" s="812"/>
      <c r="T187" s="814"/>
      <c r="U187" s="815"/>
    </row>
    <row r="188" spans="1:41" s="713" customFormat="1" ht="11.4">
      <c r="A188" s="816">
        <v>155</v>
      </c>
      <c r="B188" s="817">
        <v>1</v>
      </c>
      <c r="C188" s="817">
        <f>$A188*$B188</f>
        <v>155</v>
      </c>
      <c r="D188" s="818" t="str">
        <f>Elec_Rates!$D$334</f>
        <v>027# Bracket for 400-600mm cable tray</v>
      </c>
      <c r="E188" s="818"/>
      <c r="F188" s="818" t="s">
        <v>694</v>
      </c>
      <c r="G188" s="819" t="s">
        <v>695</v>
      </c>
      <c r="H188" s="819"/>
      <c r="I188" s="819"/>
      <c r="J188" s="819"/>
      <c r="K188" s="820"/>
      <c r="L188" s="815"/>
      <c r="M188" s="815"/>
      <c r="N188" s="815"/>
      <c r="O188" s="821"/>
      <c r="P188" s="818"/>
      <c r="Q188" s="822">
        <f ca="1">$B188*Elec_Rates!$R$334</f>
        <v>0</v>
      </c>
      <c r="R188" s="813">
        <f ca="1">$A188*Q188</f>
        <v>0</v>
      </c>
      <c r="S188" s="822">
        <f ca="1">$B188*Elec_Rates!$T$334</f>
        <v>0</v>
      </c>
      <c r="T188" s="814">
        <f ca="1">$A188*S188</f>
        <v>0</v>
      </c>
      <c r="U188" s="583"/>
    </row>
    <row r="189" spans="1:41" s="602" customFormat="1" ht="12">
      <c r="A189" s="663"/>
      <c r="B189" s="663"/>
      <c r="C189" s="663"/>
      <c r="D189" s="663"/>
      <c r="E189" s="663"/>
      <c r="F189" s="664"/>
      <c r="G189" s="663"/>
      <c r="H189" s="663"/>
      <c r="I189" s="601"/>
      <c r="J189" s="663"/>
      <c r="K189" s="663"/>
      <c r="L189" s="663"/>
      <c r="M189" s="663"/>
      <c r="N189" s="663"/>
      <c r="O189" s="663"/>
      <c r="P189" s="663"/>
      <c r="Q189" s="601"/>
      <c r="R189" s="666">
        <f>$A189*Q189</f>
        <v>0</v>
      </c>
      <c r="S189" s="601"/>
      <c r="T189" s="681">
        <f>$A189*S189*$T$1</f>
        <v>0</v>
      </c>
    </row>
    <row r="190" spans="1:41" s="602" customFormat="1" ht="12.6" thickBot="1">
      <c r="A190" s="682" t="s">
        <v>145</v>
      </c>
      <c r="B190" s="683">
        <f>(R189+T189)</f>
        <v>0</v>
      </c>
      <c r="C190" s="684"/>
      <c r="D190" s="684"/>
      <c r="E190" s="684"/>
      <c r="F190" s="685"/>
      <c r="G190" s="684" t="s">
        <v>146</v>
      </c>
      <c r="H190" s="684"/>
      <c r="I190" s="686"/>
      <c r="J190" s="684"/>
      <c r="K190" s="684" t="s">
        <v>3</v>
      </c>
      <c r="L190" s="687" t="s">
        <v>143</v>
      </c>
      <c r="M190" s="687"/>
      <c r="N190" s="687"/>
      <c r="O190" s="687"/>
      <c r="P190" s="687"/>
      <c r="Q190" s="688"/>
      <c r="R190" s="689">
        <f ca="1">SUM(R184:R189)</f>
        <v>0</v>
      </c>
      <c r="S190" s="684"/>
      <c r="T190" s="689">
        <f ca="1">SUM(T184:T189)</f>
        <v>0</v>
      </c>
      <c r="U190" s="611"/>
      <c r="V190" s="611"/>
      <c r="W190" s="611"/>
      <c r="X190" s="611"/>
      <c r="Y190" s="611"/>
      <c r="Z190" s="611"/>
      <c r="AA190" s="611"/>
      <c r="AB190" s="611"/>
      <c r="AC190" s="611"/>
      <c r="AD190" s="611"/>
      <c r="AE190" s="611"/>
      <c r="AF190" s="611"/>
      <c r="AG190" s="611"/>
      <c r="AH190" s="611"/>
      <c r="AI190" s="611"/>
      <c r="AJ190" s="611"/>
      <c r="AK190" s="611"/>
      <c r="AL190" s="611"/>
      <c r="AM190" s="611"/>
      <c r="AN190" s="611"/>
      <c r="AO190" s="611"/>
    </row>
    <row r="191" spans="1:41" s="602" customFormat="1" thickTop="1">
      <c r="A191" s="63"/>
      <c r="B191" s="63"/>
      <c r="C191" s="3"/>
      <c r="D191" s="3"/>
      <c r="E191" s="63"/>
      <c r="F191" s="63"/>
      <c r="G191" s="63"/>
      <c r="H191" s="63"/>
      <c r="I191" s="63"/>
      <c r="J191" s="63"/>
      <c r="K191" s="63" t="s">
        <v>134</v>
      </c>
      <c r="L191" s="63"/>
      <c r="M191" s="63"/>
      <c r="N191" s="63"/>
      <c r="O191" s="64"/>
      <c r="P191" s="63"/>
      <c r="Q191" s="63"/>
      <c r="R191" s="63"/>
      <c r="S191" s="63"/>
      <c r="T191" s="63"/>
    </row>
    <row r="192" spans="1:41" s="602" customFormat="1" ht="12">
      <c r="A192" s="63"/>
      <c r="B192" s="63"/>
      <c r="C192" s="63" t="s">
        <v>135</v>
      </c>
      <c r="D192" s="37" t="s">
        <v>449</v>
      </c>
      <c r="E192" s="63"/>
      <c r="F192" s="63"/>
      <c r="G192" s="63"/>
      <c r="H192" s="63"/>
      <c r="I192" s="63"/>
      <c r="J192" s="63"/>
      <c r="K192" s="63"/>
      <c r="L192" s="63"/>
      <c r="M192" s="63"/>
      <c r="N192" s="63"/>
      <c r="O192" s="64"/>
      <c r="P192" s="63"/>
      <c r="Q192" s="63"/>
      <c r="R192" s="63"/>
      <c r="S192" s="63"/>
      <c r="T192" s="63"/>
    </row>
    <row r="193" spans="1:41" s="602" customFormat="1" ht="39.9" customHeight="1">
      <c r="A193" s="63"/>
      <c r="B193" s="63"/>
      <c r="C193" s="63"/>
      <c r="D193" s="1371" t="s">
        <v>327</v>
      </c>
      <c r="E193" s="1369"/>
      <c r="F193" s="1369"/>
      <c r="G193" s="1369"/>
      <c r="H193" s="1369"/>
      <c r="I193" s="1369"/>
      <c r="J193" s="1369"/>
      <c r="K193" s="1369"/>
      <c r="L193" s="1369"/>
      <c r="M193" s="1369"/>
      <c r="N193" s="1369"/>
      <c r="O193" s="1369"/>
      <c r="P193" s="1369"/>
      <c r="Q193" s="1369"/>
      <c r="R193" s="1369"/>
      <c r="S193" s="1369"/>
      <c r="T193" s="1369"/>
    </row>
    <row r="194" spans="1:41" s="3" customFormat="1" thickBot="1">
      <c r="A194" s="611"/>
      <c r="O194" s="158"/>
    </row>
    <row r="195" spans="1:41" s="602" customFormat="1" ht="12" thickTop="1">
      <c r="A195" s="63"/>
      <c r="B195" s="41"/>
      <c r="C195" s="63"/>
      <c r="E195" s="42" t="s">
        <v>138</v>
      </c>
      <c r="F195" s="42" t="s">
        <v>139</v>
      </c>
      <c r="G195" s="63"/>
      <c r="H195" s="63"/>
      <c r="I195" s="63"/>
      <c r="J195" s="63"/>
      <c r="K195" s="63" t="s">
        <v>140</v>
      </c>
      <c r="L195" s="63"/>
      <c r="M195" s="63"/>
      <c r="N195" s="63"/>
      <c r="O195" s="64"/>
      <c r="P195" s="63"/>
      <c r="Q195" s="63"/>
      <c r="R195" s="63"/>
      <c r="S195" s="63"/>
      <c r="T195" s="41"/>
      <c r="AG195" s="667" t="s">
        <v>278</v>
      </c>
      <c r="AH195" s="667" t="s">
        <v>279</v>
      </c>
      <c r="AI195" s="667" t="s">
        <v>280</v>
      </c>
      <c r="AJ195" s="667" t="s">
        <v>281</v>
      </c>
      <c r="AK195" s="667" t="s">
        <v>282</v>
      </c>
      <c r="AM195" s="668" t="s">
        <v>291</v>
      </c>
      <c r="AN195" s="669" t="s">
        <v>292</v>
      </c>
      <c r="AO195" s="603" t="s">
        <v>288</v>
      </c>
    </row>
    <row r="196" spans="1:41" s="602" customFormat="1" ht="12" customHeight="1">
      <c r="A196" s="670">
        <v>3</v>
      </c>
      <c r="B196" s="671" t="s">
        <v>326</v>
      </c>
      <c r="C196" s="672"/>
      <c r="D196" s="673" t="s">
        <v>450</v>
      </c>
      <c r="E196" s="674">
        <f ca="1">IF(AND($A196=0,$A$1="DIF"),0, ROUND(ROUND(($R207*$S$2+($T207*$T$2))/A196,2)*$C$2,2))</f>
        <v>24.9</v>
      </c>
      <c r="F196" s="675">
        <f ca="1">ROUND($A196*$E196,2)</f>
        <v>74.7</v>
      </c>
      <c r="G196" s="676" t="s">
        <v>142</v>
      </c>
      <c r="H196" s="664"/>
      <c r="I196" s="677"/>
      <c r="J196" s="664"/>
      <c r="K196" s="664" t="s">
        <v>3</v>
      </c>
      <c r="L196" s="678" t="s">
        <v>143</v>
      </c>
      <c r="M196" s="678"/>
      <c r="N196" s="678"/>
      <c r="O196" s="678"/>
      <c r="P196" s="678"/>
      <c r="Q196" s="63"/>
      <c r="T196" s="679" t="str">
        <f ca="1">IF(AND($R207=0,$T207=0),"0.00","mu :" &amp; ROUND($F196/$C$2/($R207+$T207*$D$9),2))</f>
        <v>mu :1.35</v>
      </c>
      <c r="W196" s="604"/>
      <c r="AG196" s="549">
        <f ca="1">IF($E196=0,0,ROUND($R207*$S$2*$C$2/$A196,2))</f>
        <v>7.39</v>
      </c>
      <c r="AH196" s="549">
        <f ca="1">$AG196*$A196</f>
        <v>22.169999999999998</v>
      </c>
      <c r="AI196" s="605">
        <f ca="1">$E196-$AG196</f>
        <v>17.509999999999998</v>
      </c>
      <c r="AJ196" s="605">
        <f ca="1">$A196*$AI196</f>
        <v>52.529999999999994</v>
      </c>
      <c r="AK196" s="606">
        <f ca="1">ROUND(($AG196+$AI196)*$A196,2)</f>
        <v>74.7</v>
      </c>
      <c r="AM196" s="607">
        <f ca="1">ROUND(R207,2)</f>
        <v>16.86</v>
      </c>
      <c r="AN196" s="608">
        <f ca="1">ROUND(T207,2)</f>
        <v>1.46</v>
      </c>
      <c r="AO196" s="609">
        <f ca="1">ROUND(AM196+AN196,2)*A196</f>
        <v>54.96</v>
      </c>
    </row>
    <row r="197" spans="1:41" s="602" customFormat="1" ht="13.2">
      <c r="A197" s="672"/>
      <c r="B197"/>
      <c r="C197" s="672"/>
      <c r="D197" s="673" t="s">
        <v>328</v>
      </c>
      <c r="F197" s="664"/>
      <c r="G197" s="3"/>
      <c r="H197" s="664"/>
      <c r="I197" s="677"/>
      <c r="J197" s="664"/>
      <c r="K197" s="664" t="s">
        <v>144</v>
      </c>
      <c r="L197" s="664"/>
      <c r="M197" s="664"/>
      <c r="N197" s="664"/>
      <c r="O197" s="664"/>
      <c r="P197" s="664"/>
      <c r="Q197" s="63"/>
      <c r="R197" s="610"/>
      <c r="S197" s="680"/>
      <c r="T197" s="664"/>
    </row>
    <row r="198" spans="1:41" s="730" customFormat="1" ht="13.2">
      <c r="A198">
        <v>3</v>
      </c>
      <c r="B198" s="730" t="s">
        <v>326</v>
      </c>
      <c r="D198" s="730" t="s">
        <v>810</v>
      </c>
      <c r="G198" s="731" t="s">
        <v>811</v>
      </c>
      <c r="H198" s="732">
        <v>654</v>
      </c>
      <c r="I198" s="730" t="s">
        <v>674</v>
      </c>
      <c r="O198" s="733">
        <v>1</v>
      </c>
      <c r="P198" s="734"/>
      <c r="Q198" s="735"/>
      <c r="R198" s="736">
        <f t="shared" ref="R198:R203" si="0">$A198*Q198</f>
        <v>0</v>
      </c>
      <c r="S198" s="735">
        <v>0.45</v>
      </c>
      <c r="T198" s="737">
        <f t="shared" ref="T198:T203" si="1">$A198*S198*$T$1</f>
        <v>1.35</v>
      </c>
    </row>
    <row r="199" spans="1:41" s="730" customFormat="1" ht="13.2">
      <c r="A199">
        <v>15</v>
      </c>
      <c r="B199" s="730" t="s">
        <v>141</v>
      </c>
      <c r="D199" s="730" t="s">
        <v>870</v>
      </c>
      <c r="G199" s="731" t="s">
        <v>871</v>
      </c>
      <c r="H199" s="732">
        <v>875</v>
      </c>
      <c r="I199" s="730" t="s">
        <v>674</v>
      </c>
      <c r="K199" s="730" t="s">
        <v>872</v>
      </c>
      <c r="O199" s="733">
        <v>1</v>
      </c>
      <c r="P199" s="734">
        <v>34669</v>
      </c>
      <c r="Q199" s="845">
        <v>7.0000000000000007E-2</v>
      </c>
      <c r="R199" s="736">
        <f t="shared" si="0"/>
        <v>1.05</v>
      </c>
      <c r="S199" s="735"/>
      <c r="T199" s="737">
        <f t="shared" si="1"/>
        <v>0</v>
      </c>
    </row>
    <row r="200" spans="1:41" s="730" customFormat="1" ht="13.2">
      <c r="A200">
        <v>15</v>
      </c>
      <c r="B200" s="730" t="s">
        <v>141</v>
      </c>
      <c r="D200" s="730" t="s">
        <v>873</v>
      </c>
      <c r="G200" s="731" t="s">
        <v>874</v>
      </c>
      <c r="H200" s="732">
        <v>501</v>
      </c>
      <c r="I200" s="730" t="s">
        <v>875</v>
      </c>
      <c r="J200" s="730" t="s">
        <v>876</v>
      </c>
      <c r="K200" s="730" t="s">
        <v>877</v>
      </c>
      <c r="O200" s="733">
        <v>1</v>
      </c>
      <c r="P200" s="734">
        <v>36175</v>
      </c>
      <c r="Q200" s="845">
        <v>0.51</v>
      </c>
      <c r="R200" s="736">
        <f t="shared" si="0"/>
        <v>7.65</v>
      </c>
      <c r="S200" s="735"/>
      <c r="T200" s="737">
        <f t="shared" si="1"/>
        <v>0</v>
      </c>
    </row>
    <row r="201" spans="1:41" s="730" customFormat="1" ht="13.2">
      <c r="A201">
        <v>15</v>
      </c>
      <c r="B201" s="730" t="s">
        <v>141</v>
      </c>
      <c r="D201" s="730" t="s">
        <v>878</v>
      </c>
      <c r="G201" s="731" t="s">
        <v>879</v>
      </c>
      <c r="H201" s="732">
        <v>501</v>
      </c>
      <c r="I201" s="730" t="s">
        <v>674</v>
      </c>
      <c r="K201" s="730" t="s">
        <v>733</v>
      </c>
      <c r="O201" s="733">
        <v>1</v>
      </c>
      <c r="P201" s="734"/>
      <c r="Q201" s="735">
        <v>0.05</v>
      </c>
      <c r="R201" s="736">
        <f t="shared" si="0"/>
        <v>0.75</v>
      </c>
      <c r="S201" s="735"/>
      <c r="T201" s="737">
        <f t="shared" si="1"/>
        <v>0</v>
      </c>
    </row>
    <row r="202" spans="1:41" s="730" customFormat="1" ht="13.2">
      <c r="A202">
        <v>3</v>
      </c>
      <c r="B202" s="730" t="s">
        <v>141</v>
      </c>
      <c r="D202" s="730" t="s">
        <v>880</v>
      </c>
      <c r="G202" s="731" t="s">
        <v>881</v>
      </c>
      <c r="H202" s="732">
        <v>875</v>
      </c>
      <c r="I202" s="730" t="s">
        <v>674</v>
      </c>
      <c r="K202" s="730" t="s">
        <v>882</v>
      </c>
      <c r="O202" s="733">
        <v>1</v>
      </c>
      <c r="P202" s="734">
        <v>34669</v>
      </c>
      <c r="Q202" s="845">
        <v>0.35</v>
      </c>
      <c r="R202" s="736">
        <f t="shared" si="0"/>
        <v>1.0499999999999998</v>
      </c>
      <c r="S202" s="735"/>
      <c r="T202" s="737">
        <f t="shared" si="1"/>
        <v>0</v>
      </c>
    </row>
    <row r="203" spans="1:41" s="730" customFormat="1" ht="13.2">
      <c r="A203">
        <v>3</v>
      </c>
      <c r="B203" s="730" t="s">
        <v>326</v>
      </c>
      <c r="D203" s="730" t="s">
        <v>883</v>
      </c>
      <c r="E203" s="730" t="s">
        <v>884</v>
      </c>
      <c r="G203" s="731" t="s">
        <v>885</v>
      </c>
      <c r="H203" s="732">
        <v>615</v>
      </c>
      <c r="I203" s="730" t="s">
        <v>561</v>
      </c>
      <c r="K203" s="730" t="s">
        <v>886</v>
      </c>
      <c r="O203" s="733">
        <v>2</v>
      </c>
      <c r="P203" s="734">
        <v>38988</v>
      </c>
      <c r="Q203" s="735">
        <v>2.12</v>
      </c>
      <c r="R203" s="736">
        <f t="shared" si="0"/>
        <v>6.36</v>
      </c>
      <c r="S203" s="735">
        <v>3.5000000000000003E-2</v>
      </c>
      <c r="T203" s="737">
        <f t="shared" si="1"/>
        <v>0.10500000000000001</v>
      </c>
    </row>
    <row r="204" spans="1:41" s="713" customFormat="1" ht="13.2">
      <c r="A204"/>
      <c r="B204" s="807"/>
      <c r="C204" s="807" t="s">
        <v>692</v>
      </c>
      <c r="D204" s="807" t="str">
        <f ca="1">CELL("Address",Elec_Rates!D$334)</f>
        <v>[E25_0477_IH_Retro_Elec_Est_Rev_A_AW.xlsx]Elec_Rates!$D$334</v>
      </c>
      <c r="E204" s="808"/>
      <c r="F204" s="808"/>
      <c r="G204" s="809" t="s">
        <v>693</v>
      </c>
      <c r="H204" s="809"/>
      <c r="I204" s="809"/>
      <c r="J204" s="809"/>
      <c r="K204" s="810"/>
      <c r="L204" s="808"/>
      <c r="M204" s="808"/>
      <c r="N204" s="808"/>
      <c r="O204" s="811"/>
      <c r="P204" s="808"/>
      <c r="Q204" s="812"/>
      <c r="R204" s="813"/>
      <c r="S204" s="812"/>
      <c r="T204" s="814"/>
      <c r="U204" s="815"/>
    </row>
    <row r="205" spans="1:41" s="713" customFormat="1" ht="11.4">
      <c r="A205" s="816">
        <v>3</v>
      </c>
      <c r="B205" s="817">
        <v>1</v>
      </c>
      <c r="C205" s="817">
        <f>$A205*$B205</f>
        <v>3</v>
      </c>
      <c r="D205" s="818" t="str">
        <f>Elec_Rates!$D$334</f>
        <v>027# Bracket for 400-600mm cable tray</v>
      </c>
      <c r="E205" s="818"/>
      <c r="F205" s="818" t="s">
        <v>694</v>
      </c>
      <c r="G205" s="819" t="s">
        <v>695</v>
      </c>
      <c r="H205" s="819"/>
      <c r="I205" s="819"/>
      <c r="J205" s="819"/>
      <c r="K205" s="820"/>
      <c r="L205" s="815"/>
      <c r="M205" s="815"/>
      <c r="N205" s="815"/>
      <c r="O205" s="821"/>
      <c r="P205" s="818"/>
      <c r="Q205" s="822">
        <f ca="1">$B205*Elec_Rates!$R$334</f>
        <v>0</v>
      </c>
      <c r="R205" s="813">
        <f ca="1">$A205*Q205</f>
        <v>0</v>
      </c>
      <c r="S205" s="822">
        <f ca="1">$B205*Elec_Rates!$T$334</f>
        <v>0</v>
      </c>
      <c r="T205" s="814">
        <f ca="1">$A205*S205</f>
        <v>0</v>
      </c>
      <c r="U205" s="583"/>
    </row>
    <row r="206" spans="1:41" s="602" customFormat="1" ht="12">
      <c r="A206" s="663"/>
      <c r="B206" s="663"/>
      <c r="C206" s="663"/>
      <c r="D206" s="663"/>
      <c r="E206" s="663"/>
      <c r="F206" s="664"/>
      <c r="G206" s="663"/>
      <c r="H206" s="663"/>
      <c r="I206" s="601"/>
      <c r="J206" s="663"/>
      <c r="K206" s="663"/>
      <c r="L206" s="663"/>
      <c r="M206" s="663"/>
      <c r="N206" s="663"/>
      <c r="O206" s="663"/>
      <c r="P206" s="663"/>
      <c r="Q206" s="601"/>
      <c r="R206" s="666">
        <f>$A206*Q206</f>
        <v>0</v>
      </c>
      <c r="S206" s="601"/>
      <c r="T206" s="681">
        <f>$A206*S206*$T$1</f>
        <v>0</v>
      </c>
    </row>
    <row r="207" spans="1:41" s="602" customFormat="1" ht="12.6" thickBot="1">
      <c r="A207" s="682" t="s">
        <v>145</v>
      </c>
      <c r="B207" s="683">
        <f>(R206+T206)</f>
        <v>0</v>
      </c>
      <c r="C207" s="684"/>
      <c r="D207" s="684"/>
      <c r="E207" s="684"/>
      <c r="F207" s="685"/>
      <c r="G207" s="684" t="s">
        <v>146</v>
      </c>
      <c r="H207" s="684"/>
      <c r="I207" s="686"/>
      <c r="J207" s="684"/>
      <c r="K207" s="684" t="s">
        <v>3</v>
      </c>
      <c r="L207" s="687" t="s">
        <v>143</v>
      </c>
      <c r="M207" s="687"/>
      <c r="N207" s="687"/>
      <c r="O207" s="687"/>
      <c r="P207" s="687"/>
      <c r="Q207" s="688"/>
      <c r="R207" s="689">
        <f ca="1">SUM(R197:R206)</f>
        <v>16.86</v>
      </c>
      <c r="S207" s="684"/>
      <c r="T207" s="689">
        <f ca="1">SUM(T197:T206)</f>
        <v>1.4550000000000001</v>
      </c>
      <c r="U207" s="611"/>
      <c r="V207" s="611"/>
      <c r="W207" s="611"/>
      <c r="X207" s="611"/>
      <c r="Y207" s="611"/>
      <c r="Z207" s="611"/>
      <c r="AA207" s="611"/>
      <c r="AB207" s="611"/>
      <c r="AC207" s="611"/>
      <c r="AD207" s="611"/>
      <c r="AE207" s="611"/>
      <c r="AF207" s="611"/>
      <c r="AG207" s="611"/>
      <c r="AH207" s="611"/>
      <c r="AI207" s="611"/>
      <c r="AJ207" s="611"/>
      <c r="AK207" s="611"/>
      <c r="AL207" s="611"/>
      <c r="AM207" s="611"/>
      <c r="AN207" s="611"/>
      <c r="AO207" s="611"/>
    </row>
    <row r="208" spans="1:41" s="602" customFormat="1" ht="12" thickTop="1">
      <c r="A208" s="51" t="s">
        <v>154</v>
      </c>
      <c r="D208" s="13"/>
      <c r="E208" s="42"/>
      <c r="O208" s="698"/>
    </row>
    <row r="209" spans="1:41" s="602" customFormat="1" ht="13.2">
      <c r="B209" s="3"/>
      <c r="O209" s="698"/>
    </row>
    <row r="210" spans="1:41" s="602" customFormat="1" ht="12">
      <c r="B210" s="699">
        <f ca="1">$F210/$C$2-($R210*$S$2+$T210*$T$2)</f>
        <v>166.51099255043846</v>
      </c>
      <c r="D210" s="700" t="s">
        <v>414</v>
      </c>
      <c r="E210" s="701"/>
      <c r="F210" s="702">
        <f ca="1">SUMIF($L96:$L208,"ITEM",F96:F208)</f>
        <v>12133.880000000001</v>
      </c>
      <c r="G210" s="663"/>
      <c r="H210" s="663"/>
      <c r="I210" s="601"/>
      <c r="J210" s="663"/>
      <c r="K210" s="663"/>
      <c r="L210" s="678" t="s">
        <v>166</v>
      </c>
      <c r="M210" s="678"/>
      <c r="N210" s="678"/>
      <c r="O210" s="678"/>
      <c r="P210" s="678"/>
      <c r="R210" s="702">
        <f ca="1">SUMIF($L96:$L208,"ITEM",R96:R208)</f>
        <v>6622.7199999999993</v>
      </c>
      <c r="S210" s="71"/>
      <c r="T210" s="702">
        <f ca="1">SUMIF($L96:$L208,"ITEM",T96:T208)</f>
        <v>90.454999999999998</v>
      </c>
    </row>
    <row r="211" spans="1:41" s="602" customFormat="1" ht="13.2">
      <c r="A211" s="63"/>
      <c r="B211" s="55" t="s">
        <v>413</v>
      </c>
      <c r="C211" s="63"/>
      <c r="D211" s="3"/>
      <c r="F211" s="703" t="s">
        <v>168</v>
      </c>
      <c r="G211" s="663"/>
      <c r="H211" s="663"/>
      <c r="I211" s="601"/>
      <c r="J211" s="663"/>
      <c r="K211" s="663"/>
      <c r="L211" s="663"/>
      <c r="M211" s="663"/>
      <c r="N211" s="663"/>
      <c r="O211" s="663"/>
      <c r="P211" s="663"/>
      <c r="Q211" s="665"/>
      <c r="R211" s="703" t="s">
        <v>169</v>
      </c>
      <c r="S211" s="38"/>
      <c r="T211" s="703" t="s">
        <v>170</v>
      </c>
    </row>
    <row r="212" spans="1:41" s="602" customFormat="1" ht="13.2">
      <c r="A212" s="663"/>
      <c r="B212" s="3"/>
      <c r="C212" s="663"/>
      <c r="D212" s="3"/>
      <c r="E212" s="3"/>
      <c r="G212" s="3"/>
      <c r="H212" s="3"/>
      <c r="I212" s="3"/>
      <c r="J212" s="3"/>
      <c r="K212" s="3"/>
      <c r="L212" s="3"/>
      <c r="M212" s="3"/>
      <c r="N212" s="3"/>
      <c r="O212" s="158"/>
      <c r="P212" s="3"/>
      <c r="Q212" s="3"/>
      <c r="R212" s="3"/>
      <c r="S212" s="3"/>
      <c r="T212" s="3"/>
    </row>
    <row r="213" spans="1:41" s="602" customFormat="1" ht="12" thickBot="1">
      <c r="A213" s="611"/>
      <c r="B213" s="684"/>
      <c r="C213" s="684"/>
      <c r="D213" s="611"/>
      <c r="E213" s="39"/>
      <c r="F213" s="704"/>
      <c r="G213" s="684"/>
      <c r="H213" s="684"/>
      <c r="I213" s="686"/>
      <c r="J213" s="684"/>
      <c r="K213" s="684"/>
      <c r="L213" s="687"/>
      <c r="M213" s="687"/>
      <c r="N213" s="687"/>
      <c r="O213" s="687"/>
      <c r="P213" s="687"/>
      <c r="Q213" s="688"/>
      <c r="R213" s="704"/>
      <c r="S213" s="705"/>
      <c r="T213" s="704"/>
      <c r="U213" s="611"/>
      <c r="V213" s="611"/>
      <c r="W213" s="611"/>
      <c r="X213" s="611"/>
      <c r="Y213" s="611"/>
      <c r="Z213" s="611"/>
      <c r="AA213" s="611"/>
      <c r="AB213" s="611"/>
      <c r="AC213" s="611"/>
      <c r="AD213" s="611"/>
      <c r="AE213" s="611"/>
      <c r="AF213" s="611"/>
      <c r="AG213" s="611"/>
      <c r="AH213" s="611"/>
      <c r="AI213" s="611"/>
      <c r="AJ213" s="611"/>
      <c r="AK213" s="611"/>
    </row>
    <row r="214" spans="1:41" s="602" customFormat="1" thickTop="1">
      <c r="A214" s="63"/>
      <c r="B214" s="63"/>
      <c r="C214" s="3"/>
      <c r="D214" s="3"/>
      <c r="E214" s="63"/>
      <c r="F214" s="63"/>
      <c r="G214" s="63"/>
      <c r="H214" s="63"/>
      <c r="I214" s="63"/>
      <c r="J214" s="63"/>
      <c r="K214" s="63" t="s">
        <v>134</v>
      </c>
      <c r="L214" s="63"/>
      <c r="M214" s="63"/>
      <c r="N214" s="63"/>
      <c r="O214" s="64"/>
      <c r="P214" s="63"/>
      <c r="Q214" s="63"/>
      <c r="R214" s="63"/>
      <c r="S214" s="63"/>
      <c r="T214" s="63"/>
    </row>
    <row r="215" spans="1:41" s="602" customFormat="1" ht="12">
      <c r="A215" s="63"/>
      <c r="B215" s="63"/>
      <c r="C215" s="63" t="s">
        <v>135</v>
      </c>
      <c r="D215" s="37"/>
      <c r="E215" s="63"/>
      <c r="F215" s="63"/>
      <c r="G215" s="63"/>
      <c r="H215" s="63"/>
      <c r="I215" s="63"/>
      <c r="J215" s="63"/>
      <c r="K215" s="63"/>
      <c r="L215" s="63"/>
      <c r="M215" s="63"/>
      <c r="N215" s="63"/>
      <c r="O215" s="64"/>
      <c r="P215" s="63"/>
      <c r="Q215" s="63"/>
      <c r="R215" s="63"/>
      <c r="S215" s="63"/>
      <c r="T215" s="63"/>
    </row>
    <row r="216" spans="1:41" s="602" customFormat="1" ht="12">
      <c r="A216" s="63"/>
      <c r="B216" s="63"/>
      <c r="C216" s="63"/>
      <c r="D216" s="37" t="s">
        <v>451</v>
      </c>
      <c r="E216" s="63"/>
      <c r="F216" s="63"/>
      <c r="G216" s="63"/>
      <c r="H216" s="63"/>
      <c r="I216" s="63"/>
      <c r="J216" s="63"/>
      <c r="K216" s="63"/>
      <c r="L216" s="63"/>
      <c r="M216" s="63"/>
      <c r="N216" s="63"/>
      <c r="O216" s="64"/>
      <c r="P216" s="63"/>
      <c r="Q216" s="63"/>
      <c r="R216" s="63"/>
      <c r="S216" s="38"/>
      <c r="T216" s="38"/>
    </row>
    <row r="217" spans="1:41" s="3" customFormat="1" thickBot="1">
      <c r="A217" s="611"/>
      <c r="O217" s="158"/>
    </row>
    <row r="218" spans="1:41" s="602" customFormat="1" thickTop="1">
      <c r="A218" s="63"/>
      <c r="B218" s="63"/>
      <c r="C218" s="3"/>
      <c r="E218" s="63"/>
      <c r="F218" s="63"/>
      <c r="G218" s="63"/>
      <c r="H218" s="63"/>
      <c r="I218" s="63"/>
      <c r="J218" s="63"/>
      <c r="K218" s="63" t="s">
        <v>134</v>
      </c>
      <c r="L218" s="63"/>
      <c r="M218" s="63"/>
      <c r="N218" s="63"/>
      <c r="O218" s="64"/>
      <c r="P218" s="63"/>
      <c r="Q218" s="63"/>
      <c r="R218" s="63"/>
      <c r="S218" s="63"/>
      <c r="T218" s="63"/>
    </row>
    <row r="219" spans="1:41" s="602" customFormat="1" ht="12">
      <c r="A219" s="63"/>
      <c r="B219" s="63"/>
      <c r="C219" s="63" t="s">
        <v>135</v>
      </c>
      <c r="D219" s="673" t="s">
        <v>409</v>
      </c>
      <c r="E219" s="63"/>
      <c r="F219" s="63"/>
      <c r="G219" s="63"/>
      <c r="H219" s="63"/>
      <c r="I219" s="63"/>
      <c r="J219" s="63"/>
      <c r="K219" s="63"/>
      <c r="L219" s="63"/>
      <c r="M219" s="63"/>
      <c r="N219" s="63"/>
      <c r="O219" s="64"/>
      <c r="P219" s="63"/>
      <c r="Q219" s="63"/>
      <c r="R219" s="63"/>
      <c r="S219" s="63"/>
      <c r="T219" s="63"/>
    </row>
    <row r="220" spans="1:41" s="602" customFormat="1" ht="34.200000000000003" customHeight="1">
      <c r="A220" s="63"/>
      <c r="B220" s="63"/>
      <c r="C220" s="63"/>
      <c r="D220" s="1368" t="s">
        <v>663</v>
      </c>
      <c r="E220" s="1369"/>
      <c r="F220" s="1369"/>
      <c r="G220" s="1369"/>
      <c r="H220" s="1369"/>
      <c r="I220" s="1369"/>
      <c r="J220" s="1369"/>
      <c r="K220" s="1369"/>
      <c r="L220" s="1369"/>
      <c r="M220" s="1369"/>
      <c r="N220" s="1369"/>
      <c r="O220" s="1369"/>
      <c r="P220" s="1369"/>
      <c r="Q220" s="1369"/>
      <c r="R220" s="1369"/>
      <c r="S220" s="1369"/>
      <c r="T220" s="1369"/>
    </row>
    <row r="221" spans="1:41" s="3" customFormat="1" thickBot="1">
      <c r="A221" s="611"/>
      <c r="O221" s="158"/>
    </row>
    <row r="222" spans="1:41" s="602" customFormat="1" ht="12" thickTop="1">
      <c r="A222" s="63"/>
      <c r="B222" s="41"/>
      <c r="C222" s="63"/>
      <c r="E222" s="42" t="s">
        <v>138</v>
      </c>
      <c r="F222" s="42" t="s">
        <v>139</v>
      </c>
      <c r="G222" s="63"/>
      <c r="H222" s="63"/>
      <c r="I222" s="63"/>
      <c r="J222" s="63"/>
      <c r="K222" s="63" t="s">
        <v>140</v>
      </c>
      <c r="L222" s="63"/>
      <c r="M222" s="63"/>
      <c r="N222" s="63"/>
      <c r="O222" s="64"/>
      <c r="P222" s="63"/>
      <c r="Q222" s="63"/>
      <c r="R222" s="63"/>
      <c r="S222" s="63"/>
      <c r="T222" s="41"/>
      <c r="AG222" s="667" t="s">
        <v>278</v>
      </c>
      <c r="AH222" s="667" t="s">
        <v>279</v>
      </c>
      <c r="AI222" s="667" t="s">
        <v>280</v>
      </c>
      <c r="AJ222" s="667" t="s">
        <v>281</v>
      </c>
      <c r="AK222" s="667" t="s">
        <v>282</v>
      </c>
      <c r="AM222" s="668" t="s">
        <v>291</v>
      </c>
      <c r="AN222" s="669" t="s">
        <v>292</v>
      </c>
      <c r="AO222" s="603" t="s">
        <v>288</v>
      </c>
    </row>
    <row r="223" spans="1:41" s="602" customFormat="1" ht="12" customHeight="1">
      <c r="A223" s="670">
        <v>160</v>
      </c>
      <c r="B223" s="671" t="s">
        <v>330</v>
      </c>
      <c r="C223" s="672"/>
      <c r="D223" s="673" t="s">
        <v>452</v>
      </c>
      <c r="E223" s="674">
        <f ca="1">IF(AND($A223=0,$A$1="DIF"),0, ROUND(ROUND(($R238*$S$2+($T238*$T$2))/A223,2)*$C$2,2))</f>
        <v>0</v>
      </c>
      <c r="F223" s="675">
        <f ca="1">ROUND($A223*$E223,2)</f>
        <v>0</v>
      </c>
      <c r="G223" s="676" t="s">
        <v>142</v>
      </c>
      <c r="H223" s="664"/>
      <c r="I223" s="677"/>
      <c r="J223" s="664"/>
      <c r="K223" s="664" t="s">
        <v>3</v>
      </c>
      <c r="L223" s="678" t="s">
        <v>143</v>
      </c>
      <c r="M223" s="678"/>
      <c r="N223" s="678"/>
      <c r="O223" s="678"/>
      <c r="P223" s="678"/>
      <c r="Q223" s="63"/>
      <c r="T223" s="679" t="str">
        <f ca="1">IF(AND($R238=0,$T238=0),"0.00","mu :" &amp; ROUND($F223/$C$2/($R238+$T238*$D$9),2))</f>
        <v>0.00</v>
      </c>
      <c r="W223" s="604"/>
      <c r="AG223" s="549">
        <f ca="1">IF($E223=0,0,ROUND($R238*$S$2*$C$2/$A223,2))</f>
        <v>0</v>
      </c>
      <c r="AH223" s="549">
        <f ca="1">$AG223*$A223</f>
        <v>0</v>
      </c>
      <c r="AI223" s="605">
        <f ca="1">$E223-$AG223</f>
        <v>0</v>
      </c>
      <c r="AJ223" s="605">
        <f ca="1">$A223*$AI223</f>
        <v>0</v>
      </c>
      <c r="AK223" s="606">
        <f ca="1">ROUND(($AG223+$AI223)*$A223,2)</f>
        <v>0</v>
      </c>
      <c r="AM223" s="607">
        <f ca="1">ROUND(R238,2)</f>
        <v>0</v>
      </c>
      <c r="AN223" s="608">
        <f ca="1">ROUND(T238,2)</f>
        <v>0</v>
      </c>
      <c r="AO223" s="609">
        <f ca="1">ROUND(AM223+AN223,2)*A223</f>
        <v>0</v>
      </c>
    </row>
    <row r="224" spans="1:41" s="602" customFormat="1" ht="36">
      <c r="A224" s="672"/>
      <c r="B224"/>
      <c r="C224" s="672"/>
      <c r="D224" s="690" t="s">
        <v>662</v>
      </c>
      <c r="E224" s="691"/>
      <c r="F224" s="692"/>
      <c r="G224" s="693"/>
      <c r="H224" s="692"/>
      <c r="I224" s="694"/>
      <c r="J224" s="692"/>
      <c r="K224" s="692" t="s">
        <v>144</v>
      </c>
      <c r="L224" s="692"/>
      <c r="M224" s="692"/>
      <c r="N224" s="692"/>
      <c r="O224" s="692"/>
      <c r="P224" s="692"/>
      <c r="Q224" s="695"/>
      <c r="R224" s="696"/>
      <c r="S224" s="697"/>
      <c r="T224" s="692"/>
    </row>
    <row r="225" spans="1:41" s="713" customFormat="1" ht="13.2">
      <c r="A225"/>
      <c r="B225" s="807"/>
      <c r="C225" s="807" t="s">
        <v>692</v>
      </c>
      <c r="D225" s="807" t="str">
        <f ca="1">CELL("Address",Elec_Rates!D$168)</f>
        <v>[E25_0477_IH_Retro_Elec_Est_Rev_A_AW.xlsx]Elec_Rates!$D$168</v>
      </c>
      <c r="E225" s="808"/>
      <c r="F225" s="808"/>
      <c r="G225" s="809" t="s">
        <v>693</v>
      </c>
      <c r="H225" s="809"/>
      <c r="I225" s="809"/>
      <c r="J225" s="809"/>
      <c r="K225" s="810"/>
      <c r="L225" s="808"/>
      <c r="M225" s="808"/>
      <c r="N225" s="808"/>
      <c r="O225" s="811"/>
      <c r="P225" s="808"/>
      <c r="Q225" s="812"/>
      <c r="R225" s="813"/>
      <c r="S225" s="812"/>
      <c r="T225" s="814"/>
      <c r="U225" s="815"/>
    </row>
    <row r="226" spans="1:41" s="713" customFormat="1" ht="11.4">
      <c r="A226" s="816">
        <v>160</v>
      </c>
      <c r="B226" s="817">
        <v>1</v>
      </c>
      <c r="C226" s="817">
        <f>$A226*$B226</f>
        <v>160</v>
      </c>
      <c r="D226" s="818" t="str">
        <f>Elec_Rates!$D$168</f>
        <v>004# 5core x 120sqmm FG16(0)M16 cable</v>
      </c>
      <c r="E226" s="818"/>
      <c r="F226" s="818" t="s">
        <v>694</v>
      </c>
      <c r="G226" s="819" t="s">
        <v>695</v>
      </c>
      <c r="H226" s="819"/>
      <c r="I226" s="819"/>
      <c r="J226" s="819"/>
      <c r="K226" s="820"/>
      <c r="L226" s="815"/>
      <c r="M226" s="815"/>
      <c r="N226" s="815"/>
      <c r="O226" s="821"/>
      <c r="P226" s="818"/>
      <c r="Q226" s="822">
        <f ca="1">$B226*Elec_Rates!$R$168</f>
        <v>0</v>
      </c>
      <c r="R226" s="813">
        <f ca="1">$A226*Q226</f>
        <v>0</v>
      </c>
      <c r="S226" s="822">
        <f ca="1">$B226*Elec_Rates!$T$168</f>
        <v>0</v>
      </c>
      <c r="T226" s="814">
        <f ca="1">$A226*S226</f>
        <v>0</v>
      </c>
      <c r="U226" s="583"/>
    </row>
    <row r="227" spans="1:41" s="713" customFormat="1" ht="13.2">
      <c r="A227"/>
      <c r="B227" s="807"/>
      <c r="C227" s="807" t="s">
        <v>692</v>
      </c>
      <c r="D227" s="807" t="str">
        <f ca="1">CELL("Address",Elec_Rates!D$168)</f>
        <v>[E25_0477_IH_Retro_Elec_Est_Rev_A_AW.xlsx]Elec_Rates!$D$168</v>
      </c>
      <c r="E227" s="808"/>
      <c r="F227" s="808"/>
      <c r="G227" s="809" t="s">
        <v>693</v>
      </c>
      <c r="H227" s="809"/>
      <c r="I227" s="809"/>
      <c r="J227" s="809"/>
      <c r="K227" s="810"/>
      <c r="L227" s="808"/>
      <c r="M227" s="808"/>
      <c r="N227" s="808"/>
      <c r="O227" s="811"/>
      <c r="P227" s="808"/>
      <c r="Q227" s="812"/>
      <c r="R227" s="813"/>
      <c r="S227" s="812"/>
      <c r="T227" s="814"/>
      <c r="U227" s="815"/>
    </row>
    <row r="228" spans="1:41" s="713" customFormat="1" ht="11.4">
      <c r="A228" s="816">
        <v>160</v>
      </c>
      <c r="B228" s="817">
        <v>1</v>
      </c>
      <c r="C228" s="817">
        <f>$A228*$B228</f>
        <v>160</v>
      </c>
      <c r="D228" s="818" t="str">
        <f>Elec_Rates!$D$168</f>
        <v>004# 5core x 120sqmm FG16(0)M16 cable</v>
      </c>
      <c r="E228" s="818"/>
      <c r="F228" s="818" t="s">
        <v>694</v>
      </c>
      <c r="G228" s="819" t="s">
        <v>695</v>
      </c>
      <c r="H228" s="819"/>
      <c r="I228" s="819"/>
      <c r="J228" s="819"/>
      <c r="K228" s="820"/>
      <c r="L228" s="815"/>
      <c r="M228" s="815"/>
      <c r="N228" s="815"/>
      <c r="O228" s="821"/>
      <c r="P228" s="818"/>
      <c r="Q228" s="822">
        <f ca="1">$B228*Elec_Rates!$R$168</f>
        <v>0</v>
      </c>
      <c r="R228" s="813">
        <f ca="1">$A228*Q228</f>
        <v>0</v>
      </c>
      <c r="S228" s="822">
        <f ca="1">$B228*Elec_Rates!$T$168</f>
        <v>0</v>
      </c>
      <c r="T228" s="814">
        <f ca="1">$A228*S228</f>
        <v>0</v>
      </c>
      <c r="U228" s="583"/>
    </row>
    <row r="229" spans="1:41" s="713" customFormat="1" ht="13.2">
      <c r="A229"/>
      <c r="B229" s="807"/>
      <c r="C229" s="807" t="s">
        <v>692</v>
      </c>
      <c r="D229" s="807" t="str">
        <f ca="1">CELL("Address",Elec_Rates!D$168)</f>
        <v>[E25_0477_IH_Retro_Elec_Est_Rev_A_AW.xlsx]Elec_Rates!$D$168</v>
      </c>
      <c r="E229" s="808"/>
      <c r="F229" s="808"/>
      <c r="G229" s="809" t="s">
        <v>693</v>
      </c>
      <c r="H229" s="809"/>
      <c r="I229" s="809"/>
      <c r="J229" s="809"/>
      <c r="K229" s="810"/>
      <c r="L229" s="808"/>
      <c r="M229" s="808"/>
      <c r="N229" s="808"/>
      <c r="O229" s="811"/>
      <c r="P229" s="808"/>
      <c r="Q229" s="812"/>
      <c r="R229" s="813"/>
      <c r="S229" s="812"/>
      <c r="T229" s="814"/>
      <c r="U229" s="815"/>
    </row>
    <row r="230" spans="1:41" s="713" customFormat="1" ht="11.4">
      <c r="A230" s="816">
        <v>160</v>
      </c>
      <c r="B230" s="817">
        <v>1</v>
      </c>
      <c r="C230" s="817">
        <f>$A230*$B230</f>
        <v>160</v>
      </c>
      <c r="D230" s="818" t="str">
        <f>Elec_Rates!$D$168</f>
        <v>004# 5core x 120sqmm FG16(0)M16 cable</v>
      </c>
      <c r="E230" s="818"/>
      <c r="F230" s="818" t="s">
        <v>694</v>
      </c>
      <c r="G230" s="819" t="s">
        <v>695</v>
      </c>
      <c r="H230" s="819"/>
      <c r="I230" s="819"/>
      <c r="J230" s="819"/>
      <c r="K230" s="820"/>
      <c r="L230" s="815"/>
      <c r="M230" s="815"/>
      <c r="N230" s="815"/>
      <c r="O230" s="821"/>
      <c r="P230" s="818"/>
      <c r="Q230" s="822">
        <f ca="1">$B230*Elec_Rates!$R$168</f>
        <v>0</v>
      </c>
      <c r="R230" s="813">
        <f ca="1">$A230*Q230</f>
        <v>0</v>
      </c>
      <c r="S230" s="822">
        <f ca="1">$B230*Elec_Rates!$T$168</f>
        <v>0</v>
      </c>
      <c r="T230" s="814">
        <f ca="1">$A230*S230</f>
        <v>0</v>
      </c>
      <c r="U230" s="583"/>
    </row>
    <row r="231" spans="1:41" s="713" customFormat="1" ht="13.2">
      <c r="A231"/>
      <c r="B231" s="807"/>
      <c r="C231" s="807" t="s">
        <v>692</v>
      </c>
      <c r="D231" s="807" t="str">
        <f ca="1">CELL("Address",Elec_Rates!D$168)</f>
        <v>[E25_0477_IH_Retro_Elec_Est_Rev_A_AW.xlsx]Elec_Rates!$D$168</v>
      </c>
      <c r="E231" s="808"/>
      <c r="F231" s="808"/>
      <c r="G231" s="809" t="s">
        <v>693</v>
      </c>
      <c r="H231" s="809"/>
      <c r="I231" s="809"/>
      <c r="J231" s="809"/>
      <c r="K231" s="810"/>
      <c r="L231" s="808"/>
      <c r="M231" s="808"/>
      <c r="N231" s="808"/>
      <c r="O231" s="811"/>
      <c r="P231" s="808"/>
      <c r="Q231" s="812"/>
      <c r="R231" s="813"/>
      <c r="S231" s="812"/>
      <c r="T231" s="814"/>
      <c r="U231" s="815"/>
    </row>
    <row r="232" spans="1:41" s="713" customFormat="1" ht="11.4">
      <c r="A232" s="816">
        <v>160</v>
      </c>
      <c r="B232" s="817">
        <v>1</v>
      </c>
      <c r="C232" s="817">
        <f>$A232*$B232</f>
        <v>160</v>
      </c>
      <c r="D232" s="818" t="str">
        <f>Elec_Rates!$D$168</f>
        <v>004# 5core x 120sqmm FG16(0)M16 cable</v>
      </c>
      <c r="E232" s="818"/>
      <c r="F232" s="818" t="s">
        <v>694</v>
      </c>
      <c r="G232" s="819" t="s">
        <v>695</v>
      </c>
      <c r="H232" s="819"/>
      <c r="I232" s="819"/>
      <c r="J232" s="819"/>
      <c r="K232" s="820"/>
      <c r="L232" s="815"/>
      <c r="M232" s="815"/>
      <c r="N232" s="815"/>
      <c r="O232" s="821"/>
      <c r="P232" s="818"/>
      <c r="Q232" s="822">
        <f ca="1">$B232*Elec_Rates!$R$168</f>
        <v>0</v>
      </c>
      <c r="R232" s="813">
        <f ca="1">$A232*Q232</f>
        <v>0</v>
      </c>
      <c r="S232" s="822">
        <f ca="1">$B232*Elec_Rates!$T$168</f>
        <v>0</v>
      </c>
      <c r="T232" s="814">
        <f ca="1">$A232*S232</f>
        <v>0</v>
      </c>
      <c r="U232" s="583"/>
    </row>
    <row r="233" spans="1:41" s="713" customFormat="1" ht="13.2">
      <c r="A233"/>
      <c r="B233" s="807"/>
      <c r="C233" s="807" t="s">
        <v>692</v>
      </c>
      <c r="D233" s="807" t="str">
        <f ca="1">CELL("Address",Elec_Rates!D$168)</f>
        <v>[E25_0477_IH_Retro_Elec_Est_Rev_A_AW.xlsx]Elec_Rates!$D$168</v>
      </c>
      <c r="E233" s="808"/>
      <c r="F233" s="808"/>
      <c r="G233" s="809" t="s">
        <v>693</v>
      </c>
      <c r="H233" s="809"/>
      <c r="I233" s="809"/>
      <c r="J233" s="809"/>
      <c r="K233" s="810"/>
      <c r="L233" s="808"/>
      <c r="M233" s="808"/>
      <c r="N233" s="808"/>
      <c r="O233" s="811"/>
      <c r="P233" s="808"/>
      <c r="Q233" s="812"/>
      <c r="R233" s="813"/>
      <c r="S233" s="812"/>
      <c r="T233" s="814"/>
      <c r="U233" s="815"/>
    </row>
    <row r="234" spans="1:41" s="713" customFormat="1" ht="11.4">
      <c r="A234" s="816">
        <v>160</v>
      </c>
      <c r="B234" s="817">
        <v>1</v>
      </c>
      <c r="C234" s="817">
        <f>$A234*$B234</f>
        <v>160</v>
      </c>
      <c r="D234" s="818" t="str">
        <f>Elec_Rates!$D$168</f>
        <v>004# 5core x 120sqmm FG16(0)M16 cable</v>
      </c>
      <c r="E234" s="818"/>
      <c r="F234" s="818" t="s">
        <v>694</v>
      </c>
      <c r="G234" s="819" t="s">
        <v>695</v>
      </c>
      <c r="H234" s="819"/>
      <c r="I234" s="819"/>
      <c r="J234" s="819"/>
      <c r="K234" s="820"/>
      <c r="L234" s="815"/>
      <c r="M234" s="815"/>
      <c r="N234" s="815"/>
      <c r="O234" s="821"/>
      <c r="P234" s="818"/>
      <c r="Q234" s="822">
        <f ca="1">$B234*Elec_Rates!$R$168</f>
        <v>0</v>
      </c>
      <c r="R234" s="813">
        <f ca="1">$A234*Q234</f>
        <v>0</v>
      </c>
      <c r="S234" s="822">
        <f ca="1">$B234*Elec_Rates!$T$168</f>
        <v>0</v>
      </c>
      <c r="T234" s="814">
        <f ca="1">$A234*S234</f>
        <v>0</v>
      </c>
      <c r="U234" s="583"/>
    </row>
    <row r="235" spans="1:41" s="713" customFormat="1" ht="13.2">
      <c r="A235"/>
      <c r="B235" s="807"/>
      <c r="C235" s="807" t="s">
        <v>692</v>
      </c>
      <c r="D235" s="807" t="str">
        <f ca="1">CELL("Address",Elec_Rates!D$168)</f>
        <v>[E25_0477_IH_Retro_Elec_Est_Rev_A_AW.xlsx]Elec_Rates!$D$168</v>
      </c>
      <c r="E235" s="808"/>
      <c r="F235" s="808"/>
      <c r="G235" s="809" t="s">
        <v>693</v>
      </c>
      <c r="H235" s="809"/>
      <c r="I235" s="809"/>
      <c r="J235" s="809"/>
      <c r="K235" s="810"/>
      <c r="L235" s="808"/>
      <c r="M235" s="808"/>
      <c r="N235" s="808"/>
      <c r="O235" s="811"/>
      <c r="P235" s="808"/>
      <c r="Q235" s="812"/>
      <c r="R235" s="813"/>
      <c r="S235" s="812"/>
      <c r="T235" s="814"/>
      <c r="U235" s="815"/>
    </row>
    <row r="236" spans="1:41" s="713" customFormat="1" ht="11.4">
      <c r="A236" s="816">
        <v>160</v>
      </c>
      <c r="B236" s="817">
        <v>1</v>
      </c>
      <c r="C236" s="817">
        <f>$A236*$B236</f>
        <v>160</v>
      </c>
      <c r="D236" s="818" t="str">
        <f>Elec_Rates!$D$168</f>
        <v>004# 5core x 120sqmm FG16(0)M16 cable</v>
      </c>
      <c r="E236" s="818"/>
      <c r="F236" s="818" t="s">
        <v>694</v>
      </c>
      <c r="G236" s="819" t="s">
        <v>695</v>
      </c>
      <c r="H236" s="819"/>
      <c r="I236" s="819"/>
      <c r="J236" s="819"/>
      <c r="K236" s="820"/>
      <c r="L236" s="815"/>
      <c r="M236" s="815"/>
      <c r="N236" s="815"/>
      <c r="O236" s="821"/>
      <c r="P236" s="818"/>
      <c r="Q236" s="822">
        <f ca="1">$B236*Elec_Rates!$R$168</f>
        <v>0</v>
      </c>
      <c r="R236" s="813">
        <f ca="1">$A236*Q236</f>
        <v>0</v>
      </c>
      <c r="S236" s="822">
        <f ca="1">$B236*Elec_Rates!$T$168</f>
        <v>0</v>
      </c>
      <c r="T236" s="814">
        <f ca="1">$A236*S236</f>
        <v>0</v>
      </c>
      <c r="U236" s="583"/>
    </row>
    <row r="237" spans="1:41" s="602" customFormat="1" ht="12">
      <c r="A237" s="663"/>
      <c r="B237" s="663"/>
      <c r="C237" s="663"/>
      <c r="D237" s="663"/>
      <c r="E237" s="663"/>
      <c r="F237" s="664"/>
      <c r="G237" s="663"/>
      <c r="H237" s="663"/>
      <c r="I237" s="601"/>
      <c r="J237" s="663"/>
      <c r="K237" s="663"/>
      <c r="L237" s="663"/>
      <c r="M237" s="663"/>
      <c r="N237" s="663"/>
      <c r="O237" s="663"/>
      <c r="P237" s="663"/>
      <c r="Q237" s="601"/>
      <c r="R237" s="666">
        <f>$A237*Q237</f>
        <v>0</v>
      </c>
      <c r="S237" s="601"/>
      <c r="T237" s="681">
        <f>$A237*S237*$T$1</f>
        <v>0</v>
      </c>
    </row>
    <row r="238" spans="1:41" s="602" customFormat="1" ht="12.6" thickBot="1">
      <c r="A238" s="682" t="s">
        <v>145</v>
      </c>
      <c r="B238" s="683">
        <f>(R237+T237)</f>
        <v>0</v>
      </c>
      <c r="C238" s="684"/>
      <c r="D238" s="684"/>
      <c r="E238" s="684"/>
      <c r="F238" s="685"/>
      <c r="G238" s="684" t="s">
        <v>146</v>
      </c>
      <c r="H238" s="684"/>
      <c r="I238" s="686"/>
      <c r="J238" s="684"/>
      <c r="K238" s="684" t="s">
        <v>3</v>
      </c>
      <c r="L238" s="687" t="s">
        <v>143</v>
      </c>
      <c r="M238" s="687"/>
      <c r="N238" s="687"/>
      <c r="O238" s="687"/>
      <c r="P238" s="687"/>
      <c r="Q238" s="688"/>
      <c r="R238" s="689">
        <f ca="1">SUM(R224:R237)</f>
        <v>0</v>
      </c>
      <c r="S238" s="684"/>
      <c r="T238" s="689">
        <f ca="1">SUM(T224:T237)</f>
        <v>0</v>
      </c>
      <c r="U238" s="611"/>
      <c r="V238" s="611"/>
      <c r="W238" s="611"/>
      <c r="X238" s="611"/>
      <c r="Y238" s="611"/>
      <c r="Z238" s="611"/>
      <c r="AA238" s="611"/>
      <c r="AB238" s="611"/>
      <c r="AC238" s="611"/>
      <c r="AD238" s="611"/>
      <c r="AE238" s="611"/>
      <c r="AF238" s="611"/>
      <c r="AG238" s="611"/>
      <c r="AH238" s="611"/>
      <c r="AI238" s="611"/>
      <c r="AJ238" s="611"/>
      <c r="AK238" s="611"/>
      <c r="AL238" s="611"/>
      <c r="AM238" s="611"/>
      <c r="AN238" s="611"/>
      <c r="AO238" s="611"/>
    </row>
    <row r="239" spans="1:41" s="602" customFormat="1" ht="12" thickTop="1">
      <c r="A239" s="63"/>
      <c r="B239" s="41"/>
      <c r="C239" s="63"/>
      <c r="E239" s="42" t="s">
        <v>138</v>
      </c>
      <c r="F239" s="42" t="s">
        <v>139</v>
      </c>
      <c r="G239" s="63"/>
      <c r="H239" s="63"/>
      <c r="I239" s="63"/>
      <c r="J239" s="63"/>
      <c r="K239" s="63" t="s">
        <v>140</v>
      </c>
      <c r="L239" s="63"/>
      <c r="M239" s="63"/>
      <c r="N239" s="63"/>
      <c r="O239" s="64"/>
      <c r="P239" s="63"/>
      <c r="Q239" s="63"/>
      <c r="R239" s="63"/>
      <c r="S239" s="63"/>
      <c r="T239" s="41"/>
      <c r="AG239" s="667" t="s">
        <v>278</v>
      </c>
      <c r="AH239" s="667" t="s">
        <v>279</v>
      </c>
      <c r="AI239" s="667" t="s">
        <v>280</v>
      </c>
      <c r="AJ239" s="667" t="s">
        <v>281</v>
      </c>
      <c r="AK239" s="667" t="s">
        <v>282</v>
      </c>
      <c r="AM239" s="668" t="s">
        <v>291</v>
      </c>
      <c r="AN239" s="669" t="s">
        <v>292</v>
      </c>
      <c r="AO239" s="603" t="s">
        <v>288</v>
      </c>
    </row>
    <row r="240" spans="1:41" s="602" customFormat="1" ht="12" customHeight="1">
      <c r="A240" s="670">
        <v>10</v>
      </c>
      <c r="B240" s="671" t="s">
        <v>330</v>
      </c>
      <c r="C240" s="672"/>
      <c r="D240" s="673" t="s">
        <v>453</v>
      </c>
      <c r="E240" s="674">
        <f ca="1">IF(AND($A240=0,$A$1="DIF"),0, ROUND(ROUND(($R247*$S$2+($T247*$T$2))/A240,2)*$C$2,2))</f>
        <v>0</v>
      </c>
      <c r="F240" s="675">
        <f ca="1">ROUND($A240*$E240,2)</f>
        <v>0</v>
      </c>
      <c r="G240" s="676" t="s">
        <v>142</v>
      </c>
      <c r="H240" s="664"/>
      <c r="I240" s="677"/>
      <c r="J240" s="664"/>
      <c r="K240" s="664" t="s">
        <v>3</v>
      </c>
      <c r="L240" s="678" t="s">
        <v>143</v>
      </c>
      <c r="M240" s="678"/>
      <c r="N240" s="678"/>
      <c r="O240" s="678"/>
      <c r="P240" s="678"/>
      <c r="Q240" s="63"/>
      <c r="T240" s="679" t="str">
        <f ca="1">IF(AND($R247=0,$T247=0),"0.00","mu :" &amp; ROUND($F240/$C$2/($R247+$T247*$D$9),2))</f>
        <v>0.00</v>
      </c>
      <c r="W240" s="604"/>
      <c r="AG240" s="549">
        <f ca="1">IF($E240=0,0,ROUND($R247*$S$2*$C$2/$A240,2))</f>
        <v>0</v>
      </c>
      <c r="AH240" s="549">
        <f ca="1">$AG240*$A240</f>
        <v>0</v>
      </c>
      <c r="AI240" s="605">
        <f ca="1">$E240-$AG240</f>
        <v>0</v>
      </c>
      <c r="AJ240" s="605">
        <f ca="1">$A240*$AI240</f>
        <v>0</v>
      </c>
      <c r="AK240" s="606">
        <f ca="1">ROUND(($AG240+$AI240)*$A240,2)</f>
        <v>0</v>
      </c>
      <c r="AM240" s="607">
        <f ca="1">ROUND(R247,2)</f>
        <v>0</v>
      </c>
      <c r="AN240" s="608">
        <f ca="1">ROUND(T247,2)</f>
        <v>0</v>
      </c>
      <c r="AO240" s="609">
        <f ca="1">ROUND(AM240+AN240,2)*A240</f>
        <v>0</v>
      </c>
    </row>
    <row r="241" spans="1:41" s="602" customFormat="1" ht="39.9" customHeight="1">
      <c r="A241" s="672"/>
      <c r="B241"/>
      <c r="C241" s="672"/>
      <c r="D241" s="1368" t="s">
        <v>394</v>
      </c>
      <c r="E241" s="1369"/>
      <c r="F241" s="1369"/>
      <c r="G241" s="1369"/>
      <c r="H241" s="1369"/>
      <c r="I241" s="1369"/>
      <c r="J241" s="1369"/>
      <c r="K241" s="1369"/>
      <c r="L241" s="1369"/>
      <c r="M241" s="1369"/>
      <c r="N241" s="1369"/>
      <c r="O241" s="1369"/>
      <c r="P241" s="1369"/>
      <c r="Q241" s="1369"/>
      <c r="R241" s="1369"/>
      <c r="S241" s="1369"/>
      <c r="T241" s="1369"/>
    </row>
    <row r="242" spans="1:41" s="713" customFormat="1" ht="13.2">
      <c r="A242"/>
      <c r="B242" s="807"/>
      <c r="C242" s="807" t="s">
        <v>692</v>
      </c>
      <c r="D242" s="807" t="str">
        <f ca="1">CELL("Address",Elec_Rates!D$210)</f>
        <v>[E25_0477_IH_Retro_Elec_Est_Rev_A_AW.xlsx]Elec_Rates!$D$210</v>
      </c>
      <c r="E242" s="808"/>
      <c r="F242" s="808"/>
      <c r="G242" s="809" t="s">
        <v>693</v>
      </c>
      <c r="H242" s="809"/>
      <c r="I242" s="809"/>
      <c r="J242" s="809"/>
      <c r="K242" s="810"/>
      <c r="L242" s="808"/>
      <c r="M242" s="808"/>
      <c r="N242" s="808"/>
      <c r="O242" s="811"/>
      <c r="P242" s="808"/>
      <c r="Q242" s="812"/>
      <c r="R242" s="813"/>
      <c r="S242" s="812"/>
      <c r="T242" s="814"/>
      <c r="U242" s="815"/>
    </row>
    <row r="243" spans="1:41" s="713" customFormat="1" ht="11.4">
      <c r="A243" s="816">
        <v>10</v>
      </c>
      <c r="B243" s="817">
        <v>1</v>
      </c>
      <c r="C243" s="817">
        <f>$A243*$B243</f>
        <v>10</v>
      </c>
      <c r="D243" s="818" t="str">
        <f>Elec_Rates!$D$210</f>
        <v>008# 5core x 50sqmm FG16(0)M16 cable</v>
      </c>
      <c r="E243" s="818"/>
      <c r="F243" s="818" t="s">
        <v>694</v>
      </c>
      <c r="G243" s="819" t="s">
        <v>696</v>
      </c>
      <c r="H243" s="819"/>
      <c r="I243" s="819"/>
      <c r="J243" s="819"/>
      <c r="K243" s="820"/>
      <c r="L243" s="815"/>
      <c r="M243" s="815"/>
      <c r="N243" s="815"/>
      <c r="O243" s="821"/>
      <c r="P243" s="818"/>
      <c r="Q243" s="822">
        <f ca="1">$B243*Elec_Rates!$R$210</f>
        <v>0</v>
      </c>
      <c r="R243" s="813">
        <f ca="1">$A243*Q243</f>
        <v>0</v>
      </c>
      <c r="S243" s="822">
        <f ca="1">$B243*Elec_Rates!$T$210</f>
        <v>0</v>
      </c>
      <c r="T243" s="814">
        <f ca="1">$A243*S243</f>
        <v>0</v>
      </c>
      <c r="U243" s="583"/>
    </row>
    <row r="244" spans="1:41" s="713" customFormat="1" ht="13.2">
      <c r="A244"/>
      <c r="B244" s="807"/>
      <c r="C244" s="807" t="s">
        <v>692</v>
      </c>
      <c r="D244" s="807" t="str">
        <f ca="1">CELL("Address",Elec_Rates!D$210)</f>
        <v>[E25_0477_IH_Retro_Elec_Est_Rev_A_AW.xlsx]Elec_Rates!$D$210</v>
      </c>
      <c r="E244" s="808"/>
      <c r="F244" s="808"/>
      <c r="G244" s="809" t="s">
        <v>693</v>
      </c>
      <c r="H244" s="809"/>
      <c r="I244" s="809"/>
      <c r="J244" s="809"/>
      <c r="K244" s="810"/>
      <c r="L244" s="808"/>
      <c r="M244" s="808"/>
      <c r="N244" s="808"/>
      <c r="O244" s="811"/>
      <c r="P244" s="808"/>
      <c r="Q244" s="812"/>
      <c r="R244" s="813"/>
      <c r="S244" s="812"/>
      <c r="T244" s="814"/>
      <c r="U244" s="815"/>
    </row>
    <row r="245" spans="1:41" s="713" customFormat="1" ht="11.4">
      <c r="A245" s="816">
        <v>10</v>
      </c>
      <c r="B245" s="817">
        <v>1</v>
      </c>
      <c r="C245" s="817">
        <f>$A245*$B245</f>
        <v>10</v>
      </c>
      <c r="D245" s="818" t="str">
        <f>Elec_Rates!$D$210</f>
        <v>008# 5core x 50sqmm FG16(0)M16 cable</v>
      </c>
      <c r="E245" s="818"/>
      <c r="F245" s="818" t="s">
        <v>694</v>
      </c>
      <c r="G245" s="819" t="s">
        <v>696</v>
      </c>
      <c r="H245" s="819"/>
      <c r="I245" s="819"/>
      <c r="J245" s="819"/>
      <c r="K245" s="820"/>
      <c r="L245" s="815"/>
      <c r="M245" s="815"/>
      <c r="N245" s="815"/>
      <c r="O245" s="821"/>
      <c r="P245" s="818"/>
      <c r="Q245" s="822">
        <f ca="1">$B245*Elec_Rates!$R$210</f>
        <v>0</v>
      </c>
      <c r="R245" s="813">
        <f ca="1">$A245*Q245</f>
        <v>0</v>
      </c>
      <c r="S245" s="822">
        <f ca="1">$B245*Elec_Rates!$T$210</f>
        <v>0</v>
      </c>
      <c r="T245" s="814">
        <f ca="1">$A245*S245</f>
        <v>0</v>
      </c>
      <c r="U245" s="583"/>
    </row>
    <row r="246" spans="1:41" s="602" customFormat="1" ht="12">
      <c r="A246" s="663"/>
      <c r="B246" s="663"/>
      <c r="C246" s="663"/>
      <c r="D246" s="663"/>
      <c r="E246" s="663"/>
      <c r="F246" s="664"/>
      <c r="G246" s="663"/>
      <c r="H246" s="663"/>
      <c r="I246" s="601"/>
      <c r="J246" s="663"/>
      <c r="K246" s="663"/>
      <c r="L246" s="663"/>
      <c r="M246" s="663"/>
      <c r="N246" s="663"/>
      <c r="O246" s="663"/>
      <c r="P246" s="663"/>
      <c r="Q246" s="601"/>
      <c r="R246" s="666">
        <f>$A246*Q246</f>
        <v>0</v>
      </c>
      <c r="S246" s="601"/>
      <c r="T246" s="681">
        <f>$A246*S246*$T$1</f>
        <v>0</v>
      </c>
    </row>
    <row r="247" spans="1:41" s="602" customFormat="1" ht="12.6" thickBot="1">
      <c r="A247" s="682" t="s">
        <v>145</v>
      </c>
      <c r="B247" s="683">
        <f>(R246+T246)</f>
        <v>0</v>
      </c>
      <c r="C247" s="684"/>
      <c r="D247" s="684"/>
      <c r="E247" s="684"/>
      <c r="F247" s="685"/>
      <c r="G247" s="684" t="s">
        <v>146</v>
      </c>
      <c r="H247" s="684"/>
      <c r="I247" s="686"/>
      <c r="J247" s="684"/>
      <c r="K247" s="684" t="s">
        <v>3</v>
      </c>
      <c r="L247" s="687" t="s">
        <v>143</v>
      </c>
      <c r="M247" s="687"/>
      <c r="N247" s="687"/>
      <c r="O247" s="687"/>
      <c r="P247" s="687"/>
      <c r="Q247" s="688"/>
      <c r="R247" s="689">
        <f ca="1">SUM(R241:R246)</f>
        <v>0</v>
      </c>
      <c r="S247" s="684"/>
      <c r="T247" s="689">
        <f ca="1">SUM(T241:T246)</f>
        <v>0</v>
      </c>
      <c r="U247" s="611"/>
      <c r="V247" s="611"/>
      <c r="W247" s="611"/>
      <c r="X247" s="611"/>
      <c r="Y247" s="611"/>
      <c r="Z247" s="611"/>
      <c r="AA247" s="611"/>
      <c r="AB247" s="611"/>
      <c r="AC247" s="611"/>
      <c r="AD247" s="611"/>
      <c r="AE247" s="611"/>
      <c r="AF247" s="611"/>
      <c r="AG247" s="611"/>
      <c r="AH247" s="611"/>
      <c r="AI247" s="611"/>
      <c r="AJ247" s="611"/>
      <c r="AK247" s="611"/>
      <c r="AL247" s="611"/>
      <c r="AM247" s="611"/>
      <c r="AN247" s="611"/>
      <c r="AO247" s="611"/>
    </row>
    <row r="248" spans="1:41" s="602" customFormat="1" ht="12" thickTop="1">
      <c r="A248" s="63"/>
      <c r="B248" s="41"/>
      <c r="C248" s="63"/>
      <c r="E248" s="42" t="s">
        <v>138</v>
      </c>
      <c r="F248" s="42" t="s">
        <v>139</v>
      </c>
      <c r="G248" s="63"/>
      <c r="H248" s="63"/>
      <c r="I248" s="63"/>
      <c r="J248" s="63"/>
      <c r="K248" s="63" t="s">
        <v>140</v>
      </c>
      <c r="L248" s="63"/>
      <c r="M248" s="63"/>
      <c r="N248" s="63"/>
      <c r="O248" s="64"/>
      <c r="P248" s="63"/>
      <c r="Q248" s="63"/>
      <c r="R248" s="63"/>
      <c r="S248" s="63"/>
      <c r="T248" s="41"/>
      <c r="AG248" s="667" t="s">
        <v>278</v>
      </c>
      <c r="AH248" s="667" t="s">
        <v>279</v>
      </c>
      <c r="AI248" s="667" t="s">
        <v>280</v>
      </c>
      <c r="AJ248" s="667" t="s">
        <v>281</v>
      </c>
      <c r="AK248" s="667" t="s">
        <v>282</v>
      </c>
      <c r="AM248" s="668" t="s">
        <v>291</v>
      </c>
      <c r="AN248" s="669" t="s">
        <v>292</v>
      </c>
      <c r="AO248" s="603" t="s">
        <v>288</v>
      </c>
    </row>
    <row r="249" spans="1:41" s="602" customFormat="1" ht="12" customHeight="1">
      <c r="A249" s="670">
        <v>5</v>
      </c>
      <c r="B249" s="671" t="s">
        <v>330</v>
      </c>
      <c r="C249" s="672"/>
      <c r="D249" s="673" t="s">
        <v>454</v>
      </c>
      <c r="E249" s="674">
        <f>IF(AND($A249=0,$A$1="DIF"),0, ROUND(ROUND(($R257*$S$2+($T257*$T$2))/A249,2)*$C$2,2))</f>
        <v>43.83</v>
      </c>
      <c r="F249" s="675">
        <f>ROUND($A249*$E249,2)</f>
        <v>219.15</v>
      </c>
      <c r="G249" s="676" t="s">
        <v>142</v>
      </c>
      <c r="H249" s="664"/>
      <c r="I249" s="677"/>
      <c r="J249" s="664"/>
      <c r="K249" s="664" t="s">
        <v>3</v>
      </c>
      <c r="L249" s="678" t="s">
        <v>143</v>
      </c>
      <c r="M249" s="678"/>
      <c r="N249" s="678"/>
      <c r="O249" s="678"/>
      <c r="P249" s="678"/>
      <c r="Q249" s="63"/>
      <c r="T249" s="679" t="str">
        <f>IF(AND($R257=0,$T257=0),"0.00","mu :" &amp; ROUND($F249/$C$2/($R257+$T257*$D$9),2))</f>
        <v>mu :1.35</v>
      </c>
      <c r="W249" s="604"/>
      <c r="AG249" s="549">
        <f>IF($E249=0,0,ROUND($R257*$S$2*$C$2/$A249,2))</f>
        <v>25.35</v>
      </c>
      <c r="AH249" s="549">
        <f>$AG249*$A249</f>
        <v>126.75</v>
      </c>
      <c r="AI249" s="605">
        <f>$E249-$AG249</f>
        <v>18.479999999999997</v>
      </c>
      <c r="AJ249" s="605">
        <f>$A249*$AI249</f>
        <v>92.399999999999977</v>
      </c>
      <c r="AK249" s="606">
        <f>ROUND(($AG249+$AI249)*$A249,2)</f>
        <v>219.15</v>
      </c>
      <c r="AM249" s="607">
        <f>ROUND(R257,2)</f>
        <v>96.42</v>
      </c>
      <c r="AN249" s="608">
        <f>ROUND(T257,2)</f>
        <v>2.56</v>
      </c>
      <c r="AO249" s="609">
        <f>ROUND(AM249+AN249,2)*A249</f>
        <v>494.90000000000003</v>
      </c>
    </row>
    <row r="250" spans="1:41" s="602" customFormat="1" ht="39.9" customHeight="1">
      <c r="A250" s="672"/>
      <c r="B250"/>
      <c r="C250" s="672"/>
      <c r="D250" s="1368" t="s">
        <v>395</v>
      </c>
      <c r="E250" s="1369"/>
      <c r="F250" s="1369"/>
      <c r="G250" s="1369"/>
      <c r="H250" s="1369"/>
      <c r="I250" s="1369"/>
      <c r="J250" s="1369"/>
      <c r="K250" s="1369"/>
      <c r="L250" s="1369"/>
      <c r="M250" s="1369"/>
      <c r="N250" s="1369"/>
      <c r="O250" s="1369"/>
      <c r="P250" s="1369"/>
      <c r="Q250" s="1369"/>
      <c r="R250" s="1369"/>
      <c r="S250" s="1369"/>
      <c r="T250" s="1369"/>
    </row>
    <row r="251" spans="1:41" s="730" customFormat="1" ht="13.2">
      <c r="A251">
        <v>5</v>
      </c>
      <c r="B251" s="730" t="s">
        <v>326</v>
      </c>
      <c r="D251" s="730" t="s">
        <v>697</v>
      </c>
      <c r="G251" s="731" t="s">
        <v>698</v>
      </c>
      <c r="H251" s="732">
        <v>615</v>
      </c>
      <c r="I251" s="730" t="s">
        <v>561</v>
      </c>
      <c r="K251" s="730" t="s">
        <v>699</v>
      </c>
      <c r="O251" s="733">
        <v>2</v>
      </c>
      <c r="P251" s="734">
        <v>38988</v>
      </c>
      <c r="Q251" s="823">
        <v>8.39</v>
      </c>
      <c r="R251" s="736">
        <f t="shared" ref="R251:R256" si="2">$A251*Q251</f>
        <v>41.95</v>
      </c>
      <c r="S251" s="735">
        <v>0.08</v>
      </c>
      <c r="T251" s="737">
        <f t="shared" ref="T251:T256" si="3">$A251*S251*$T$1</f>
        <v>0.4</v>
      </c>
    </row>
    <row r="252" spans="1:41" s="730" customFormat="1" ht="13.2">
      <c r="A252">
        <v>5</v>
      </c>
      <c r="B252" s="730" t="s">
        <v>326</v>
      </c>
      <c r="D252" s="730" t="s">
        <v>697</v>
      </c>
      <c r="G252" s="731" t="s">
        <v>698</v>
      </c>
      <c r="H252" s="732">
        <v>615</v>
      </c>
      <c r="I252" s="730" t="s">
        <v>561</v>
      </c>
      <c r="K252" s="730" t="s">
        <v>699</v>
      </c>
      <c r="O252" s="733">
        <v>2</v>
      </c>
      <c r="P252" s="734">
        <v>38988</v>
      </c>
      <c r="Q252" s="823">
        <v>8.39</v>
      </c>
      <c r="R252" s="736">
        <f t="shared" si="2"/>
        <v>41.95</v>
      </c>
      <c r="S252" s="735">
        <v>0.08</v>
      </c>
      <c r="T252" s="737">
        <f t="shared" si="3"/>
        <v>0.4</v>
      </c>
    </row>
    <row r="253" spans="1:41" s="730" customFormat="1" ht="13.2">
      <c r="A253">
        <v>4</v>
      </c>
      <c r="B253" s="730" t="s">
        <v>141</v>
      </c>
      <c r="D253" s="730" t="s">
        <v>700</v>
      </c>
      <c r="G253" s="731" t="s">
        <v>701</v>
      </c>
      <c r="H253" s="732">
        <v>620</v>
      </c>
      <c r="I253" s="730" t="s">
        <v>702</v>
      </c>
      <c r="O253" s="733">
        <v>2</v>
      </c>
      <c r="P253" s="734">
        <v>34669</v>
      </c>
      <c r="Q253" s="823">
        <v>0.63</v>
      </c>
      <c r="R253" s="736">
        <f t="shared" si="2"/>
        <v>2.52</v>
      </c>
      <c r="S253" s="735">
        <v>0.11</v>
      </c>
      <c r="T253" s="737">
        <f t="shared" si="3"/>
        <v>0.44</v>
      </c>
    </row>
    <row r="254" spans="1:41" s="730" customFormat="1" ht="13.2">
      <c r="A254">
        <v>4</v>
      </c>
      <c r="B254" s="730" t="s">
        <v>326</v>
      </c>
      <c r="D254" s="730" t="s">
        <v>703</v>
      </c>
      <c r="G254" s="731" t="s">
        <v>704</v>
      </c>
      <c r="H254" s="732">
        <v>620</v>
      </c>
      <c r="I254" s="730" t="s">
        <v>674</v>
      </c>
      <c r="O254" s="733">
        <v>2</v>
      </c>
      <c r="P254" s="734">
        <v>38148</v>
      </c>
      <c r="Q254" s="735"/>
      <c r="R254" s="736">
        <f t="shared" si="2"/>
        <v>0</v>
      </c>
      <c r="S254" s="735">
        <v>0.08</v>
      </c>
      <c r="T254" s="737">
        <f t="shared" si="3"/>
        <v>0.32</v>
      </c>
    </row>
    <row r="255" spans="1:41" s="730" customFormat="1" ht="13.2">
      <c r="A255" s="167">
        <v>20</v>
      </c>
      <c r="B255" s="730" t="s">
        <v>141</v>
      </c>
      <c r="D255" s="730" t="s">
        <v>705</v>
      </c>
      <c r="G255" s="731" t="s">
        <v>706</v>
      </c>
      <c r="H255" s="732">
        <v>875</v>
      </c>
      <c r="I255" s="730" t="s">
        <v>674</v>
      </c>
      <c r="K255" s="730" t="s">
        <v>678</v>
      </c>
      <c r="O255" s="733">
        <v>1</v>
      </c>
      <c r="P255" s="734">
        <v>34669</v>
      </c>
      <c r="Q255" s="823">
        <v>0.5</v>
      </c>
      <c r="R255" s="736">
        <f t="shared" si="2"/>
        <v>10</v>
      </c>
      <c r="S255" s="735">
        <v>0.05</v>
      </c>
      <c r="T255" s="737">
        <f t="shared" si="3"/>
        <v>1</v>
      </c>
    </row>
    <row r="256" spans="1:41" s="602" customFormat="1" ht="12">
      <c r="A256" s="663"/>
      <c r="B256" s="663"/>
      <c r="C256" s="663"/>
      <c r="D256" s="663"/>
      <c r="E256" s="663"/>
      <c r="F256" s="664"/>
      <c r="G256" s="663"/>
      <c r="H256" s="663"/>
      <c r="I256" s="601"/>
      <c r="J256" s="663"/>
      <c r="K256" s="663"/>
      <c r="L256" s="663"/>
      <c r="M256" s="663"/>
      <c r="N256" s="663"/>
      <c r="O256" s="663"/>
      <c r="P256" s="663"/>
      <c r="Q256" s="601"/>
      <c r="R256" s="666">
        <f t="shared" si="2"/>
        <v>0</v>
      </c>
      <c r="S256" s="601"/>
      <c r="T256" s="681">
        <f t="shared" si="3"/>
        <v>0</v>
      </c>
    </row>
    <row r="257" spans="1:41" s="602" customFormat="1" ht="12.6" thickBot="1">
      <c r="A257" s="682" t="s">
        <v>145</v>
      </c>
      <c r="B257" s="683">
        <f>(R256+T256)</f>
        <v>0</v>
      </c>
      <c r="C257" s="684"/>
      <c r="D257" s="684"/>
      <c r="E257" s="684"/>
      <c r="F257" s="685"/>
      <c r="G257" s="684" t="s">
        <v>146</v>
      </c>
      <c r="H257" s="684"/>
      <c r="I257" s="686"/>
      <c r="J257" s="684"/>
      <c r="K257" s="684" t="s">
        <v>3</v>
      </c>
      <c r="L257" s="687" t="s">
        <v>143</v>
      </c>
      <c r="M257" s="687"/>
      <c r="N257" s="687"/>
      <c r="O257" s="687"/>
      <c r="P257" s="687"/>
      <c r="Q257" s="688"/>
      <c r="R257" s="689">
        <f>SUM(R250:R256)</f>
        <v>96.42</v>
      </c>
      <c r="S257" s="684"/>
      <c r="T257" s="689">
        <f>SUM(T250:T256)</f>
        <v>2.56</v>
      </c>
      <c r="U257" s="611"/>
      <c r="V257" s="611"/>
      <c r="W257" s="611"/>
      <c r="X257" s="611"/>
      <c r="Y257" s="611"/>
      <c r="Z257" s="611"/>
      <c r="AA257" s="611"/>
      <c r="AB257" s="611"/>
      <c r="AC257" s="611"/>
      <c r="AD257" s="611"/>
      <c r="AE257" s="611"/>
      <c r="AF257" s="611"/>
      <c r="AG257" s="611"/>
      <c r="AH257" s="611"/>
      <c r="AI257" s="611"/>
      <c r="AJ257" s="611"/>
      <c r="AK257" s="611"/>
      <c r="AL257" s="611"/>
      <c r="AM257" s="611"/>
      <c r="AN257" s="611"/>
      <c r="AO257" s="611"/>
    </row>
    <row r="258" spans="1:41" s="602" customFormat="1" thickTop="1">
      <c r="A258" s="63"/>
      <c r="B258" s="63"/>
      <c r="C258" s="3"/>
      <c r="D258" s="3"/>
      <c r="E258" s="63"/>
      <c r="F258" s="63"/>
      <c r="G258" s="63"/>
      <c r="H258" s="63"/>
      <c r="I258" s="63"/>
      <c r="J258" s="63"/>
      <c r="K258" s="63" t="s">
        <v>134</v>
      </c>
      <c r="L258" s="63"/>
      <c r="M258" s="63"/>
      <c r="N258" s="63"/>
      <c r="O258" s="64"/>
      <c r="P258" s="63"/>
      <c r="Q258" s="63"/>
      <c r="R258" s="63"/>
      <c r="S258" s="63"/>
      <c r="T258" s="63"/>
    </row>
    <row r="259" spans="1:41" s="602" customFormat="1" ht="12">
      <c r="A259" s="63"/>
      <c r="B259" s="63"/>
      <c r="C259" s="63" t="s">
        <v>135</v>
      </c>
      <c r="D259" s="37"/>
      <c r="E259" s="63"/>
      <c r="F259" s="63"/>
      <c r="G259" s="63"/>
      <c r="H259" s="63"/>
      <c r="I259" s="63"/>
      <c r="J259" s="63"/>
      <c r="K259" s="63"/>
      <c r="L259" s="63"/>
      <c r="M259" s="63"/>
      <c r="N259" s="63"/>
      <c r="O259" s="64"/>
      <c r="P259" s="63"/>
      <c r="Q259" s="63"/>
      <c r="R259" s="63"/>
      <c r="S259" s="63"/>
      <c r="T259" s="63"/>
    </row>
    <row r="260" spans="1:41" s="602" customFormat="1" ht="12">
      <c r="A260" s="63"/>
      <c r="B260" s="63"/>
      <c r="C260" s="63"/>
      <c r="D260" s="37" t="s">
        <v>331</v>
      </c>
      <c r="E260" s="63"/>
      <c r="F260" s="63"/>
      <c r="G260" s="63"/>
      <c r="H260" s="63"/>
      <c r="I260" s="63"/>
      <c r="J260" s="63"/>
      <c r="K260" s="63"/>
      <c r="L260" s="63"/>
      <c r="M260" s="63"/>
      <c r="N260" s="63"/>
      <c r="O260" s="64"/>
      <c r="P260" s="63"/>
      <c r="Q260" s="63"/>
      <c r="R260" s="63"/>
      <c r="S260" s="38"/>
      <c r="T260" s="38"/>
    </row>
    <row r="261" spans="1:41" s="3" customFormat="1" thickBot="1">
      <c r="A261" s="611"/>
      <c r="O261" s="158"/>
    </row>
    <row r="262" spans="1:41" s="602" customFormat="1" thickTop="1">
      <c r="A262" s="63"/>
      <c r="B262" s="63"/>
      <c r="C262" s="3"/>
      <c r="D262" s="3"/>
      <c r="E262" s="63"/>
      <c r="F262" s="63"/>
      <c r="G262" s="63"/>
      <c r="H262" s="63"/>
      <c r="I262" s="63"/>
      <c r="J262" s="63"/>
      <c r="K262" s="63" t="s">
        <v>134</v>
      </c>
      <c r="L262" s="63"/>
      <c r="M262" s="63"/>
      <c r="N262" s="63"/>
      <c r="O262" s="64"/>
      <c r="P262" s="63"/>
      <c r="Q262" s="63"/>
      <c r="R262" s="63"/>
      <c r="S262" s="63"/>
      <c r="T262" s="63"/>
    </row>
    <row r="263" spans="1:41" s="602" customFormat="1" ht="12">
      <c r="A263" s="63"/>
      <c r="B263" s="63"/>
      <c r="C263" s="63" t="s">
        <v>135</v>
      </c>
      <c r="D263" s="37"/>
      <c r="E263" s="63"/>
      <c r="F263" s="63"/>
      <c r="G263" s="63"/>
      <c r="H263" s="63"/>
      <c r="I263" s="63"/>
      <c r="J263" s="63"/>
      <c r="K263" s="63"/>
      <c r="L263" s="63"/>
      <c r="M263" s="63"/>
      <c r="N263" s="63"/>
      <c r="O263" s="64"/>
      <c r="P263" s="63"/>
      <c r="Q263" s="63"/>
      <c r="R263" s="63"/>
      <c r="S263" s="63"/>
      <c r="T263" s="63"/>
    </row>
    <row r="264" spans="1:41" s="602" customFormat="1" ht="12">
      <c r="A264" s="63"/>
      <c r="B264" s="63"/>
      <c r="C264" s="63"/>
      <c r="D264" s="37" t="s">
        <v>332</v>
      </c>
      <c r="E264" s="63"/>
      <c r="F264" s="63"/>
      <c r="G264" s="63"/>
      <c r="H264" s="63"/>
      <c r="I264" s="63"/>
      <c r="J264" s="63"/>
      <c r="K264" s="63"/>
      <c r="L264" s="63"/>
      <c r="M264" s="63"/>
      <c r="N264" s="63"/>
      <c r="O264" s="64"/>
      <c r="P264" s="63"/>
      <c r="Q264" s="63"/>
      <c r="R264" s="63"/>
      <c r="S264" s="38"/>
      <c r="T264" s="38"/>
    </row>
    <row r="265" spans="1:41" s="3" customFormat="1" thickBot="1">
      <c r="A265" s="611"/>
      <c r="O265" s="158"/>
    </row>
    <row r="266" spans="1:41" s="602" customFormat="1" thickTop="1">
      <c r="A266" s="63"/>
      <c r="B266" s="63"/>
      <c r="C266" s="3"/>
      <c r="D266" s="3"/>
      <c r="E266" s="63"/>
      <c r="F266" s="63"/>
      <c r="G266" s="63"/>
      <c r="H266" s="63"/>
      <c r="I266" s="63"/>
      <c r="J266" s="63"/>
      <c r="K266" s="63" t="s">
        <v>134</v>
      </c>
      <c r="L266" s="63"/>
      <c r="M266" s="63"/>
      <c r="N266" s="63"/>
      <c r="O266" s="64"/>
      <c r="P266" s="63"/>
      <c r="Q266" s="63"/>
      <c r="R266" s="63"/>
      <c r="S266" s="63"/>
      <c r="T266" s="63"/>
    </row>
    <row r="267" spans="1:41" s="602" customFormat="1" ht="12">
      <c r="A267" s="63"/>
      <c r="B267" s="63"/>
      <c r="C267" s="63" t="s">
        <v>135</v>
      </c>
      <c r="D267" s="37" t="s">
        <v>455</v>
      </c>
      <c r="E267" s="63"/>
      <c r="F267" s="63"/>
      <c r="G267" s="63"/>
      <c r="H267" s="63"/>
      <c r="I267" s="63"/>
      <c r="J267" s="63"/>
      <c r="K267" s="63"/>
      <c r="L267" s="63"/>
      <c r="M267" s="63"/>
      <c r="N267" s="63"/>
      <c r="O267" s="64"/>
      <c r="P267" s="63"/>
      <c r="Q267" s="63"/>
      <c r="R267" s="63"/>
      <c r="S267" s="63"/>
      <c r="T267" s="63"/>
    </row>
    <row r="268" spans="1:41" s="602" customFormat="1" ht="12">
      <c r="A268" s="63"/>
      <c r="B268" s="63"/>
      <c r="C268" s="63"/>
      <c r="D268" s="37" t="s">
        <v>456</v>
      </c>
      <c r="E268" s="63"/>
      <c r="F268" s="63"/>
      <c r="G268" s="63"/>
      <c r="H268" s="63"/>
      <c r="I268" s="63"/>
      <c r="J268" s="63"/>
      <c r="K268" s="63"/>
      <c r="L268" s="63"/>
      <c r="M268" s="63"/>
      <c r="N268" s="63"/>
      <c r="O268" s="64"/>
      <c r="P268" s="63"/>
      <c r="Q268" s="63"/>
      <c r="R268" s="63"/>
      <c r="S268" s="38"/>
      <c r="T268" s="38"/>
    </row>
    <row r="269" spans="1:41" s="3" customFormat="1" thickBot="1">
      <c r="A269" s="611"/>
      <c r="O269" s="158"/>
    </row>
    <row r="270" spans="1:41" s="602" customFormat="1" ht="12" thickTop="1">
      <c r="A270" s="63"/>
      <c r="B270" s="41"/>
      <c r="C270" s="63"/>
      <c r="E270" s="42" t="s">
        <v>138</v>
      </c>
      <c r="F270" s="42" t="s">
        <v>139</v>
      </c>
      <c r="G270" s="63"/>
      <c r="H270" s="63"/>
      <c r="I270" s="63"/>
      <c r="J270" s="63"/>
      <c r="K270" s="63" t="s">
        <v>140</v>
      </c>
      <c r="L270" s="63"/>
      <c r="M270" s="63"/>
      <c r="N270" s="63"/>
      <c r="O270" s="64"/>
      <c r="P270" s="63"/>
      <c r="Q270" s="63"/>
      <c r="R270" s="63"/>
      <c r="S270" s="63"/>
      <c r="T270" s="41"/>
      <c r="AG270" s="667" t="s">
        <v>278</v>
      </c>
      <c r="AH270" s="667" t="s">
        <v>279</v>
      </c>
      <c r="AI270" s="667" t="s">
        <v>280</v>
      </c>
      <c r="AJ270" s="667" t="s">
        <v>281</v>
      </c>
      <c r="AK270" s="667" t="s">
        <v>282</v>
      </c>
      <c r="AM270" s="668" t="s">
        <v>291</v>
      </c>
      <c r="AN270" s="669" t="s">
        <v>292</v>
      </c>
      <c r="AO270" s="603" t="s">
        <v>288</v>
      </c>
    </row>
    <row r="271" spans="1:41" s="602" customFormat="1" ht="12" customHeight="1">
      <c r="A271" s="670">
        <v>2</v>
      </c>
      <c r="B271" s="671" t="s">
        <v>320</v>
      </c>
      <c r="C271" s="672"/>
      <c r="D271" s="673" t="s">
        <v>457</v>
      </c>
      <c r="E271" s="674">
        <f ca="1">IF(AND($A271=0,$A$1="DIF"),0, ROUND(ROUND(($R276*$S$2+($T276*$T$2))/A271,2)*$C$2,2))</f>
        <v>0</v>
      </c>
      <c r="F271" s="675">
        <f ca="1">ROUND($A271*$E271,2)</f>
        <v>0</v>
      </c>
      <c r="G271" s="676" t="s">
        <v>142</v>
      </c>
      <c r="H271" s="664"/>
      <c r="I271" s="677"/>
      <c r="J271" s="664"/>
      <c r="K271" s="664" t="s">
        <v>3</v>
      </c>
      <c r="L271" s="678" t="s">
        <v>143</v>
      </c>
      <c r="M271" s="678"/>
      <c r="N271" s="678"/>
      <c r="O271" s="678"/>
      <c r="P271" s="678"/>
      <c r="Q271" s="63"/>
      <c r="T271" s="679" t="str">
        <f ca="1">IF(AND($R276=0,$T276=0),"0.00","mu :" &amp; ROUND($F271/$C$2/($R276+$T276*$D$9),2))</f>
        <v>0.00</v>
      </c>
      <c r="W271" s="604"/>
      <c r="AG271" s="549">
        <f ca="1">IF($E271=0,0,ROUND($R276*$S$2*$C$2/$A271,2))</f>
        <v>0</v>
      </c>
      <c r="AH271" s="549">
        <f ca="1">$AG271*$A271</f>
        <v>0</v>
      </c>
      <c r="AI271" s="605">
        <f ca="1">$E271-$AG271</f>
        <v>0</v>
      </c>
      <c r="AJ271" s="605">
        <f ca="1">$A271*$AI271</f>
        <v>0</v>
      </c>
      <c r="AK271" s="606">
        <f ca="1">ROUND(($AG271+$AI271)*$A271,2)</f>
        <v>0</v>
      </c>
      <c r="AM271" s="607">
        <f ca="1">ROUND(R276,2)</f>
        <v>0</v>
      </c>
      <c r="AN271" s="608">
        <f ca="1">ROUND(T276,2)</f>
        <v>0</v>
      </c>
      <c r="AO271" s="609">
        <f ca="1">ROUND(AM271+AN271,2)*A271</f>
        <v>0</v>
      </c>
    </row>
    <row r="272" spans="1:41" s="602" customFormat="1" ht="13.2">
      <c r="A272" s="672"/>
      <c r="B272"/>
      <c r="C272" s="672"/>
      <c r="D272" s="673" t="s">
        <v>333</v>
      </c>
      <c r="F272" s="664"/>
      <c r="G272" s="3"/>
      <c r="H272" s="664"/>
      <c r="I272" s="677"/>
      <c r="J272" s="664"/>
      <c r="K272" s="664" t="s">
        <v>144</v>
      </c>
      <c r="L272" s="664"/>
      <c r="M272" s="664"/>
      <c r="N272" s="664"/>
      <c r="O272" s="664"/>
      <c r="P272" s="664"/>
      <c r="Q272" s="63"/>
      <c r="R272" s="610"/>
      <c r="S272" s="680"/>
      <c r="T272" s="664"/>
    </row>
    <row r="273" spans="1:41" s="713" customFormat="1" ht="13.2">
      <c r="A273"/>
      <c r="B273" s="807"/>
      <c r="C273" s="807" t="s">
        <v>692</v>
      </c>
      <c r="D273" s="807" t="str">
        <f ca="1">CELL("Address",Elec_Rates!D$106)</f>
        <v>[E25_0477_IH_Retro_Elec_Est_Rev_A_AW.xlsx]Elec_Rates!$D$106</v>
      </c>
      <c r="E273" s="808"/>
      <c r="F273" s="808"/>
      <c r="G273" s="809" t="s">
        <v>693</v>
      </c>
      <c r="H273" s="809"/>
      <c r="I273" s="809"/>
      <c r="J273" s="809"/>
      <c r="K273" s="810"/>
      <c r="L273" s="808"/>
      <c r="M273" s="808"/>
      <c r="N273" s="808"/>
      <c r="O273" s="811"/>
      <c r="P273" s="808"/>
      <c r="Q273" s="812"/>
      <c r="R273" s="813"/>
      <c r="S273" s="812"/>
      <c r="T273" s="814"/>
      <c r="U273" s="815"/>
    </row>
    <row r="274" spans="1:41" s="713" customFormat="1" ht="11.4">
      <c r="A274" s="816">
        <v>2</v>
      </c>
      <c r="B274" s="817">
        <v>1</v>
      </c>
      <c r="C274" s="817">
        <f>$A274*$B274</f>
        <v>2</v>
      </c>
      <c r="D274" s="818" t="str">
        <f>Elec_Rates!$D$106</f>
        <v>001# Lighting installation galvanised</v>
      </c>
      <c r="E274" s="818" t="s">
        <v>707</v>
      </c>
      <c r="F274" s="815"/>
      <c r="G274" s="819" t="s">
        <v>708</v>
      </c>
      <c r="H274" s="819"/>
      <c r="I274" s="819"/>
      <c r="J274" s="819"/>
      <c r="K274" s="820"/>
      <c r="L274" s="815"/>
      <c r="M274" s="815"/>
      <c r="N274" s="815"/>
      <c r="O274" s="821"/>
      <c r="P274" s="818"/>
      <c r="Q274" s="822">
        <f ca="1">$B274*Elec_Rates!$R$106</f>
        <v>0</v>
      </c>
      <c r="R274" s="813">
        <f ca="1">$A274*Q274</f>
        <v>0</v>
      </c>
      <c r="S274" s="822">
        <f ca="1">$B274*Elec_Rates!$T$106</f>
        <v>0</v>
      </c>
      <c r="T274" s="814">
        <f ca="1">$A274*S274</f>
        <v>0</v>
      </c>
      <c r="U274" s="583"/>
    </row>
    <row r="275" spans="1:41" s="602" customFormat="1" ht="12">
      <c r="A275" s="663"/>
      <c r="B275" s="663"/>
      <c r="C275" s="663"/>
      <c r="D275" s="663"/>
      <c r="E275" s="663"/>
      <c r="F275" s="664"/>
      <c r="G275" s="663"/>
      <c r="H275" s="663"/>
      <c r="I275" s="601"/>
      <c r="J275" s="663"/>
      <c r="K275" s="663"/>
      <c r="L275" s="663"/>
      <c r="M275" s="663"/>
      <c r="N275" s="663"/>
      <c r="O275" s="663"/>
      <c r="P275" s="663"/>
      <c r="Q275" s="601"/>
      <c r="R275" s="666">
        <f>$A275*Q275</f>
        <v>0</v>
      </c>
      <c r="S275" s="601"/>
      <c r="T275" s="681">
        <f>$A275*S275*$T$1</f>
        <v>0</v>
      </c>
    </row>
    <row r="276" spans="1:41" s="602" customFormat="1" ht="12.6" thickBot="1">
      <c r="A276" s="682" t="s">
        <v>145</v>
      </c>
      <c r="B276" s="683">
        <f>(R275+T275)</f>
        <v>0</v>
      </c>
      <c r="C276" s="684"/>
      <c r="D276" s="684"/>
      <c r="E276" s="684"/>
      <c r="F276" s="685"/>
      <c r="G276" s="684" t="s">
        <v>146</v>
      </c>
      <c r="H276" s="684"/>
      <c r="I276" s="686"/>
      <c r="J276" s="684"/>
      <c r="K276" s="684" t="s">
        <v>3</v>
      </c>
      <c r="L276" s="687" t="s">
        <v>143</v>
      </c>
      <c r="M276" s="687"/>
      <c r="N276" s="687"/>
      <c r="O276" s="687"/>
      <c r="P276" s="687"/>
      <c r="Q276" s="688"/>
      <c r="R276" s="689">
        <f ca="1">SUM(R272:R275)</f>
        <v>0</v>
      </c>
      <c r="S276" s="684"/>
      <c r="T276" s="689">
        <f ca="1">SUM(T272:T275)</f>
        <v>0</v>
      </c>
      <c r="U276" s="611"/>
      <c r="V276" s="611"/>
      <c r="W276" s="611"/>
      <c r="X276" s="611"/>
      <c r="Y276" s="611"/>
      <c r="Z276" s="611"/>
      <c r="AA276" s="611"/>
      <c r="AB276" s="611"/>
      <c r="AC276" s="611"/>
      <c r="AD276" s="611"/>
      <c r="AE276" s="611"/>
      <c r="AF276" s="611"/>
      <c r="AG276" s="611"/>
      <c r="AH276" s="611"/>
      <c r="AI276" s="611"/>
      <c r="AJ276" s="611"/>
      <c r="AK276" s="611"/>
      <c r="AL276" s="611"/>
      <c r="AM276" s="611"/>
      <c r="AN276" s="611"/>
      <c r="AO276" s="611"/>
    </row>
    <row r="277" spans="1:41" s="602" customFormat="1" ht="12" thickTop="1">
      <c r="A277" s="63"/>
      <c r="B277" s="41"/>
      <c r="C277" s="63"/>
      <c r="E277" s="42" t="s">
        <v>138</v>
      </c>
      <c r="F277" s="42" t="s">
        <v>139</v>
      </c>
      <c r="G277" s="63"/>
      <c r="H277" s="63"/>
      <c r="I277" s="63"/>
      <c r="J277" s="63"/>
      <c r="K277" s="63" t="s">
        <v>140</v>
      </c>
      <c r="L277" s="63"/>
      <c r="M277" s="63"/>
      <c r="N277" s="63"/>
      <c r="O277" s="64"/>
      <c r="P277" s="63"/>
      <c r="Q277" s="63"/>
      <c r="R277" s="63"/>
      <c r="S277" s="63"/>
      <c r="T277" s="41"/>
      <c r="AG277" s="667" t="s">
        <v>278</v>
      </c>
      <c r="AH277" s="667" t="s">
        <v>279</v>
      </c>
      <c r="AI277" s="667" t="s">
        <v>280</v>
      </c>
      <c r="AJ277" s="667" t="s">
        <v>281</v>
      </c>
      <c r="AK277" s="667" t="s">
        <v>282</v>
      </c>
      <c r="AM277" s="668" t="s">
        <v>291</v>
      </c>
      <c r="AN277" s="669" t="s">
        <v>292</v>
      </c>
      <c r="AO277" s="603" t="s">
        <v>288</v>
      </c>
    </row>
    <row r="278" spans="1:41" s="602" customFormat="1" ht="12" customHeight="1">
      <c r="A278" s="670">
        <v>2</v>
      </c>
      <c r="B278" s="671" t="s">
        <v>320</v>
      </c>
      <c r="C278" s="672"/>
      <c r="D278" s="673" t="s">
        <v>458</v>
      </c>
      <c r="E278" s="674">
        <f ca="1">IF(AND($A278=0,$A$1="DIF"),0, ROUND(ROUND(($R283*$S$2+($T283*$T$2))/A278,2)*$C$2,2))</f>
        <v>0</v>
      </c>
      <c r="F278" s="675">
        <f ca="1">ROUND($A278*$E278,2)</f>
        <v>0</v>
      </c>
      <c r="G278" s="676" t="s">
        <v>142</v>
      </c>
      <c r="H278" s="664"/>
      <c r="I278" s="677"/>
      <c r="J278" s="664"/>
      <c r="K278" s="664" t="s">
        <v>3</v>
      </c>
      <c r="L278" s="678" t="s">
        <v>143</v>
      </c>
      <c r="M278" s="678"/>
      <c r="N278" s="678"/>
      <c r="O278" s="678"/>
      <c r="P278" s="678"/>
      <c r="Q278" s="63"/>
      <c r="T278" s="679" t="str">
        <f ca="1">IF(AND($R283=0,$T283=0),"0.00","mu :" &amp; ROUND($F278/$C$2/($R283+$T283*$D$9),2))</f>
        <v>0.00</v>
      </c>
      <c r="W278" s="604"/>
      <c r="AG278" s="549">
        <f ca="1">IF($E278=0,0,ROUND($R283*$S$2*$C$2/$A278,2))</f>
        <v>0</v>
      </c>
      <c r="AH278" s="549">
        <f ca="1">$AG278*$A278</f>
        <v>0</v>
      </c>
      <c r="AI278" s="605">
        <f ca="1">$E278-$AG278</f>
        <v>0</v>
      </c>
      <c r="AJ278" s="605">
        <f ca="1">$A278*$AI278</f>
        <v>0</v>
      </c>
      <c r="AK278" s="606">
        <f ca="1">ROUND(($AG278+$AI278)*$A278,2)</f>
        <v>0</v>
      </c>
      <c r="AM278" s="607">
        <f ca="1">ROUND(R283,2)</f>
        <v>0</v>
      </c>
      <c r="AN278" s="608">
        <f ca="1">ROUND(T283,2)</f>
        <v>0</v>
      </c>
      <c r="AO278" s="609">
        <f ca="1">ROUND(AM278+AN278,2)*A278</f>
        <v>0</v>
      </c>
    </row>
    <row r="279" spans="1:41" s="602" customFormat="1" ht="13.2">
      <c r="A279" s="672"/>
      <c r="B279"/>
      <c r="C279" s="672"/>
      <c r="D279" s="673" t="s">
        <v>334</v>
      </c>
      <c r="F279" s="664"/>
      <c r="G279" s="3"/>
      <c r="H279" s="664"/>
      <c r="I279" s="677"/>
      <c r="J279" s="664"/>
      <c r="K279" s="664" t="s">
        <v>144</v>
      </c>
      <c r="L279" s="664"/>
      <c r="M279" s="664"/>
      <c r="N279" s="664"/>
      <c r="O279" s="664"/>
      <c r="P279" s="664"/>
      <c r="Q279" s="63"/>
      <c r="R279" s="610"/>
      <c r="S279" s="680"/>
      <c r="T279" s="664"/>
    </row>
    <row r="280" spans="1:41" s="713" customFormat="1" ht="13.2">
      <c r="A280"/>
      <c r="B280" s="807"/>
      <c r="C280" s="807" t="s">
        <v>692</v>
      </c>
      <c r="D280" s="807" t="str">
        <f ca="1">CELL("Address",Elec_Rates!D$125)</f>
        <v>[E25_0477_IH_Retro_Elec_Est_Rev_A_AW.xlsx]Elec_Rates!$D$125</v>
      </c>
      <c r="E280" s="808"/>
      <c r="F280" s="808"/>
      <c r="G280" s="809" t="s">
        <v>693</v>
      </c>
      <c r="H280" s="809"/>
      <c r="I280" s="809"/>
      <c r="J280" s="809"/>
      <c r="K280" s="810"/>
      <c r="L280" s="808"/>
      <c r="M280" s="808"/>
      <c r="N280" s="808"/>
      <c r="O280" s="811"/>
      <c r="P280" s="808"/>
      <c r="Q280" s="812"/>
      <c r="R280" s="813"/>
      <c r="S280" s="812"/>
      <c r="T280" s="814"/>
      <c r="U280" s="815"/>
    </row>
    <row r="281" spans="1:41" s="713" customFormat="1" ht="11.4">
      <c r="A281" s="816">
        <v>2</v>
      </c>
      <c r="B281" s="817">
        <v>1</v>
      </c>
      <c r="C281" s="817">
        <f>$A281*$B281</f>
        <v>2</v>
      </c>
      <c r="D281" s="818" t="str">
        <f>Elec_Rates!$D$125</f>
        <v>001# Emergency lighting installation galvanised</v>
      </c>
      <c r="E281" s="818" t="s">
        <v>709</v>
      </c>
      <c r="F281" s="815"/>
      <c r="G281" s="819" t="s">
        <v>708</v>
      </c>
      <c r="H281" s="819"/>
      <c r="I281" s="819"/>
      <c r="J281" s="819"/>
      <c r="K281" s="820"/>
      <c r="L281" s="815"/>
      <c r="M281" s="815"/>
      <c r="N281" s="815"/>
      <c r="O281" s="821"/>
      <c r="P281" s="818"/>
      <c r="Q281" s="822">
        <f ca="1">$B281*Elec_Rates!$R$125</f>
        <v>0</v>
      </c>
      <c r="R281" s="813">
        <f ca="1">$A281*Q281</f>
        <v>0</v>
      </c>
      <c r="S281" s="822">
        <f ca="1">$B281*Elec_Rates!$T$125</f>
        <v>0</v>
      </c>
      <c r="T281" s="814">
        <f ca="1">$A281*S281</f>
        <v>0</v>
      </c>
      <c r="U281" s="583"/>
    </row>
    <row r="282" spans="1:41" s="602" customFormat="1" ht="12">
      <c r="A282" s="663"/>
      <c r="B282" s="663"/>
      <c r="C282" s="663"/>
      <c r="D282" s="663"/>
      <c r="E282" s="663"/>
      <c r="F282" s="664"/>
      <c r="G282" s="663"/>
      <c r="H282" s="663"/>
      <c r="I282" s="601"/>
      <c r="J282" s="663"/>
      <c r="K282" s="663"/>
      <c r="L282" s="663"/>
      <c r="M282" s="663"/>
      <c r="N282" s="663"/>
      <c r="O282" s="663"/>
      <c r="P282" s="663"/>
      <c r="Q282" s="601"/>
      <c r="R282" s="666">
        <f>$A282*Q282</f>
        <v>0</v>
      </c>
      <c r="S282" s="601"/>
      <c r="T282" s="681">
        <f>$A282*S282*$T$1</f>
        <v>0</v>
      </c>
    </row>
    <row r="283" spans="1:41" s="602" customFormat="1" ht="12.6" thickBot="1">
      <c r="A283" s="682" t="s">
        <v>145</v>
      </c>
      <c r="B283" s="683">
        <f>(R282+T282)</f>
        <v>0</v>
      </c>
      <c r="C283" s="684"/>
      <c r="D283" s="684"/>
      <c r="E283" s="684"/>
      <c r="F283" s="685"/>
      <c r="G283" s="684" t="s">
        <v>146</v>
      </c>
      <c r="H283" s="684"/>
      <c r="I283" s="686"/>
      <c r="J283" s="684"/>
      <c r="K283" s="684" t="s">
        <v>3</v>
      </c>
      <c r="L283" s="687" t="s">
        <v>143</v>
      </c>
      <c r="M283" s="687"/>
      <c r="N283" s="687"/>
      <c r="O283" s="687"/>
      <c r="P283" s="687"/>
      <c r="Q283" s="688"/>
      <c r="R283" s="689">
        <f ca="1">SUM(R279:R282)</f>
        <v>0</v>
      </c>
      <c r="S283" s="684"/>
      <c r="T283" s="689">
        <f ca="1">SUM(T279:T282)</f>
        <v>0</v>
      </c>
      <c r="U283" s="611"/>
      <c r="V283" s="611"/>
      <c r="W283" s="611"/>
      <c r="X283" s="611"/>
      <c r="Y283" s="611"/>
      <c r="Z283" s="611"/>
      <c r="AA283" s="611"/>
      <c r="AB283" s="611"/>
      <c r="AC283" s="611"/>
      <c r="AD283" s="611"/>
      <c r="AE283" s="611"/>
      <c r="AF283" s="611"/>
      <c r="AG283" s="611"/>
      <c r="AH283" s="611"/>
      <c r="AI283" s="611"/>
      <c r="AJ283" s="611"/>
      <c r="AK283" s="611"/>
      <c r="AL283" s="611"/>
      <c r="AM283" s="611"/>
      <c r="AN283" s="611"/>
      <c r="AO283" s="611"/>
    </row>
    <row r="284" spans="1:41" s="602" customFormat="1" thickTop="1">
      <c r="A284" s="63"/>
      <c r="B284" s="63"/>
      <c r="C284" s="3"/>
      <c r="D284" s="3"/>
      <c r="E284" s="63"/>
      <c r="F284" s="63"/>
      <c r="G284" s="63"/>
      <c r="H284" s="63"/>
      <c r="I284" s="63"/>
      <c r="J284" s="63"/>
      <c r="K284" s="63" t="s">
        <v>134</v>
      </c>
      <c r="L284" s="63"/>
      <c r="M284" s="63"/>
      <c r="N284" s="63"/>
      <c r="O284" s="64"/>
      <c r="P284" s="63"/>
      <c r="Q284" s="63"/>
      <c r="R284" s="63"/>
      <c r="S284" s="63"/>
      <c r="T284" s="63"/>
    </row>
    <row r="285" spans="1:41" s="602" customFormat="1" ht="12">
      <c r="A285" s="63"/>
      <c r="B285" s="63"/>
      <c r="C285" s="63" t="s">
        <v>135</v>
      </c>
      <c r="D285" s="37" t="s">
        <v>459</v>
      </c>
      <c r="E285" s="63"/>
      <c r="F285" s="63"/>
      <c r="G285" s="63"/>
      <c r="H285" s="63"/>
      <c r="I285" s="63"/>
      <c r="J285" s="63"/>
      <c r="K285" s="63"/>
      <c r="L285" s="63"/>
      <c r="M285" s="63"/>
      <c r="N285" s="63"/>
      <c r="O285" s="64"/>
      <c r="P285" s="63"/>
      <c r="Q285" s="63"/>
      <c r="R285" s="63"/>
      <c r="S285" s="63"/>
      <c r="T285" s="63"/>
    </row>
    <row r="286" spans="1:41" s="602" customFormat="1" ht="12">
      <c r="A286" s="63"/>
      <c r="B286" s="63"/>
      <c r="C286" s="63"/>
      <c r="D286" s="37" t="s">
        <v>335</v>
      </c>
      <c r="E286" s="63"/>
      <c r="F286" s="63"/>
      <c r="G286" s="63"/>
      <c r="H286" s="63"/>
      <c r="I286" s="63"/>
      <c r="J286" s="63"/>
      <c r="K286" s="63"/>
      <c r="L286" s="63"/>
      <c r="M286" s="63"/>
      <c r="N286" s="63"/>
      <c r="O286" s="64"/>
      <c r="P286" s="63"/>
      <c r="Q286" s="63"/>
      <c r="R286" s="63"/>
      <c r="S286" s="38"/>
      <c r="T286" s="38"/>
    </row>
    <row r="287" spans="1:41" s="3" customFormat="1" thickBot="1">
      <c r="A287" s="611"/>
      <c r="O287" s="158"/>
    </row>
    <row r="288" spans="1:41" s="602" customFormat="1" ht="12" thickTop="1">
      <c r="A288" s="63"/>
      <c r="B288" s="41"/>
      <c r="C288" s="63"/>
      <c r="E288" s="42" t="s">
        <v>138</v>
      </c>
      <c r="F288" s="42" t="s">
        <v>139</v>
      </c>
      <c r="G288" s="63"/>
      <c r="H288" s="63"/>
      <c r="I288" s="63"/>
      <c r="J288" s="63"/>
      <c r="K288" s="63" t="s">
        <v>140</v>
      </c>
      <c r="L288" s="63"/>
      <c r="M288" s="63"/>
      <c r="N288" s="63"/>
      <c r="O288" s="64"/>
      <c r="P288" s="63"/>
      <c r="Q288" s="63"/>
      <c r="R288" s="63"/>
      <c r="S288" s="63"/>
      <c r="T288" s="41"/>
      <c r="AG288" s="667" t="s">
        <v>278</v>
      </c>
      <c r="AH288" s="667" t="s">
        <v>279</v>
      </c>
      <c r="AI288" s="667" t="s">
        <v>280</v>
      </c>
      <c r="AJ288" s="667" t="s">
        <v>281</v>
      </c>
      <c r="AK288" s="667" t="s">
        <v>282</v>
      </c>
      <c r="AM288" s="668" t="s">
        <v>291</v>
      </c>
      <c r="AN288" s="669" t="s">
        <v>292</v>
      </c>
      <c r="AO288" s="603" t="s">
        <v>288</v>
      </c>
    </row>
    <row r="289" spans="1:41" s="602" customFormat="1" ht="12" customHeight="1">
      <c r="A289" s="670">
        <v>2</v>
      </c>
      <c r="B289" s="671" t="s">
        <v>320</v>
      </c>
      <c r="C289" s="672"/>
      <c r="D289" s="673" t="s">
        <v>460</v>
      </c>
      <c r="E289" s="674">
        <f>IF(AND($A289=0,$A$1="DIF"),0, ROUND(ROUND(($R293*$S$2+($T293*$T$2))/A289,2)*$C$2,2))</f>
        <v>0</v>
      </c>
      <c r="F289" s="675">
        <f>ROUND($A289*$E289,2)</f>
        <v>0</v>
      </c>
      <c r="G289" s="676" t="s">
        <v>142</v>
      </c>
      <c r="H289" s="664"/>
      <c r="I289" s="677"/>
      <c r="J289" s="664"/>
      <c r="K289" s="664" t="s">
        <v>3</v>
      </c>
      <c r="L289" s="678" t="s">
        <v>143</v>
      </c>
      <c r="M289" s="678"/>
      <c r="N289" s="678"/>
      <c r="O289" s="678"/>
      <c r="P289" s="678"/>
      <c r="Q289" s="63"/>
      <c r="T289" s="679" t="str">
        <f>IF(AND($R293=0,$T293=0),"0.00","mu :" &amp; ROUND($F289/$C$2/($R293+$T293*$D$9),2))</f>
        <v>0.00</v>
      </c>
      <c r="W289" s="604"/>
      <c r="AG289" s="549">
        <f>IF($E289=0,0,ROUND($R293*$S$2*$C$2/$A289,2))</f>
        <v>0</v>
      </c>
      <c r="AH289" s="549">
        <f>$AG289*$A289</f>
        <v>0</v>
      </c>
      <c r="AI289" s="605">
        <f>$E289-$AG289</f>
        <v>0</v>
      </c>
      <c r="AJ289" s="605">
        <f>$A289*$AI289</f>
        <v>0</v>
      </c>
      <c r="AK289" s="606">
        <f>ROUND(($AG289+$AI289)*$A289,2)</f>
        <v>0</v>
      </c>
      <c r="AM289" s="607">
        <f>ROUND(R293,2)</f>
        <v>0</v>
      </c>
      <c r="AN289" s="608">
        <f>ROUND(T293,2)</f>
        <v>0</v>
      </c>
      <c r="AO289" s="609">
        <f>ROUND(AM289+AN289,2)*A289</f>
        <v>0</v>
      </c>
    </row>
    <row r="290" spans="1:41" s="602" customFormat="1" ht="13.2">
      <c r="A290" s="672"/>
      <c r="B290"/>
      <c r="C290" s="672"/>
      <c r="D290" s="673" t="s">
        <v>336</v>
      </c>
      <c r="F290" s="664"/>
      <c r="G290" s="3"/>
      <c r="H290" s="664"/>
      <c r="I290" s="677"/>
      <c r="J290" s="664"/>
      <c r="K290" s="664" t="s">
        <v>144</v>
      </c>
      <c r="L290" s="664"/>
      <c r="M290" s="664"/>
      <c r="N290" s="664"/>
      <c r="O290" s="664"/>
      <c r="P290" s="664"/>
      <c r="Q290" s="63"/>
      <c r="R290" s="610"/>
      <c r="S290" s="680"/>
      <c r="T290" s="664"/>
    </row>
    <row r="291" spans="1:41" s="730" customFormat="1" ht="13.2">
      <c r="A291" s="167">
        <v>2</v>
      </c>
      <c r="B291" s="730" t="s">
        <v>141</v>
      </c>
      <c r="D291" s="730" t="s">
        <v>710</v>
      </c>
      <c r="E291" s="749" t="s">
        <v>675</v>
      </c>
      <c r="F291" s="730" t="s">
        <v>336</v>
      </c>
      <c r="G291" s="731" t="s">
        <v>711</v>
      </c>
      <c r="H291" s="732">
        <v>835</v>
      </c>
      <c r="I291" s="730" t="s">
        <v>674</v>
      </c>
      <c r="O291" s="733">
        <v>3</v>
      </c>
      <c r="P291" s="734"/>
      <c r="Q291" s="735"/>
      <c r="R291" s="736">
        <f>$A291*Q291</f>
        <v>0</v>
      </c>
      <c r="S291" s="735"/>
      <c r="T291" s="737">
        <f>$A291*S291*$T$1</f>
        <v>0</v>
      </c>
    </row>
    <row r="292" spans="1:41" s="602" customFormat="1" ht="12">
      <c r="A292" s="663"/>
      <c r="B292" s="663"/>
      <c r="C292" s="663"/>
      <c r="D292" s="663"/>
      <c r="E292" s="663"/>
      <c r="F292" s="664"/>
      <c r="G292" s="663"/>
      <c r="H292" s="663"/>
      <c r="I292" s="601"/>
      <c r="J292" s="663"/>
      <c r="K292" s="663"/>
      <c r="L292" s="663"/>
      <c r="M292" s="663"/>
      <c r="N292" s="663"/>
      <c r="O292" s="663"/>
      <c r="P292" s="663"/>
      <c r="Q292" s="601"/>
      <c r="R292" s="666">
        <f>$A292*Q292</f>
        <v>0</v>
      </c>
      <c r="S292" s="601"/>
      <c r="T292" s="681">
        <f>$A292*S292*$T$1</f>
        <v>0</v>
      </c>
    </row>
    <row r="293" spans="1:41" s="602" customFormat="1" ht="12.6" thickBot="1">
      <c r="A293" s="682" t="s">
        <v>145</v>
      </c>
      <c r="B293" s="683">
        <f>(R292+T292)</f>
        <v>0</v>
      </c>
      <c r="C293" s="684"/>
      <c r="D293" s="684"/>
      <c r="E293" s="684"/>
      <c r="F293" s="685"/>
      <c r="G293" s="684" t="s">
        <v>146</v>
      </c>
      <c r="H293" s="684"/>
      <c r="I293" s="686"/>
      <c r="J293" s="684"/>
      <c r="K293" s="684" t="s">
        <v>3</v>
      </c>
      <c r="L293" s="687" t="s">
        <v>143</v>
      </c>
      <c r="M293" s="687"/>
      <c r="N293" s="687"/>
      <c r="O293" s="687"/>
      <c r="P293" s="687"/>
      <c r="Q293" s="688"/>
      <c r="R293" s="689">
        <f>SUM(R290:R292)</f>
        <v>0</v>
      </c>
      <c r="S293" s="684"/>
      <c r="T293" s="689">
        <f>SUM(T290:T292)</f>
        <v>0</v>
      </c>
      <c r="U293" s="611"/>
      <c r="V293" s="611"/>
      <c r="W293" s="611"/>
      <c r="X293" s="611"/>
      <c r="Y293" s="611"/>
      <c r="Z293" s="611"/>
      <c r="AA293" s="611"/>
      <c r="AB293" s="611"/>
      <c r="AC293" s="611"/>
      <c r="AD293" s="611"/>
      <c r="AE293" s="611"/>
      <c r="AF293" s="611"/>
      <c r="AG293" s="611"/>
      <c r="AH293" s="611"/>
      <c r="AI293" s="611"/>
      <c r="AJ293" s="611"/>
      <c r="AK293" s="611"/>
      <c r="AL293" s="611"/>
      <c r="AM293" s="611"/>
      <c r="AN293" s="611"/>
      <c r="AO293" s="611"/>
    </row>
    <row r="294" spans="1:41" s="602" customFormat="1" ht="12" thickTop="1">
      <c r="A294" s="63"/>
      <c r="B294" s="41"/>
      <c r="C294" s="63"/>
      <c r="E294" s="42" t="s">
        <v>138</v>
      </c>
      <c r="F294" s="42" t="s">
        <v>139</v>
      </c>
      <c r="G294" s="63"/>
      <c r="H294" s="63"/>
      <c r="I294" s="63"/>
      <c r="J294" s="63"/>
      <c r="K294" s="63" t="s">
        <v>140</v>
      </c>
      <c r="L294" s="63"/>
      <c r="M294" s="63"/>
      <c r="N294" s="63"/>
      <c r="O294" s="64"/>
      <c r="P294" s="63"/>
      <c r="Q294" s="63"/>
      <c r="R294" s="63"/>
      <c r="S294" s="63"/>
      <c r="T294" s="41"/>
      <c r="AG294" s="667" t="s">
        <v>278</v>
      </c>
      <c r="AH294" s="667" t="s">
        <v>279</v>
      </c>
      <c r="AI294" s="667" t="s">
        <v>280</v>
      </c>
      <c r="AJ294" s="667" t="s">
        <v>281</v>
      </c>
      <c r="AK294" s="667" t="s">
        <v>282</v>
      </c>
      <c r="AM294" s="668" t="s">
        <v>291</v>
      </c>
      <c r="AN294" s="669" t="s">
        <v>292</v>
      </c>
      <c r="AO294" s="603" t="s">
        <v>288</v>
      </c>
    </row>
    <row r="295" spans="1:41" s="602" customFormat="1" ht="12" customHeight="1">
      <c r="A295" s="670">
        <v>2</v>
      </c>
      <c r="B295" s="671" t="s">
        <v>320</v>
      </c>
      <c r="C295" s="672"/>
      <c r="D295" s="673" t="s">
        <v>461</v>
      </c>
      <c r="E295" s="674">
        <f>IF(AND($A295=0,$A$1="DIF"),0, ROUND(ROUND(($R299*$S$2+($T299*$T$2))/A295,2)*$C$2,2))</f>
        <v>0</v>
      </c>
      <c r="F295" s="675">
        <f>ROUND($A295*$E295,2)</f>
        <v>0</v>
      </c>
      <c r="G295" s="676" t="s">
        <v>142</v>
      </c>
      <c r="H295" s="664"/>
      <c r="I295" s="677"/>
      <c r="J295" s="664"/>
      <c r="K295" s="664" t="s">
        <v>3</v>
      </c>
      <c r="L295" s="678" t="s">
        <v>143</v>
      </c>
      <c r="M295" s="678"/>
      <c r="N295" s="678"/>
      <c r="O295" s="678"/>
      <c r="P295" s="678"/>
      <c r="Q295" s="63"/>
      <c r="T295" s="679" t="str">
        <f>IF(AND($R299=0,$T299=0),"0.00","mu :" &amp; ROUND($F295/$C$2/($R299+$T299*$D$9),2))</f>
        <v>0.00</v>
      </c>
      <c r="W295" s="604"/>
      <c r="AG295" s="549">
        <f>IF($E295=0,0,ROUND($R299*$S$2*$C$2/$A295,2))</f>
        <v>0</v>
      </c>
      <c r="AH295" s="549">
        <f>$AG295*$A295</f>
        <v>0</v>
      </c>
      <c r="AI295" s="605">
        <f>$E295-$AG295</f>
        <v>0</v>
      </c>
      <c r="AJ295" s="605">
        <f>$A295*$AI295</f>
        <v>0</v>
      </c>
      <c r="AK295" s="606">
        <f>ROUND(($AG295+$AI295)*$A295,2)</f>
        <v>0</v>
      </c>
      <c r="AM295" s="607">
        <f>ROUND(R299,2)</f>
        <v>0</v>
      </c>
      <c r="AN295" s="608">
        <f>ROUND(T299,2)</f>
        <v>0</v>
      </c>
      <c r="AO295" s="609">
        <f>ROUND(AM295+AN295,2)*A295</f>
        <v>0</v>
      </c>
    </row>
    <row r="296" spans="1:41" s="602" customFormat="1" ht="13.2">
      <c r="A296" s="672"/>
      <c r="B296"/>
      <c r="C296" s="672"/>
      <c r="D296" s="673" t="s">
        <v>337</v>
      </c>
      <c r="F296" s="664"/>
      <c r="G296" s="3"/>
      <c r="H296" s="664"/>
      <c r="I296" s="677"/>
      <c r="J296" s="664"/>
      <c r="K296" s="664" t="s">
        <v>144</v>
      </c>
      <c r="L296" s="664"/>
      <c r="M296" s="664"/>
      <c r="N296" s="664"/>
      <c r="O296" s="664"/>
      <c r="P296" s="664"/>
      <c r="Q296" s="63"/>
      <c r="R296" s="610"/>
      <c r="S296" s="680"/>
      <c r="T296" s="664"/>
    </row>
    <row r="297" spans="1:41" s="730" customFormat="1" ht="13.2">
      <c r="A297" s="167">
        <v>2</v>
      </c>
      <c r="B297" s="730" t="s">
        <v>141</v>
      </c>
      <c r="D297" s="730" t="s">
        <v>712</v>
      </c>
      <c r="E297" s="749" t="s">
        <v>675</v>
      </c>
      <c r="F297" s="730" t="s">
        <v>337</v>
      </c>
      <c r="G297" s="731" t="s">
        <v>713</v>
      </c>
      <c r="H297" s="732">
        <v>835</v>
      </c>
      <c r="I297" s="730" t="s">
        <v>674</v>
      </c>
      <c r="O297" s="733">
        <v>3</v>
      </c>
      <c r="P297" s="734"/>
      <c r="Q297" s="735"/>
      <c r="R297" s="736">
        <f>$A297*Q297</f>
        <v>0</v>
      </c>
      <c r="S297" s="735"/>
      <c r="T297" s="737">
        <f>$A297*S297*$T$1</f>
        <v>0</v>
      </c>
    </row>
    <row r="298" spans="1:41" s="602" customFormat="1" ht="12">
      <c r="A298" s="663"/>
      <c r="B298" s="663"/>
      <c r="C298" s="663"/>
      <c r="D298" s="663"/>
      <c r="E298" s="663"/>
      <c r="F298" s="664"/>
      <c r="G298" s="663"/>
      <c r="H298" s="663"/>
      <c r="I298" s="601"/>
      <c r="J298" s="663"/>
      <c r="K298" s="663"/>
      <c r="L298" s="663"/>
      <c r="M298" s="663"/>
      <c r="N298" s="663"/>
      <c r="O298" s="663"/>
      <c r="P298" s="663"/>
      <c r="Q298" s="601"/>
      <c r="R298" s="666">
        <f>$A298*Q298</f>
        <v>0</v>
      </c>
      <c r="S298" s="601"/>
      <c r="T298" s="681">
        <f>$A298*S298*$T$1</f>
        <v>0</v>
      </c>
    </row>
    <row r="299" spans="1:41" s="602" customFormat="1" ht="12.6" thickBot="1">
      <c r="A299" s="682" t="s">
        <v>145</v>
      </c>
      <c r="B299" s="683">
        <f>(R298+T298)</f>
        <v>0</v>
      </c>
      <c r="C299" s="684"/>
      <c r="D299" s="684"/>
      <c r="E299" s="684"/>
      <c r="F299" s="685"/>
      <c r="G299" s="684" t="s">
        <v>146</v>
      </c>
      <c r="H299" s="684"/>
      <c r="I299" s="686"/>
      <c r="J299" s="684"/>
      <c r="K299" s="684" t="s">
        <v>3</v>
      </c>
      <c r="L299" s="687" t="s">
        <v>143</v>
      </c>
      <c r="M299" s="687"/>
      <c r="N299" s="687"/>
      <c r="O299" s="687"/>
      <c r="P299" s="687"/>
      <c r="Q299" s="688"/>
      <c r="R299" s="689">
        <f>SUM(R296:R298)</f>
        <v>0</v>
      </c>
      <c r="S299" s="684"/>
      <c r="T299" s="689">
        <f>SUM(T296:T298)</f>
        <v>0</v>
      </c>
      <c r="U299" s="611"/>
      <c r="V299" s="611"/>
      <c r="W299" s="611"/>
      <c r="X299" s="611"/>
      <c r="Y299" s="611"/>
      <c r="Z299" s="611"/>
      <c r="AA299" s="611"/>
      <c r="AB299" s="611"/>
      <c r="AC299" s="611"/>
      <c r="AD299" s="611"/>
      <c r="AE299" s="611"/>
      <c r="AF299" s="611"/>
      <c r="AG299" s="611"/>
      <c r="AH299" s="611"/>
      <c r="AI299" s="611"/>
      <c r="AJ299" s="611"/>
      <c r="AK299" s="611"/>
      <c r="AL299" s="611"/>
      <c r="AM299" s="611"/>
      <c r="AN299" s="611"/>
      <c r="AO299" s="611"/>
    </row>
    <row r="300" spans="1:41" s="602" customFormat="1" thickTop="1">
      <c r="A300" s="63"/>
      <c r="B300" s="63"/>
      <c r="C300" s="3"/>
      <c r="D300" s="3"/>
      <c r="E300" s="63"/>
      <c r="F300" s="63"/>
      <c r="G300" s="63"/>
      <c r="H300" s="63"/>
      <c r="I300" s="63"/>
      <c r="J300" s="63"/>
      <c r="K300" s="63" t="s">
        <v>134</v>
      </c>
      <c r="L300" s="63"/>
      <c r="M300" s="63"/>
      <c r="N300" s="63"/>
      <c r="O300" s="64"/>
      <c r="P300" s="63"/>
      <c r="Q300" s="63"/>
      <c r="R300" s="63"/>
      <c r="S300" s="63"/>
      <c r="T300" s="63"/>
    </row>
    <row r="301" spans="1:41" s="602" customFormat="1" ht="12">
      <c r="A301" s="63"/>
      <c r="B301" s="63"/>
      <c r="C301" s="63" t="s">
        <v>135</v>
      </c>
      <c r="D301" s="37" t="s">
        <v>462</v>
      </c>
      <c r="E301" s="63"/>
      <c r="F301" s="63"/>
      <c r="G301" s="63"/>
      <c r="H301" s="63"/>
      <c r="I301" s="63"/>
      <c r="J301" s="63"/>
      <c r="K301" s="63"/>
      <c r="L301" s="63"/>
      <c r="M301" s="63"/>
      <c r="N301" s="63"/>
      <c r="O301" s="64"/>
      <c r="P301" s="63"/>
      <c r="Q301" s="63"/>
      <c r="R301" s="63"/>
      <c r="S301" s="63"/>
      <c r="T301" s="63"/>
    </row>
    <row r="302" spans="1:41" s="602" customFormat="1" ht="12">
      <c r="A302" s="63"/>
      <c r="B302" s="63"/>
      <c r="C302" s="63"/>
      <c r="D302" s="37" t="s">
        <v>338</v>
      </c>
      <c r="E302" s="63"/>
      <c r="F302" s="63"/>
      <c r="G302" s="63"/>
      <c r="H302" s="63"/>
      <c r="I302" s="63"/>
      <c r="J302" s="63"/>
      <c r="K302" s="63"/>
      <c r="L302" s="63"/>
      <c r="M302" s="63"/>
      <c r="N302" s="63"/>
      <c r="O302" s="64"/>
      <c r="P302" s="63"/>
      <c r="Q302" s="63"/>
      <c r="R302" s="63"/>
      <c r="S302" s="38"/>
      <c r="T302" s="38"/>
    </row>
    <row r="303" spans="1:41" s="3" customFormat="1" thickBot="1">
      <c r="A303" s="611"/>
      <c r="O303" s="158"/>
    </row>
    <row r="304" spans="1:41" s="602" customFormat="1" ht="12" thickTop="1">
      <c r="A304" s="63"/>
      <c r="B304" s="41"/>
      <c r="C304" s="63"/>
      <c r="E304" s="42" t="s">
        <v>138</v>
      </c>
      <c r="F304" s="42" t="s">
        <v>139</v>
      </c>
      <c r="G304" s="63"/>
      <c r="H304" s="63"/>
      <c r="I304" s="63"/>
      <c r="J304" s="63"/>
      <c r="K304" s="63" t="s">
        <v>140</v>
      </c>
      <c r="L304" s="63"/>
      <c r="M304" s="63"/>
      <c r="N304" s="63"/>
      <c r="O304" s="64"/>
      <c r="P304" s="63"/>
      <c r="Q304" s="63"/>
      <c r="R304" s="63"/>
      <c r="S304" s="63"/>
      <c r="T304" s="41"/>
      <c r="AG304" s="667" t="s">
        <v>278</v>
      </c>
      <c r="AH304" s="667" t="s">
        <v>279</v>
      </c>
      <c r="AI304" s="667" t="s">
        <v>280</v>
      </c>
      <c r="AJ304" s="667" t="s">
        <v>281</v>
      </c>
      <c r="AK304" s="667" t="s">
        <v>282</v>
      </c>
      <c r="AM304" s="668" t="s">
        <v>291</v>
      </c>
      <c r="AN304" s="669" t="s">
        <v>292</v>
      </c>
      <c r="AO304" s="603" t="s">
        <v>288</v>
      </c>
    </row>
    <row r="305" spans="1:41" s="602" customFormat="1" ht="12" customHeight="1">
      <c r="A305" s="670">
        <v>2</v>
      </c>
      <c r="B305" s="671" t="s">
        <v>320</v>
      </c>
      <c r="C305" s="672"/>
      <c r="D305" s="673" t="s">
        <v>463</v>
      </c>
      <c r="E305" s="674">
        <f ca="1">IF(AND($A305=0,$A$1="DIF"),0, ROUND(ROUND(($R310*$S$2+($T310*$T$2))/A305,2)*$C$2,2))</f>
        <v>0</v>
      </c>
      <c r="F305" s="675">
        <f ca="1">ROUND($A305*$E305,2)</f>
        <v>0</v>
      </c>
      <c r="G305" s="676" t="s">
        <v>142</v>
      </c>
      <c r="H305" s="664"/>
      <c r="I305" s="677"/>
      <c r="J305" s="664"/>
      <c r="K305" s="664" t="s">
        <v>3</v>
      </c>
      <c r="L305" s="678" t="s">
        <v>143</v>
      </c>
      <c r="M305" s="678"/>
      <c r="N305" s="678"/>
      <c r="O305" s="678"/>
      <c r="P305" s="678"/>
      <c r="Q305" s="63"/>
      <c r="T305" s="679" t="str">
        <f ca="1">IF(AND($R310=0,$T310=0),"0.00","mu :" &amp; ROUND($F305/$C$2/($R310+$T310*$D$9),2))</f>
        <v>0.00</v>
      </c>
      <c r="W305" s="604"/>
      <c r="AG305" s="549">
        <f ca="1">IF($E305=0,0,ROUND($R310*$S$2*$C$2/$A305,2))</f>
        <v>0</v>
      </c>
      <c r="AH305" s="549">
        <f ca="1">$AG305*$A305</f>
        <v>0</v>
      </c>
      <c r="AI305" s="605">
        <f ca="1">$E305-$AG305</f>
        <v>0</v>
      </c>
      <c r="AJ305" s="605">
        <f ca="1">$A305*$AI305</f>
        <v>0</v>
      </c>
      <c r="AK305" s="606">
        <f ca="1">ROUND(($AG305+$AI305)*$A305,2)</f>
        <v>0</v>
      </c>
      <c r="AM305" s="607">
        <f ca="1">ROUND(R310,2)</f>
        <v>0</v>
      </c>
      <c r="AN305" s="608">
        <f ca="1">ROUND(T310,2)</f>
        <v>0</v>
      </c>
      <c r="AO305" s="609">
        <f ca="1">ROUND(AM305+AN305,2)*A305</f>
        <v>0</v>
      </c>
    </row>
    <row r="306" spans="1:41" s="602" customFormat="1" ht="13.2">
      <c r="A306" s="672"/>
      <c r="B306"/>
      <c r="C306" s="672"/>
      <c r="D306" s="673" t="s">
        <v>336</v>
      </c>
      <c r="F306" s="664"/>
      <c r="G306" s="3"/>
      <c r="H306" s="664"/>
      <c r="I306" s="677"/>
      <c r="J306" s="664"/>
      <c r="K306" s="664" t="s">
        <v>144</v>
      </c>
      <c r="L306" s="664"/>
      <c r="M306" s="664"/>
      <c r="N306" s="664"/>
      <c r="O306" s="664"/>
      <c r="P306" s="664"/>
      <c r="Q306" s="63"/>
      <c r="R306" s="610"/>
      <c r="S306" s="680"/>
      <c r="T306" s="664"/>
    </row>
    <row r="307" spans="1:41" s="713" customFormat="1" ht="13.2">
      <c r="A307"/>
      <c r="B307" s="807"/>
      <c r="C307" s="807" t="s">
        <v>692</v>
      </c>
      <c r="D307" s="807" t="str">
        <f ca="1">CELL("Address",Elec_Rates!D$250)</f>
        <v>[E25_0477_IH_Retro_Elec_Est_Rev_A_AW.xlsx]Elec_Rates!$D$250</v>
      </c>
      <c r="E307" s="808"/>
      <c r="F307" s="808"/>
      <c r="G307" s="809" t="s">
        <v>693</v>
      </c>
      <c r="H307" s="809"/>
      <c r="I307" s="809"/>
      <c r="J307" s="809"/>
      <c r="K307" s="810"/>
      <c r="L307" s="808"/>
      <c r="M307" s="808"/>
      <c r="N307" s="808"/>
      <c r="O307" s="811"/>
      <c r="P307" s="808"/>
      <c r="Q307" s="812"/>
      <c r="R307" s="813"/>
      <c r="S307" s="812"/>
      <c r="T307" s="814"/>
      <c r="U307" s="815"/>
    </row>
    <row r="308" spans="1:41" s="713" customFormat="1" ht="11.4">
      <c r="A308" s="816">
        <v>2</v>
      </c>
      <c r="B308" s="817">
        <v>1</v>
      </c>
      <c r="C308" s="817">
        <f>$A308*$B308</f>
        <v>2</v>
      </c>
      <c r="D308" s="818" t="str">
        <f>Elec_Rates!$D$250</f>
        <v>012# Light fitting Type A - Installation Only</v>
      </c>
      <c r="E308" s="818"/>
      <c r="F308" s="818" t="s">
        <v>694</v>
      </c>
      <c r="G308" s="819" t="s">
        <v>695</v>
      </c>
      <c r="H308" s="819"/>
      <c r="I308" s="819"/>
      <c r="J308" s="819"/>
      <c r="K308" s="820"/>
      <c r="L308" s="815"/>
      <c r="M308" s="815"/>
      <c r="N308" s="815"/>
      <c r="O308" s="821"/>
      <c r="P308" s="818"/>
      <c r="Q308" s="822">
        <f ca="1">$B308*Elec_Rates!$R$250</f>
        <v>0</v>
      </c>
      <c r="R308" s="813">
        <f ca="1">$A308*Q308</f>
        <v>0</v>
      </c>
      <c r="S308" s="822">
        <f ca="1">$B308*Elec_Rates!$T$250</f>
        <v>0</v>
      </c>
      <c r="T308" s="814">
        <f ca="1">$A308*S308</f>
        <v>0</v>
      </c>
      <c r="U308" s="583"/>
    </row>
    <row r="309" spans="1:41" s="602" customFormat="1" ht="12">
      <c r="A309" s="663"/>
      <c r="B309" s="663"/>
      <c r="C309" s="663"/>
      <c r="D309" s="663"/>
      <c r="E309" s="663"/>
      <c r="F309" s="664"/>
      <c r="G309" s="663"/>
      <c r="H309" s="663"/>
      <c r="I309" s="601"/>
      <c r="J309" s="663"/>
      <c r="K309" s="663"/>
      <c r="L309" s="663"/>
      <c r="M309" s="663"/>
      <c r="N309" s="663"/>
      <c r="O309" s="663"/>
      <c r="P309" s="663"/>
      <c r="Q309" s="601"/>
      <c r="R309" s="666">
        <f>$A309*Q309</f>
        <v>0</v>
      </c>
      <c r="S309" s="601"/>
      <c r="T309" s="681">
        <f>$A309*S309*$T$1</f>
        <v>0</v>
      </c>
    </row>
    <row r="310" spans="1:41" s="602" customFormat="1" ht="12.6" thickBot="1">
      <c r="A310" s="682" t="s">
        <v>145</v>
      </c>
      <c r="B310" s="683">
        <f>(R309+T309)</f>
        <v>0</v>
      </c>
      <c r="C310" s="684"/>
      <c r="D310" s="684"/>
      <c r="E310" s="684"/>
      <c r="F310" s="685"/>
      <c r="G310" s="684" t="s">
        <v>146</v>
      </c>
      <c r="H310" s="684"/>
      <c r="I310" s="686"/>
      <c r="J310" s="684"/>
      <c r="K310" s="684" t="s">
        <v>3</v>
      </c>
      <c r="L310" s="687" t="s">
        <v>143</v>
      </c>
      <c r="M310" s="687"/>
      <c r="N310" s="687"/>
      <c r="O310" s="687"/>
      <c r="P310" s="687"/>
      <c r="Q310" s="688"/>
      <c r="R310" s="689">
        <f ca="1">SUM(R306:R309)</f>
        <v>0</v>
      </c>
      <c r="S310" s="684"/>
      <c r="T310" s="689">
        <f ca="1">SUM(T306:T309)</f>
        <v>0</v>
      </c>
      <c r="U310" s="611"/>
      <c r="V310" s="611"/>
      <c r="W310" s="611"/>
      <c r="X310" s="611"/>
      <c r="Y310" s="611"/>
      <c r="Z310" s="611"/>
      <c r="AA310" s="611"/>
      <c r="AB310" s="611"/>
      <c r="AC310" s="611"/>
      <c r="AD310" s="611"/>
      <c r="AE310" s="611"/>
      <c r="AF310" s="611"/>
      <c r="AG310" s="611"/>
      <c r="AH310" s="611"/>
      <c r="AI310" s="611"/>
      <c r="AJ310" s="611"/>
      <c r="AK310" s="611"/>
      <c r="AL310" s="611"/>
      <c r="AM310" s="611"/>
      <c r="AN310" s="611"/>
      <c r="AO310" s="611"/>
    </row>
    <row r="311" spans="1:41" s="602" customFormat="1" ht="12" thickTop="1">
      <c r="A311" s="63"/>
      <c r="B311" s="41"/>
      <c r="C311" s="63"/>
      <c r="E311" s="42" t="s">
        <v>138</v>
      </c>
      <c r="F311" s="42" t="s">
        <v>139</v>
      </c>
      <c r="G311" s="63"/>
      <c r="H311" s="63"/>
      <c r="I311" s="63"/>
      <c r="J311" s="63"/>
      <c r="K311" s="63" t="s">
        <v>140</v>
      </c>
      <c r="L311" s="63"/>
      <c r="M311" s="63"/>
      <c r="N311" s="63"/>
      <c r="O311" s="64"/>
      <c r="P311" s="63"/>
      <c r="Q311" s="63"/>
      <c r="R311" s="63"/>
      <c r="S311" s="63"/>
      <c r="T311" s="41"/>
      <c r="AG311" s="667" t="s">
        <v>278</v>
      </c>
      <c r="AH311" s="667" t="s">
        <v>279</v>
      </c>
      <c r="AI311" s="667" t="s">
        <v>280</v>
      </c>
      <c r="AJ311" s="667" t="s">
        <v>281</v>
      </c>
      <c r="AK311" s="667" t="s">
        <v>282</v>
      </c>
      <c r="AM311" s="668" t="s">
        <v>291</v>
      </c>
      <c r="AN311" s="669" t="s">
        <v>292</v>
      </c>
      <c r="AO311" s="603" t="s">
        <v>288</v>
      </c>
    </row>
    <row r="312" spans="1:41" s="602" customFormat="1" ht="12" customHeight="1">
      <c r="A312" s="670">
        <v>2</v>
      </c>
      <c r="B312" s="671" t="s">
        <v>320</v>
      </c>
      <c r="C312" s="672"/>
      <c r="D312" s="673" t="s">
        <v>464</v>
      </c>
      <c r="E312" s="674">
        <f ca="1">IF(AND($A312=0,$A$1="DIF"),0, ROUND(ROUND(($R317*$S$2+($T317*$T$2))/A312,2)*$C$2,2))</f>
        <v>0</v>
      </c>
      <c r="F312" s="675">
        <f ca="1">ROUND($A312*$E312,2)</f>
        <v>0</v>
      </c>
      <c r="G312" s="676" t="s">
        <v>142</v>
      </c>
      <c r="H312" s="664"/>
      <c r="I312" s="677"/>
      <c r="J312" s="664"/>
      <c r="K312" s="664" t="s">
        <v>3</v>
      </c>
      <c r="L312" s="678" t="s">
        <v>143</v>
      </c>
      <c r="M312" s="678"/>
      <c r="N312" s="678"/>
      <c r="O312" s="678"/>
      <c r="P312" s="678"/>
      <c r="Q312" s="63"/>
      <c r="T312" s="679" t="str">
        <f ca="1">IF(AND($R317=0,$T317=0),"0.00","mu :" &amp; ROUND($F312/$C$2/($R317+$T317*$D$9),2))</f>
        <v>0.00</v>
      </c>
      <c r="W312" s="604"/>
      <c r="AG312" s="549">
        <f ca="1">IF($E312=0,0,ROUND($R317*$S$2*$C$2/$A312,2))</f>
        <v>0</v>
      </c>
      <c r="AH312" s="549">
        <f ca="1">$AG312*$A312</f>
        <v>0</v>
      </c>
      <c r="AI312" s="605">
        <f ca="1">$E312-$AG312</f>
        <v>0</v>
      </c>
      <c r="AJ312" s="605">
        <f ca="1">$A312*$AI312</f>
        <v>0</v>
      </c>
      <c r="AK312" s="606">
        <f ca="1">ROUND(($AG312+$AI312)*$A312,2)</f>
        <v>0</v>
      </c>
      <c r="AM312" s="607">
        <f ca="1">ROUND(R317,2)</f>
        <v>0</v>
      </c>
      <c r="AN312" s="608">
        <f ca="1">ROUND(T317,2)</f>
        <v>0</v>
      </c>
      <c r="AO312" s="609">
        <f ca="1">ROUND(AM312+AN312,2)*A312</f>
        <v>0</v>
      </c>
    </row>
    <row r="313" spans="1:41" s="602" customFormat="1" ht="13.2">
      <c r="A313" s="672"/>
      <c r="B313"/>
      <c r="C313" s="672"/>
      <c r="D313" s="673" t="s">
        <v>337</v>
      </c>
      <c r="F313" s="664"/>
      <c r="G313" s="3"/>
      <c r="H313" s="664"/>
      <c r="I313" s="677"/>
      <c r="J313" s="664"/>
      <c r="K313" s="664" t="s">
        <v>144</v>
      </c>
      <c r="L313" s="664"/>
      <c r="M313" s="664"/>
      <c r="N313" s="664"/>
      <c r="O313" s="664"/>
      <c r="P313" s="664"/>
      <c r="Q313" s="63"/>
      <c r="R313" s="610"/>
      <c r="S313" s="680"/>
      <c r="T313" s="664"/>
    </row>
    <row r="314" spans="1:41" s="713" customFormat="1" ht="13.2">
      <c r="A314"/>
      <c r="B314" s="807"/>
      <c r="C314" s="807" t="s">
        <v>692</v>
      </c>
      <c r="D314" s="807" t="str">
        <f ca="1">CELL("Address",Elec_Rates!D$258)</f>
        <v>[E25_0477_IH_Retro_Elec_Est_Rev_A_AW.xlsx]Elec_Rates!$D$258</v>
      </c>
      <c r="E314" s="808"/>
      <c r="F314" s="808"/>
      <c r="G314" s="809" t="s">
        <v>693</v>
      </c>
      <c r="H314" s="809"/>
      <c r="I314" s="809"/>
      <c r="J314" s="809"/>
      <c r="K314" s="810"/>
      <c r="L314" s="808"/>
      <c r="M314" s="808"/>
      <c r="N314" s="808"/>
      <c r="O314" s="811"/>
      <c r="P314" s="808"/>
      <c r="Q314" s="812"/>
      <c r="R314" s="813"/>
      <c r="S314" s="812"/>
      <c r="T314" s="814"/>
      <c r="U314" s="815"/>
    </row>
    <row r="315" spans="1:41" s="713" customFormat="1" ht="11.4">
      <c r="A315" s="816">
        <v>2</v>
      </c>
      <c r="B315" s="817">
        <v>1</v>
      </c>
      <c r="C315" s="817">
        <f>$A315*$B315</f>
        <v>2</v>
      </c>
      <c r="D315" s="818" t="str">
        <f>Elec_Rates!$D$258</f>
        <v>013# Light fitting Type E4 - Installation Only</v>
      </c>
      <c r="E315" s="818"/>
      <c r="F315" s="818" t="s">
        <v>694</v>
      </c>
      <c r="G315" s="819" t="s">
        <v>696</v>
      </c>
      <c r="H315" s="819"/>
      <c r="I315" s="819"/>
      <c r="J315" s="819"/>
      <c r="K315" s="820"/>
      <c r="L315" s="815"/>
      <c r="M315" s="815"/>
      <c r="N315" s="815"/>
      <c r="O315" s="821"/>
      <c r="P315" s="818"/>
      <c r="Q315" s="822">
        <f ca="1">$B315*Elec_Rates!$R$258</f>
        <v>0</v>
      </c>
      <c r="R315" s="813">
        <f ca="1">$A315*Q315</f>
        <v>0</v>
      </c>
      <c r="S315" s="822">
        <f ca="1">$B315*Elec_Rates!$T$258</f>
        <v>0</v>
      </c>
      <c r="T315" s="814">
        <f ca="1">$A315*S315</f>
        <v>0</v>
      </c>
      <c r="U315" s="583"/>
    </row>
    <row r="316" spans="1:41" s="602" customFormat="1" ht="12">
      <c r="A316" s="663"/>
      <c r="B316" s="663"/>
      <c r="C316" s="663"/>
      <c r="D316" s="663"/>
      <c r="E316" s="663"/>
      <c r="F316" s="664"/>
      <c r="G316" s="663"/>
      <c r="H316" s="663"/>
      <c r="I316" s="601"/>
      <c r="J316" s="663"/>
      <c r="K316" s="663"/>
      <c r="L316" s="663"/>
      <c r="M316" s="663"/>
      <c r="N316" s="663"/>
      <c r="O316" s="663"/>
      <c r="P316" s="663"/>
      <c r="Q316" s="601"/>
      <c r="R316" s="666">
        <f>$A316*Q316</f>
        <v>0</v>
      </c>
      <c r="S316" s="601"/>
      <c r="T316" s="681">
        <f>$A316*S316*$T$1</f>
        <v>0</v>
      </c>
    </row>
    <row r="317" spans="1:41" s="602" customFormat="1" ht="12.6" thickBot="1">
      <c r="A317" s="682" t="s">
        <v>145</v>
      </c>
      <c r="B317" s="683">
        <f>(R316+T316)</f>
        <v>0</v>
      </c>
      <c r="C317" s="684"/>
      <c r="D317" s="684"/>
      <c r="E317" s="684"/>
      <c r="F317" s="685"/>
      <c r="G317" s="684" t="s">
        <v>146</v>
      </c>
      <c r="H317" s="684"/>
      <c r="I317" s="686"/>
      <c r="J317" s="684"/>
      <c r="K317" s="684" t="s">
        <v>3</v>
      </c>
      <c r="L317" s="687" t="s">
        <v>143</v>
      </c>
      <c r="M317" s="687"/>
      <c r="N317" s="687"/>
      <c r="O317" s="687"/>
      <c r="P317" s="687"/>
      <c r="Q317" s="688"/>
      <c r="R317" s="689">
        <f ca="1">SUM(R313:R316)</f>
        <v>0</v>
      </c>
      <c r="S317" s="684"/>
      <c r="T317" s="689">
        <f ca="1">SUM(T313:T316)</f>
        <v>0</v>
      </c>
      <c r="U317" s="611"/>
      <c r="V317" s="611"/>
      <c r="W317" s="611"/>
      <c r="X317" s="611"/>
      <c r="Y317" s="611"/>
      <c r="Z317" s="611"/>
      <c r="AA317" s="611"/>
      <c r="AB317" s="611"/>
      <c r="AC317" s="611"/>
      <c r="AD317" s="611"/>
      <c r="AE317" s="611"/>
      <c r="AF317" s="611"/>
      <c r="AG317" s="611"/>
      <c r="AH317" s="611"/>
      <c r="AI317" s="611"/>
      <c r="AJ317" s="611"/>
      <c r="AK317" s="611"/>
      <c r="AL317" s="611"/>
      <c r="AM317" s="611"/>
      <c r="AN317" s="611"/>
      <c r="AO317" s="611"/>
    </row>
    <row r="318" spans="1:41" s="602" customFormat="1" ht="12" thickTop="1">
      <c r="A318" s="51" t="s">
        <v>154</v>
      </c>
      <c r="D318" s="13"/>
      <c r="E318" s="42"/>
      <c r="O318" s="698"/>
    </row>
    <row r="319" spans="1:41" s="602" customFormat="1" ht="13.2">
      <c r="B319" s="3"/>
      <c r="O319" s="698"/>
    </row>
    <row r="320" spans="1:41" s="602" customFormat="1" ht="12">
      <c r="B320" s="699">
        <f ca="1">$F320/$C$2-($R320*$S$2+$T320*$T$2)</f>
        <v>-2.0754645720984399E-2</v>
      </c>
      <c r="D320" s="700" t="s">
        <v>414</v>
      </c>
      <c r="E320" s="701"/>
      <c r="F320" s="702">
        <f ca="1">SUMIF($L214:$L318,"ITEM",F214:F318)</f>
        <v>219.15</v>
      </c>
      <c r="G320" s="663"/>
      <c r="H320" s="663"/>
      <c r="I320" s="601"/>
      <c r="J320" s="663"/>
      <c r="K320" s="663"/>
      <c r="L320" s="678" t="s">
        <v>166</v>
      </c>
      <c r="M320" s="678"/>
      <c r="N320" s="678"/>
      <c r="O320" s="678"/>
      <c r="P320" s="678"/>
      <c r="R320" s="702">
        <f ca="1">SUMIF($L214:$L318,"ITEM",R214:R318)</f>
        <v>96.42</v>
      </c>
      <c r="S320" s="71"/>
      <c r="T320" s="702">
        <f ca="1">SUMIF($L214:$L318,"ITEM",T214:T318)</f>
        <v>2.56</v>
      </c>
    </row>
    <row r="321" spans="1:41" s="602" customFormat="1" ht="13.2">
      <c r="A321" s="63"/>
      <c r="B321" s="55" t="s">
        <v>413</v>
      </c>
      <c r="C321" s="63"/>
      <c r="D321" s="3"/>
      <c r="F321" s="703" t="s">
        <v>168</v>
      </c>
      <c r="G321" s="663"/>
      <c r="H321" s="663"/>
      <c r="I321" s="601"/>
      <c r="J321" s="663"/>
      <c r="K321" s="663"/>
      <c r="L321" s="663"/>
      <c r="M321" s="663"/>
      <c r="N321" s="663"/>
      <c r="O321" s="663"/>
      <c r="P321" s="663"/>
      <c r="Q321" s="665"/>
      <c r="R321" s="703" t="s">
        <v>169</v>
      </c>
      <c r="S321" s="38"/>
      <c r="T321" s="703" t="s">
        <v>170</v>
      </c>
    </row>
    <row r="322" spans="1:41" s="602" customFormat="1" ht="13.2">
      <c r="A322" s="663"/>
      <c r="B322" s="3"/>
      <c r="C322" s="663"/>
      <c r="D322" s="3"/>
      <c r="E322" s="3"/>
      <c r="G322" s="3"/>
      <c r="H322" s="3"/>
      <c r="I322" s="3"/>
      <c r="J322" s="3"/>
      <c r="K322" s="3"/>
      <c r="L322" s="3"/>
      <c r="M322" s="3"/>
      <c r="N322" s="3"/>
      <c r="O322" s="158"/>
      <c r="P322" s="3"/>
      <c r="Q322" s="3"/>
      <c r="R322" s="3"/>
      <c r="S322" s="3"/>
      <c r="T322" s="3"/>
    </row>
    <row r="323" spans="1:41" s="602" customFormat="1" ht="12" thickBot="1">
      <c r="A323" s="611"/>
      <c r="B323" s="684"/>
      <c r="C323" s="684"/>
      <c r="D323" s="611"/>
      <c r="E323" s="39"/>
      <c r="F323" s="704"/>
      <c r="G323" s="684"/>
      <c r="H323" s="684"/>
      <c r="I323" s="686"/>
      <c r="J323" s="684"/>
      <c r="K323" s="684"/>
      <c r="L323" s="687"/>
      <c r="M323" s="687"/>
      <c r="N323" s="687"/>
      <c r="O323" s="687"/>
      <c r="P323" s="687"/>
      <c r="Q323" s="688"/>
      <c r="R323" s="704"/>
      <c r="S323" s="705"/>
      <c r="T323" s="704"/>
      <c r="U323" s="611"/>
      <c r="V323" s="611"/>
      <c r="W323" s="611"/>
      <c r="X323" s="611"/>
      <c r="Y323" s="611"/>
      <c r="Z323" s="611"/>
      <c r="AA323" s="611"/>
      <c r="AB323" s="611"/>
      <c r="AC323" s="611"/>
      <c r="AD323" s="611"/>
      <c r="AE323" s="611"/>
      <c r="AF323" s="611"/>
      <c r="AG323" s="611"/>
      <c r="AH323" s="611"/>
      <c r="AI323" s="611"/>
      <c r="AJ323" s="611"/>
      <c r="AK323" s="611"/>
    </row>
    <row r="324" spans="1:41" s="602" customFormat="1" thickTop="1">
      <c r="A324" s="63"/>
      <c r="B324" s="63"/>
      <c r="C324" s="3"/>
      <c r="D324" s="3"/>
      <c r="E324" s="63"/>
      <c r="F324" s="63"/>
      <c r="G324" s="63"/>
      <c r="H324" s="63"/>
      <c r="I324" s="63"/>
      <c r="J324" s="63"/>
      <c r="K324" s="63" t="s">
        <v>134</v>
      </c>
      <c r="L324" s="63"/>
      <c r="M324" s="63"/>
      <c r="N324" s="63"/>
      <c r="O324" s="64"/>
      <c r="P324" s="63"/>
      <c r="Q324" s="63"/>
      <c r="R324" s="63"/>
      <c r="S324" s="63"/>
      <c r="T324" s="63"/>
    </row>
    <row r="325" spans="1:41" s="602" customFormat="1" ht="12">
      <c r="A325" s="63"/>
      <c r="B325" s="63"/>
      <c r="C325" s="63" t="s">
        <v>135</v>
      </c>
      <c r="D325" s="37"/>
      <c r="E325" s="63"/>
      <c r="F325" s="63"/>
      <c r="G325" s="63"/>
      <c r="H325" s="63"/>
      <c r="I325" s="63"/>
      <c r="J325" s="63"/>
      <c r="K325" s="63"/>
      <c r="L325" s="63"/>
      <c r="M325" s="63"/>
      <c r="N325" s="63"/>
      <c r="O325" s="64"/>
      <c r="P325" s="63"/>
      <c r="Q325" s="63"/>
      <c r="R325" s="63"/>
      <c r="S325" s="63"/>
      <c r="T325" s="63"/>
    </row>
    <row r="326" spans="1:41" s="602" customFormat="1" ht="12">
      <c r="A326" s="63"/>
      <c r="B326" s="63"/>
      <c r="C326" s="63"/>
      <c r="D326" s="37" t="s">
        <v>339</v>
      </c>
      <c r="E326" s="63"/>
      <c r="F326" s="63"/>
      <c r="G326" s="63"/>
      <c r="H326" s="63"/>
      <c r="I326" s="63"/>
      <c r="J326" s="63"/>
      <c r="K326" s="63"/>
      <c r="L326" s="63"/>
      <c r="M326" s="63"/>
      <c r="N326" s="63"/>
      <c r="O326" s="64"/>
      <c r="P326" s="63"/>
      <c r="Q326" s="63"/>
      <c r="R326" s="63"/>
      <c r="S326" s="38"/>
      <c r="T326" s="38"/>
    </row>
    <row r="327" spans="1:41" s="3" customFormat="1" thickBot="1">
      <c r="A327" s="611"/>
      <c r="O327" s="158"/>
    </row>
    <row r="328" spans="1:41" s="602" customFormat="1" thickTop="1">
      <c r="A328" s="63"/>
      <c r="B328" s="63"/>
      <c r="C328" s="3"/>
      <c r="D328" s="3"/>
      <c r="E328" s="63"/>
      <c r="F328" s="63"/>
      <c r="G328" s="63"/>
      <c r="H328" s="63"/>
      <c r="I328" s="63"/>
      <c r="J328" s="63"/>
      <c r="K328" s="63" t="s">
        <v>134</v>
      </c>
      <c r="L328" s="63"/>
      <c r="M328" s="63"/>
      <c r="N328" s="63"/>
      <c r="O328" s="64"/>
      <c r="P328" s="63"/>
      <c r="Q328" s="63"/>
      <c r="R328" s="63"/>
      <c r="S328" s="63"/>
      <c r="T328" s="63"/>
    </row>
    <row r="329" spans="1:41" s="602" customFormat="1" ht="12">
      <c r="A329" s="63"/>
      <c r="B329" s="63"/>
      <c r="C329" s="63" t="s">
        <v>135</v>
      </c>
      <c r="D329" s="37" t="s">
        <v>465</v>
      </c>
      <c r="E329" s="63"/>
      <c r="F329" s="63"/>
      <c r="G329" s="63"/>
      <c r="H329" s="63"/>
      <c r="I329" s="63"/>
      <c r="J329" s="63"/>
      <c r="K329" s="63"/>
      <c r="L329" s="63"/>
      <c r="M329" s="63"/>
      <c r="N329" s="63"/>
      <c r="O329" s="64"/>
      <c r="P329" s="63"/>
      <c r="Q329" s="63"/>
      <c r="R329" s="63"/>
      <c r="S329" s="63"/>
      <c r="T329" s="63"/>
    </row>
    <row r="330" spans="1:41" s="602" customFormat="1" ht="12">
      <c r="A330" s="63"/>
      <c r="B330" s="63"/>
      <c r="C330" s="63"/>
      <c r="D330" s="37" t="s">
        <v>466</v>
      </c>
      <c r="E330" s="63"/>
      <c r="F330" s="63"/>
      <c r="G330" s="63"/>
      <c r="H330" s="63"/>
      <c r="I330" s="63"/>
      <c r="J330" s="63"/>
      <c r="K330" s="63"/>
      <c r="L330" s="63"/>
      <c r="M330" s="63"/>
      <c r="N330" s="63"/>
      <c r="O330" s="64"/>
      <c r="P330" s="63"/>
      <c r="Q330" s="63"/>
      <c r="R330" s="63"/>
      <c r="S330" s="38"/>
      <c r="T330" s="38"/>
    </row>
    <row r="331" spans="1:41" s="3" customFormat="1" thickBot="1">
      <c r="A331" s="611"/>
      <c r="O331" s="158"/>
    </row>
    <row r="332" spans="1:41" s="602" customFormat="1" ht="12" thickTop="1">
      <c r="A332" s="63"/>
      <c r="B332" s="41"/>
      <c r="C332" s="63"/>
      <c r="E332" s="42" t="s">
        <v>138</v>
      </c>
      <c r="F332" s="42" t="s">
        <v>139</v>
      </c>
      <c r="G332" s="63"/>
      <c r="H332" s="63"/>
      <c r="I332" s="63"/>
      <c r="J332" s="63"/>
      <c r="K332" s="63" t="s">
        <v>140</v>
      </c>
      <c r="L332" s="63"/>
      <c r="M332" s="63"/>
      <c r="N332" s="63"/>
      <c r="O332" s="64"/>
      <c r="P332" s="63"/>
      <c r="Q332" s="63"/>
      <c r="R332" s="63"/>
      <c r="S332" s="63"/>
      <c r="T332" s="41"/>
      <c r="AG332" s="667" t="s">
        <v>278</v>
      </c>
      <c r="AH332" s="667" t="s">
        <v>279</v>
      </c>
      <c r="AI332" s="667" t="s">
        <v>280</v>
      </c>
      <c r="AJ332" s="667" t="s">
        <v>281</v>
      </c>
      <c r="AK332" s="667" t="s">
        <v>282</v>
      </c>
      <c r="AM332" s="668" t="s">
        <v>291</v>
      </c>
      <c r="AN332" s="669" t="s">
        <v>292</v>
      </c>
      <c r="AO332" s="603" t="s">
        <v>288</v>
      </c>
    </row>
    <row r="333" spans="1:41" s="602" customFormat="1" ht="12" customHeight="1">
      <c r="A333" s="670">
        <v>2</v>
      </c>
      <c r="B333" s="671" t="s">
        <v>320</v>
      </c>
      <c r="C333" s="672"/>
      <c r="D333" s="673" t="s">
        <v>467</v>
      </c>
      <c r="E333" s="674">
        <f ca="1">IF(AND($A333=0,$A$1="DIF"),0, ROUND(ROUND(($R342*$S$2+($T342*$T$2))/A333,2)*$C$2,2))</f>
        <v>20.57</v>
      </c>
      <c r="F333" s="675">
        <f ca="1">ROUND($A333*$E333,2)</f>
        <v>41.14</v>
      </c>
      <c r="G333" s="676" t="s">
        <v>142</v>
      </c>
      <c r="H333" s="664"/>
      <c r="I333" s="677"/>
      <c r="J333" s="664"/>
      <c r="K333" s="664" t="s">
        <v>3</v>
      </c>
      <c r="L333" s="678" t="s">
        <v>143</v>
      </c>
      <c r="M333" s="678"/>
      <c r="N333" s="678"/>
      <c r="O333" s="678"/>
      <c r="P333" s="678"/>
      <c r="Q333" s="63"/>
      <c r="T333" s="679" t="str">
        <f ca="1">IF(AND($R342=0,$T342=0),"0.00","mu :" &amp; ROUND($F333/$C$2/($R342+$T342*$D$9),2))</f>
        <v>mu :1.35</v>
      </c>
      <c r="W333" s="604"/>
      <c r="AG333" s="549">
        <f ca="1">IF($E333=0,0,ROUND($R342*$S$2*$C$2/$A333,2))</f>
        <v>12.62</v>
      </c>
      <c r="AH333" s="549">
        <f ca="1">$AG333*$A333</f>
        <v>25.24</v>
      </c>
      <c r="AI333" s="605">
        <f ca="1">$E333-$AG333</f>
        <v>7.9500000000000011</v>
      </c>
      <c r="AJ333" s="605">
        <f ca="1">$A333*$AI333</f>
        <v>15.900000000000002</v>
      </c>
      <c r="AK333" s="606">
        <f ca="1">ROUND(($AG333+$AI333)*$A333,2)</f>
        <v>41.14</v>
      </c>
      <c r="AM333" s="607">
        <f ca="1">ROUND(R342,2)</f>
        <v>19.2</v>
      </c>
      <c r="AN333" s="608">
        <f ca="1">ROUND(T342,2)</f>
        <v>0.44</v>
      </c>
      <c r="AO333" s="609">
        <f ca="1">ROUND(AM333+AN333,2)*A333</f>
        <v>39.28</v>
      </c>
    </row>
    <row r="334" spans="1:41" s="602" customFormat="1" ht="13.2">
      <c r="A334" s="672"/>
      <c r="B334"/>
      <c r="C334" s="672"/>
      <c r="D334" s="673" t="s">
        <v>341</v>
      </c>
      <c r="F334" s="664"/>
      <c r="G334" s="3"/>
      <c r="H334" s="664"/>
      <c r="I334" s="677"/>
      <c r="J334" s="664"/>
      <c r="K334" s="664" t="s">
        <v>144</v>
      </c>
      <c r="L334" s="664"/>
      <c r="M334" s="664"/>
      <c r="N334" s="664"/>
      <c r="O334" s="664"/>
      <c r="P334" s="664"/>
      <c r="Q334" s="63"/>
      <c r="R334" s="610"/>
      <c r="S334" s="680"/>
      <c r="T334" s="664"/>
    </row>
    <row r="335" spans="1:41" s="713" customFormat="1" ht="13.2">
      <c r="A335"/>
      <c r="B335" s="807"/>
      <c r="C335" s="807" t="s">
        <v>692</v>
      </c>
      <c r="D335" s="807" t="str">
        <f ca="1">CELL("Address",Elec_Rates!D$140)</f>
        <v>[E25_0477_IH_Retro_Elec_Est_Rev_A_AW.xlsx]Elec_Rates!$D$140</v>
      </c>
      <c r="E335" s="808"/>
      <c r="F335" s="808"/>
      <c r="G335" s="809" t="s">
        <v>693</v>
      </c>
      <c r="H335" s="809"/>
      <c r="I335" s="809"/>
      <c r="J335" s="809"/>
      <c r="K335" s="810"/>
      <c r="L335" s="808"/>
      <c r="M335" s="808"/>
      <c r="N335" s="808"/>
      <c r="O335" s="811"/>
      <c r="P335" s="808"/>
      <c r="Q335" s="812"/>
      <c r="R335" s="813"/>
      <c r="S335" s="812"/>
      <c r="T335" s="814"/>
      <c r="U335" s="815"/>
    </row>
    <row r="336" spans="1:41" s="713" customFormat="1" ht="11.4">
      <c r="A336" s="816">
        <v>2</v>
      </c>
      <c r="B336" s="817">
        <v>1</v>
      </c>
      <c r="C336" s="817">
        <f>$A336*$B336</f>
        <v>2</v>
      </c>
      <c r="D336" s="818" t="str">
        <f>Elec_Rates!$D$140</f>
        <v>002# Power points galvanised installation</v>
      </c>
      <c r="E336" s="818"/>
      <c r="F336" s="818" t="s">
        <v>694</v>
      </c>
      <c r="G336" s="819" t="s">
        <v>695</v>
      </c>
      <c r="H336" s="819"/>
      <c r="I336" s="819"/>
      <c r="J336" s="819"/>
      <c r="K336" s="820"/>
      <c r="L336" s="815"/>
      <c r="M336" s="815"/>
      <c r="N336" s="815"/>
      <c r="O336" s="821"/>
      <c r="P336" s="818"/>
      <c r="Q336" s="822">
        <f ca="1">$B336*Elec_Rates!$R$140</f>
        <v>0</v>
      </c>
      <c r="R336" s="813">
        <f t="shared" ref="R336:R341" ca="1" si="4">$A336*Q336</f>
        <v>0</v>
      </c>
      <c r="S336" s="822">
        <f ca="1">$B336*Elec_Rates!$T$140</f>
        <v>0</v>
      </c>
      <c r="T336" s="814">
        <f ca="1">$A336*S336</f>
        <v>0</v>
      </c>
      <c r="U336" s="583"/>
    </row>
    <row r="337" spans="1:41" s="730" customFormat="1" ht="13.2">
      <c r="A337" s="167">
        <v>2</v>
      </c>
      <c r="B337" s="730" t="s">
        <v>141</v>
      </c>
      <c r="D337" s="730" t="s">
        <v>714</v>
      </c>
      <c r="G337" s="731" t="s">
        <v>715</v>
      </c>
      <c r="H337" s="732">
        <v>705</v>
      </c>
      <c r="I337" s="730" t="s">
        <v>716</v>
      </c>
      <c r="J337" s="730" t="s">
        <v>717</v>
      </c>
      <c r="O337" s="733">
        <v>3</v>
      </c>
      <c r="P337" s="734">
        <v>34669</v>
      </c>
      <c r="Q337" s="823">
        <v>6.03</v>
      </c>
      <c r="R337" s="736">
        <f t="shared" si="4"/>
        <v>12.06</v>
      </c>
      <c r="S337" s="735">
        <v>0.17</v>
      </c>
      <c r="T337" s="737">
        <f>$A337*S337*$T$1</f>
        <v>0.34</v>
      </c>
    </row>
    <row r="338" spans="1:41" s="730" customFormat="1" ht="13.2">
      <c r="A338">
        <v>2</v>
      </c>
      <c r="B338" s="730" t="s">
        <v>141</v>
      </c>
      <c r="D338" s="730" t="s">
        <v>731</v>
      </c>
      <c r="G338" s="731" t="s">
        <v>732</v>
      </c>
      <c r="H338" s="732">
        <v>875</v>
      </c>
      <c r="I338" s="730" t="s">
        <v>674</v>
      </c>
      <c r="K338" s="730" t="s">
        <v>733</v>
      </c>
      <c r="O338" s="733">
        <v>3</v>
      </c>
      <c r="P338" s="734">
        <v>34820</v>
      </c>
      <c r="Q338" s="823">
        <v>3.49</v>
      </c>
      <c r="R338" s="736">
        <f t="shared" si="4"/>
        <v>6.98</v>
      </c>
      <c r="S338" s="735">
        <v>0.05</v>
      </c>
      <c r="T338" s="737">
        <f>$A338*S338*$T$1</f>
        <v>0.1</v>
      </c>
    </row>
    <row r="339" spans="1:41" s="730" customFormat="1" ht="13.2">
      <c r="A339" s="167">
        <v>4</v>
      </c>
      <c r="B339" s="730" t="s">
        <v>141</v>
      </c>
      <c r="D339" s="730" t="s">
        <v>718</v>
      </c>
      <c r="G339" s="731" t="s">
        <v>719</v>
      </c>
      <c r="H339" s="732">
        <v>875</v>
      </c>
      <c r="I339" s="730" t="s">
        <v>674</v>
      </c>
      <c r="K339" s="730" t="s">
        <v>720</v>
      </c>
      <c r="O339" s="733">
        <v>1</v>
      </c>
      <c r="P339" s="734">
        <v>34669</v>
      </c>
      <c r="Q339" s="823">
        <v>0.02</v>
      </c>
      <c r="R339" s="736">
        <f t="shared" si="4"/>
        <v>0.08</v>
      </c>
      <c r="S339" s="735"/>
      <c r="T339" s="737">
        <f>$A339*S339*$T$1</f>
        <v>0</v>
      </c>
    </row>
    <row r="340" spans="1:41" s="730" customFormat="1" ht="13.2">
      <c r="A340" s="167">
        <v>4</v>
      </c>
      <c r="B340" s="730" t="s">
        <v>141</v>
      </c>
      <c r="D340" s="730" t="s">
        <v>721</v>
      </c>
      <c r="G340" s="731" t="s">
        <v>722</v>
      </c>
      <c r="H340" s="732">
        <v>875</v>
      </c>
      <c r="I340" s="730" t="s">
        <v>674</v>
      </c>
      <c r="K340" s="730" t="s">
        <v>723</v>
      </c>
      <c r="O340" s="733">
        <v>1</v>
      </c>
      <c r="P340" s="734">
        <v>34669</v>
      </c>
      <c r="Q340" s="823">
        <v>0.02</v>
      </c>
      <c r="R340" s="736">
        <f t="shared" si="4"/>
        <v>0.08</v>
      </c>
      <c r="S340" s="735"/>
      <c r="T340" s="737">
        <f>$A340*S340*$T$1</f>
        <v>0</v>
      </c>
    </row>
    <row r="341" spans="1:41" s="602" customFormat="1" ht="12">
      <c r="A341" s="663"/>
      <c r="B341" s="663"/>
      <c r="C341" s="663"/>
      <c r="D341" s="663"/>
      <c r="E341" s="663"/>
      <c r="F341" s="664"/>
      <c r="G341" s="663"/>
      <c r="H341" s="663"/>
      <c r="I341" s="601"/>
      <c r="J341" s="663"/>
      <c r="K341" s="663"/>
      <c r="L341" s="663"/>
      <c r="M341" s="663"/>
      <c r="N341" s="663"/>
      <c r="O341" s="663"/>
      <c r="P341" s="663"/>
      <c r="Q341" s="601"/>
      <c r="R341" s="666">
        <f t="shared" si="4"/>
        <v>0</v>
      </c>
      <c r="S341" s="601"/>
      <c r="T341" s="681">
        <f>$A341*S341*$T$1</f>
        <v>0</v>
      </c>
    </row>
    <row r="342" spans="1:41" s="602" customFormat="1" ht="12.6" thickBot="1">
      <c r="A342" s="682" t="s">
        <v>145</v>
      </c>
      <c r="B342" s="683">
        <f>(R341+T341)</f>
        <v>0</v>
      </c>
      <c r="C342" s="684"/>
      <c r="D342" s="684"/>
      <c r="E342" s="684"/>
      <c r="F342" s="685"/>
      <c r="G342" s="684" t="s">
        <v>146</v>
      </c>
      <c r="H342" s="684"/>
      <c r="I342" s="686"/>
      <c r="J342" s="684"/>
      <c r="K342" s="684" t="s">
        <v>3</v>
      </c>
      <c r="L342" s="687" t="s">
        <v>143</v>
      </c>
      <c r="M342" s="687"/>
      <c r="N342" s="687"/>
      <c r="O342" s="687"/>
      <c r="P342" s="687"/>
      <c r="Q342" s="688"/>
      <c r="R342" s="689">
        <f ca="1">SUM(R334:R341)</f>
        <v>19.199999999999996</v>
      </c>
      <c r="S342" s="684"/>
      <c r="T342" s="689">
        <f ca="1">SUM(T334:T341)</f>
        <v>0.44000000000000006</v>
      </c>
      <c r="U342" s="611"/>
      <c r="V342" s="611"/>
      <c r="W342" s="611"/>
      <c r="X342" s="611"/>
      <c r="Y342" s="611"/>
      <c r="Z342" s="611"/>
      <c r="AA342" s="611"/>
      <c r="AB342" s="611"/>
      <c r="AC342" s="611"/>
      <c r="AD342" s="611"/>
      <c r="AE342" s="611"/>
      <c r="AF342" s="611"/>
      <c r="AG342" s="611"/>
      <c r="AH342" s="611"/>
      <c r="AI342" s="611"/>
      <c r="AJ342" s="611"/>
      <c r="AK342" s="611"/>
      <c r="AL342" s="611"/>
      <c r="AM342" s="611"/>
      <c r="AN342" s="611"/>
      <c r="AO342" s="611"/>
    </row>
    <row r="343" spans="1:41" s="602" customFormat="1" ht="12" thickTop="1">
      <c r="A343" s="63"/>
      <c r="B343" s="41"/>
      <c r="C343" s="63"/>
      <c r="E343" s="42" t="s">
        <v>138</v>
      </c>
      <c r="F343" s="42" t="s">
        <v>139</v>
      </c>
      <c r="G343" s="63"/>
      <c r="H343" s="63"/>
      <c r="I343" s="63"/>
      <c r="J343" s="63"/>
      <c r="K343" s="63" t="s">
        <v>140</v>
      </c>
      <c r="L343" s="63"/>
      <c r="M343" s="63"/>
      <c r="N343" s="63"/>
      <c r="O343" s="64"/>
      <c r="P343" s="63"/>
      <c r="Q343" s="63"/>
      <c r="R343" s="63"/>
      <c r="S343" s="63"/>
      <c r="T343" s="41"/>
      <c r="AG343" s="667" t="s">
        <v>278</v>
      </c>
      <c r="AH343" s="667" t="s">
        <v>279</v>
      </c>
      <c r="AI343" s="667" t="s">
        <v>280</v>
      </c>
      <c r="AJ343" s="667" t="s">
        <v>281</v>
      </c>
      <c r="AK343" s="667" t="s">
        <v>282</v>
      </c>
      <c r="AM343" s="668" t="s">
        <v>291</v>
      </c>
      <c r="AN343" s="669" t="s">
        <v>292</v>
      </c>
      <c r="AO343" s="603" t="s">
        <v>288</v>
      </c>
    </row>
    <row r="344" spans="1:41" s="602" customFormat="1" ht="12" customHeight="1">
      <c r="A344" s="670">
        <v>1</v>
      </c>
      <c r="B344" s="671" t="s">
        <v>320</v>
      </c>
      <c r="C344" s="672"/>
      <c r="D344" s="673" t="s">
        <v>468</v>
      </c>
      <c r="E344" s="674">
        <f ca="1">IF(AND($A344=0,$A$1="DIF"),0, ROUND(ROUND(($R349*$S$2+($T349*$T$2))/A344,2)*$C$2,2))</f>
        <v>0</v>
      </c>
      <c r="F344" s="675">
        <f ca="1">ROUND($A344*$E344,2)</f>
        <v>0</v>
      </c>
      <c r="G344" s="676" t="s">
        <v>142</v>
      </c>
      <c r="H344" s="664"/>
      <c r="I344" s="677"/>
      <c r="J344" s="664"/>
      <c r="K344" s="664" t="s">
        <v>3</v>
      </c>
      <c r="L344" s="678" t="s">
        <v>143</v>
      </c>
      <c r="M344" s="678"/>
      <c r="N344" s="678"/>
      <c r="O344" s="678"/>
      <c r="P344" s="678"/>
      <c r="Q344" s="63"/>
      <c r="T344" s="679" t="str">
        <f ca="1">IF(AND($R349=0,$T349=0),"0.00","mu :" &amp; ROUND($F344/$C$2/($R349+$T349*$D$9),2))</f>
        <v>0.00</v>
      </c>
      <c r="W344" s="604"/>
      <c r="AG344" s="549">
        <f ca="1">IF($E344=0,0,ROUND($R349*$S$2*$C$2/$A344,2))</f>
        <v>0</v>
      </c>
      <c r="AH344" s="549">
        <f ca="1">$AG344*$A344</f>
        <v>0</v>
      </c>
      <c r="AI344" s="605">
        <f ca="1">$E344-$AG344</f>
        <v>0</v>
      </c>
      <c r="AJ344" s="605">
        <f ca="1">$A344*$AI344</f>
        <v>0</v>
      </c>
      <c r="AK344" s="606">
        <f ca="1">ROUND(($AG344+$AI344)*$A344,2)</f>
        <v>0</v>
      </c>
      <c r="AM344" s="607">
        <f ca="1">ROUND(R349,2)</f>
        <v>0</v>
      </c>
      <c r="AN344" s="608">
        <f ca="1">ROUND(T349,2)</f>
        <v>0</v>
      </c>
      <c r="AO344" s="609">
        <f ca="1">ROUND(AM344+AN344,2)*A344</f>
        <v>0</v>
      </c>
    </row>
    <row r="345" spans="1:41" s="602" customFormat="1" ht="13.2">
      <c r="A345" s="672"/>
      <c r="B345"/>
      <c r="C345" s="672"/>
      <c r="D345" s="673" t="s">
        <v>342</v>
      </c>
      <c r="F345" s="664"/>
      <c r="G345" s="3"/>
      <c r="H345" s="664"/>
      <c r="I345" s="677"/>
      <c r="J345" s="664"/>
      <c r="K345" s="664" t="s">
        <v>144</v>
      </c>
      <c r="L345" s="664"/>
      <c r="M345" s="664"/>
      <c r="N345" s="664"/>
      <c r="O345" s="664"/>
      <c r="P345" s="664"/>
      <c r="Q345" s="63"/>
      <c r="R345" s="610"/>
      <c r="S345" s="680"/>
      <c r="T345" s="664"/>
    </row>
    <row r="346" spans="1:41" s="713" customFormat="1" ht="13.2">
      <c r="A346"/>
      <c r="B346" s="807"/>
      <c r="C346" s="807" t="s">
        <v>692</v>
      </c>
      <c r="D346" s="807" t="str">
        <f ca="1">CELL("Address",Elec_Rates!D$151)</f>
        <v>[E25_0477_IH_Retro_Elec_Est_Rev_A_AW.xlsx]Elec_Rates!$D$151</v>
      </c>
      <c r="E346" s="808"/>
      <c r="F346" s="808"/>
      <c r="G346" s="809" t="s">
        <v>693</v>
      </c>
      <c r="H346" s="809"/>
      <c r="I346" s="809"/>
      <c r="J346" s="809"/>
      <c r="K346" s="810"/>
      <c r="L346" s="808"/>
      <c r="M346" s="808"/>
      <c r="N346" s="808"/>
      <c r="O346" s="811"/>
      <c r="P346" s="808"/>
      <c r="Q346" s="812"/>
      <c r="R346" s="813"/>
      <c r="S346" s="812"/>
      <c r="T346" s="814"/>
      <c r="U346" s="815"/>
    </row>
    <row r="347" spans="1:41" s="713" customFormat="1" ht="11.4">
      <c r="A347" s="816">
        <v>1</v>
      </c>
      <c r="B347" s="817">
        <v>1</v>
      </c>
      <c r="C347" s="817">
        <f>$A347*$B347</f>
        <v>1</v>
      </c>
      <c r="D347" s="818" t="str">
        <f>Elec_Rates!$D$151</f>
        <v>003# 16amp 5Pin Socket outlet</v>
      </c>
      <c r="E347" s="818"/>
      <c r="F347" s="818" t="s">
        <v>694</v>
      </c>
      <c r="G347" s="819" t="s">
        <v>696</v>
      </c>
      <c r="H347" s="819"/>
      <c r="I347" s="819"/>
      <c r="J347" s="819"/>
      <c r="K347" s="820"/>
      <c r="L347" s="815"/>
      <c r="M347" s="815"/>
      <c r="N347" s="815"/>
      <c r="O347" s="821"/>
      <c r="P347" s="818"/>
      <c r="Q347" s="822">
        <f ca="1">$B347*Elec_Rates!$R$151</f>
        <v>0</v>
      </c>
      <c r="R347" s="813">
        <f ca="1">$A347*Q347</f>
        <v>0</v>
      </c>
      <c r="S347" s="822">
        <f ca="1">$B347*Elec_Rates!$T$151</f>
        <v>0</v>
      </c>
      <c r="T347" s="814">
        <f ca="1">$A347*S347</f>
        <v>0</v>
      </c>
      <c r="U347" s="583"/>
    </row>
    <row r="348" spans="1:41" s="602" customFormat="1" ht="12">
      <c r="A348" s="663"/>
      <c r="B348" s="663"/>
      <c r="C348" s="663"/>
      <c r="D348" s="663"/>
      <c r="E348" s="663"/>
      <c r="F348" s="664"/>
      <c r="G348" s="663"/>
      <c r="H348" s="663"/>
      <c r="I348" s="601"/>
      <c r="J348" s="663"/>
      <c r="K348" s="663"/>
      <c r="L348" s="663"/>
      <c r="M348" s="663"/>
      <c r="N348" s="663"/>
      <c r="O348" s="663"/>
      <c r="P348" s="663"/>
      <c r="Q348" s="601"/>
      <c r="R348" s="666">
        <f>$A348*Q348</f>
        <v>0</v>
      </c>
      <c r="S348" s="601"/>
      <c r="T348" s="681">
        <f>$A348*S348*$T$1</f>
        <v>0</v>
      </c>
    </row>
    <row r="349" spans="1:41" s="602" customFormat="1" ht="12.6" thickBot="1">
      <c r="A349" s="682" t="s">
        <v>145</v>
      </c>
      <c r="B349" s="683">
        <f>(R348+T348)</f>
        <v>0</v>
      </c>
      <c r="C349" s="684"/>
      <c r="D349" s="684"/>
      <c r="E349" s="684"/>
      <c r="F349" s="685"/>
      <c r="G349" s="684" t="s">
        <v>146</v>
      </c>
      <c r="H349" s="684"/>
      <c r="I349" s="686"/>
      <c r="J349" s="684"/>
      <c r="K349" s="684" t="s">
        <v>3</v>
      </c>
      <c r="L349" s="687" t="s">
        <v>143</v>
      </c>
      <c r="M349" s="687"/>
      <c r="N349" s="687"/>
      <c r="O349" s="687"/>
      <c r="P349" s="687"/>
      <c r="Q349" s="688"/>
      <c r="R349" s="689">
        <f ca="1">SUM(R345:R348)</f>
        <v>0</v>
      </c>
      <c r="S349" s="684"/>
      <c r="T349" s="689">
        <f ca="1">SUM(T345:T348)</f>
        <v>0</v>
      </c>
      <c r="U349" s="611"/>
      <c r="V349" s="611"/>
      <c r="W349" s="611"/>
      <c r="X349" s="611"/>
      <c r="Y349" s="611"/>
      <c r="Z349" s="611"/>
      <c r="AA349" s="611"/>
      <c r="AB349" s="611"/>
      <c r="AC349" s="611"/>
      <c r="AD349" s="611"/>
      <c r="AE349" s="611"/>
      <c r="AF349" s="611"/>
      <c r="AG349" s="611"/>
      <c r="AH349" s="611"/>
      <c r="AI349" s="611"/>
      <c r="AJ349" s="611"/>
      <c r="AK349" s="611"/>
      <c r="AL349" s="611"/>
      <c r="AM349" s="611"/>
      <c r="AN349" s="611"/>
      <c r="AO349" s="611"/>
    </row>
    <row r="350" spans="1:41" s="602" customFormat="1" thickTop="1">
      <c r="A350" s="63"/>
      <c r="B350" s="63"/>
      <c r="C350" s="3"/>
      <c r="D350" s="3"/>
      <c r="E350" s="63"/>
      <c r="F350" s="63"/>
      <c r="G350" s="63"/>
      <c r="H350" s="63"/>
      <c r="I350" s="63"/>
      <c r="J350" s="63"/>
      <c r="K350" s="63" t="s">
        <v>134</v>
      </c>
      <c r="L350" s="63"/>
      <c r="M350" s="63"/>
      <c r="N350" s="63"/>
      <c r="O350" s="64"/>
      <c r="P350" s="63"/>
      <c r="Q350" s="63"/>
      <c r="R350" s="63"/>
      <c r="S350" s="63"/>
      <c r="T350" s="63"/>
    </row>
    <row r="351" spans="1:41" s="602" customFormat="1" ht="12">
      <c r="A351" s="63"/>
      <c r="B351" s="63"/>
      <c r="C351" s="63" t="s">
        <v>135</v>
      </c>
      <c r="D351" s="37"/>
      <c r="E351" s="63"/>
      <c r="F351" s="63"/>
      <c r="G351" s="63"/>
      <c r="H351" s="63"/>
      <c r="I351" s="63"/>
      <c r="J351" s="63"/>
      <c r="K351" s="63"/>
      <c r="L351" s="63"/>
      <c r="M351" s="63"/>
      <c r="N351" s="63"/>
      <c r="O351" s="64"/>
      <c r="P351" s="63"/>
      <c r="Q351" s="63"/>
      <c r="R351" s="63"/>
      <c r="S351" s="63"/>
      <c r="T351" s="63"/>
    </row>
    <row r="352" spans="1:41" s="602" customFormat="1" ht="12">
      <c r="A352" s="63"/>
      <c r="B352" s="63"/>
      <c r="C352" s="63"/>
      <c r="D352" s="37" t="s">
        <v>317</v>
      </c>
      <c r="E352" s="63"/>
      <c r="F352" s="63"/>
      <c r="G352" s="63"/>
      <c r="H352" s="63"/>
      <c r="I352" s="63"/>
      <c r="J352" s="63"/>
      <c r="K352" s="63"/>
      <c r="L352" s="63"/>
      <c r="M352" s="63"/>
      <c r="N352" s="63"/>
      <c r="O352" s="64"/>
      <c r="P352" s="63"/>
      <c r="Q352" s="63"/>
      <c r="R352" s="63"/>
      <c r="S352" s="38"/>
      <c r="T352" s="38"/>
    </row>
    <row r="353" spans="1:41" s="3" customFormat="1" thickBot="1">
      <c r="A353" s="611"/>
      <c r="O353" s="158"/>
    </row>
    <row r="354" spans="1:41" s="602" customFormat="1" thickTop="1">
      <c r="A354" s="63"/>
      <c r="B354" s="63"/>
      <c r="C354" s="3"/>
      <c r="D354" s="3"/>
      <c r="E354" s="63"/>
      <c r="F354" s="63"/>
      <c r="G354" s="63"/>
      <c r="H354" s="63"/>
      <c r="I354" s="63"/>
      <c r="J354" s="63"/>
      <c r="K354" s="63" t="s">
        <v>134</v>
      </c>
      <c r="L354" s="63"/>
      <c r="M354" s="63"/>
      <c r="N354" s="63"/>
      <c r="O354" s="64"/>
      <c r="P354" s="63"/>
      <c r="Q354" s="63"/>
      <c r="R354" s="63"/>
      <c r="S354" s="63"/>
      <c r="T354" s="63"/>
    </row>
    <row r="355" spans="1:41" s="602" customFormat="1" ht="12">
      <c r="A355" s="63"/>
      <c r="B355" s="63"/>
      <c r="C355" s="63" t="s">
        <v>135</v>
      </c>
      <c r="D355" s="37" t="s">
        <v>469</v>
      </c>
      <c r="E355" s="63"/>
      <c r="F355" s="63"/>
      <c r="G355" s="63"/>
      <c r="H355" s="63"/>
      <c r="I355" s="63"/>
      <c r="J355" s="63"/>
      <c r="K355" s="63"/>
      <c r="L355" s="63"/>
      <c r="M355" s="63"/>
      <c r="N355" s="63"/>
      <c r="O355" s="64"/>
      <c r="P355" s="63"/>
      <c r="Q355" s="63"/>
      <c r="R355" s="63"/>
      <c r="S355" s="63"/>
      <c r="T355" s="63"/>
    </row>
    <row r="356" spans="1:41" s="602" customFormat="1" ht="12">
      <c r="A356" s="63"/>
      <c r="B356" s="63"/>
      <c r="C356" s="63"/>
      <c r="D356" s="37" t="s">
        <v>318</v>
      </c>
      <c r="E356" s="63"/>
      <c r="F356" s="63"/>
      <c r="G356" s="63"/>
      <c r="H356" s="63"/>
      <c r="I356" s="63"/>
      <c r="J356" s="63"/>
      <c r="K356" s="63"/>
      <c r="L356" s="63"/>
      <c r="M356" s="63"/>
      <c r="N356" s="63"/>
      <c r="O356" s="64"/>
      <c r="P356" s="63"/>
      <c r="Q356" s="63"/>
      <c r="R356" s="63"/>
      <c r="S356" s="38"/>
      <c r="T356" s="38"/>
    </row>
    <row r="357" spans="1:41" s="3" customFormat="1" thickBot="1">
      <c r="A357" s="611"/>
      <c r="O357" s="158"/>
    </row>
    <row r="358" spans="1:41" s="602" customFormat="1" ht="12" thickTop="1">
      <c r="A358" s="63"/>
      <c r="B358" s="41"/>
      <c r="C358" s="63"/>
      <c r="E358" s="42" t="s">
        <v>138</v>
      </c>
      <c r="F358" s="42" t="s">
        <v>139</v>
      </c>
      <c r="G358" s="63"/>
      <c r="H358" s="63"/>
      <c r="I358" s="63"/>
      <c r="J358" s="63"/>
      <c r="K358" s="63" t="s">
        <v>140</v>
      </c>
      <c r="L358" s="63"/>
      <c r="M358" s="63"/>
      <c r="N358" s="63"/>
      <c r="O358" s="64"/>
      <c r="P358" s="63"/>
      <c r="Q358" s="63"/>
      <c r="R358" s="63"/>
      <c r="S358" s="63"/>
      <c r="T358" s="41"/>
      <c r="AG358" s="667" t="s">
        <v>278</v>
      </c>
      <c r="AH358" s="667" t="s">
        <v>279</v>
      </c>
      <c r="AI358" s="667" t="s">
        <v>280</v>
      </c>
      <c r="AJ358" s="667" t="s">
        <v>281</v>
      </c>
      <c r="AK358" s="667" t="s">
        <v>282</v>
      </c>
      <c r="AM358" s="668" t="s">
        <v>291</v>
      </c>
      <c r="AN358" s="669" t="s">
        <v>292</v>
      </c>
      <c r="AO358" s="603" t="s">
        <v>288</v>
      </c>
    </row>
    <row r="359" spans="1:41" s="602" customFormat="1" ht="12" customHeight="1">
      <c r="A359" s="670">
        <v>1</v>
      </c>
      <c r="B359" s="671" t="s">
        <v>320</v>
      </c>
      <c r="C359" s="672"/>
      <c r="D359" s="673" t="s">
        <v>470</v>
      </c>
      <c r="E359" s="674">
        <f>IF(AND($A359=0,$A$1="DIF"),0, ROUND(ROUND(($R364*$S$2+($T364*$T$2))/A359,2)*$C$2,2))</f>
        <v>98.49</v>
      </c>
      <c r="F359" s="675">
        <f>ROUND($A359*$E359,2)</f>
        <v>98.49</v>
      </c>
      <c r="G359" s="676" t="s">
        <v>142</v>
      </c>
      <c r="H359" s="664"/>
      <c r="I359" s="677"/>
      <c r="J359" s="664"/>
      <c r="K359" s="664" t="s">
        <v>3</v>
      </c>
      <c r="L359" s="678" t="s">
        <v>143</v>
      </c>
      <c r="M359" s="678"/>
      <c r="N359" s="678"/>
      <c r="O359" s="678"/>
      <c r="P359" s="678"/>
      <c r="Q359" s="63"/>
      <c r="T359" s="679" t="str">
        <f>IF(AND($R364=0,$T364=0),"0.00","mu :" &amp; ROUND($F359/$C$2/($R364+$T364*$D$9),2))</f>
        <v>mu :1.35</v>
      </c>
      <c r="W359" s="604"/>
      <c r="AG359" s="549">
        <f>IF($E359=0,0,ROUND($R364*$S$2*$C$2/$A359,2))</f>
        <v>26.29</v>
      </c>
      <c r="AH359" s="549">
        <f>$AG359*$A359</f>
        <v>26.29</v>
      </c>
      <c r="AI359" s="605">
        <f>$E359-$AG359</f>
        <v>72.199999999999989</v>
      </c>
      <c r="AJ359" s="605">
        <f>$A359*$AI359</f>
        <v>72.199999999999989</v>
      </c>
      <c r="AK359" s="606">
        <f>ROUND(($AG359+$AI359)*$A359,2)</f>
        <v>98.49</v>
      </c>
      <c r="AM359" s="607">
        <f>ROUND(R364,2)</f>
        <v>20</v>
      </c>
      <c r="AN359" s="608">
        <f>ROUND(T364,2)</f>
        <v>2</v>
      </c>
      <c r="AO359" s="609">
        <f>ROUND(AM359+AN359,2)*A359</f>
        <v>22</v>
      </c>
    </row>
    <row r="360" spans="1:41" s="602" customFormat="1" ht="13.2">
      <c r="A360" s="672"/>
      <c r="B360"/>
      <c r="C360" s="672"/>
      <c r="D360" s="673" t="s">
        <v>343</v>
      </c>
      <c r="F360" s="664"/>
      <c r="G360" s="3"/>
      <c r="H360" s="664"/>
      <c r="I360" s="677"/>
      <c r="J360" s="664"/>
      <c r="K360" s="664" t="s">
        <v>144</v>
      </c>
      <c r="L360" s="664"/>
      <c r="M360" s="664"/>
      <c r="N360" s="664"/>
      <c r="O360" s="664"/>
      <c r="P360" s="664"/>
      <c r="Q360" s="63"/>
      <c r="R360" s="610"/>
      <c r="S360" s="680"/>
      <c r="T360" s="664"/>
    </row>
    <row r="361" spans="1:41" s="730" customFormat="1" ht="13.2">
      <c r="A361">
        <v>1</v>
      </c>
      <c r="B361" s="730" t="s">
        <v>141</v>
      </c>
      <c r="D361" s="730" t="s">
        <v>724</v>
      </c>
      <c r="E361" s="749" t="s">
        <v>675</v>
      </c>
      <c r="F361" s="806" t="s">
        <v>759</v>
      </c>
      <c r="G361" s="731" t="s">
        <v>725</v>
      </c>
      <c r="H361" s="732">
        <v>510</v>
      </c>
      <c r="I361" s="730" t="s">
        <v>674</v>
      </c>
      <c r="K361" s="730" t="s">
        <v>699</v>
      </c>
      <c r="O361" s="733">
        <v>2</v>
      </c>
      <c r="P361" s="734"/>
      <c r="Q361" s="735"/>
      <c r="R361" s="736">
        <f>$A361*Q361</f>
        <v>0</v>
      </c>
      <c r="S361" s="735"/>
      <c r="T361" s="737">
        <f>$A361*S361*$T$1</f>
        <v>0</v>
      </c>
    </row>
    <row r="362" spans="1:41" s="730" customFormat="1" ht="13.2">
      <c r="A362">
        <v>1</v>
      </c>
      <c r="B362" s="730" t="s">
        <v>141</v>
      </c>
      <c r="D362" s="730" t="s">
        <v>724</v>
      </c>
      <c r="E362" s="730" t="s">
        <v>734</v>
      </c>
      <c r="G362" s="731" t="s">
        <v>725</v>
      </c>
      <c r="H362" s="732">
        <v>510</v>
      </c>
      <c r="I362" s="730" t="s">
        <v>674</v>
      </c>
      <c r="K362" s="730" t="s">
        <v>699</v>
      </c>
      <c r="O362" s="733">
        <v>2</v>
      </c>
      <c r="P362" s="734"/>
      <c r="Q362" s="735">
        <v>20</v>
      </c>
      <c r="R362" s="736">
        <f>$A362*Q362</f>
        <v>20</v>
      </c>
      <c r="S362" s="735">
        <v>2</v>
      </c>
      <c r="T362" s="737">
        <f>$A362*S362*$T$1</f>
        <v>2</v>
      </c>
    </row>
    <row r="363" spans="1:41" s="602" customFormat="1" ht="12">
      <c r="A363" s="663"/>
      <c r="B363" s="663"/>
      <c r="C363" s="663"/>
      <c r="D363" s="663"/>
      <c r="E363" s="663"/>
      <c r="F363" s="664"/>
      <c r="G363" s="663"/>
      <c r="H363" s="663"/>
      <c r="I363" s="601"/>
      <c r="J363" s="663"/>
      <c r="K363" s="663"/>
      <c r="L363" s="663"/>
      <c r="M363" s="663"/>
      <c r="N363" s="663"/>
      <c r="O363" s="663"/>
      <c r="P363" s="663"/>
      <c r="Q363" s="601"/>
      <c r="R363" s="666">
        <f>$A363*Q363</f>
        <v>0</v>
      </c>
      <c r="S363" s="601"/>
      <c r="T363" s="681">
        <f>$A363*S363*$T$1</f>
        <v>0</v>
      </c>
    </row>
    <row r="364" spans="1:41" s="602" customFormat="1" ht="12.6" thickBot="1">
      <c r="A364" s="682" t="s">
        <v>145</v>
      </c>
      <c r="B364" s="683">
        <f>(R363+T363)</f>
        <v>0</v>
      </c>
      <c r="C364" s="684"/>
      <c r="D364" s="684"/>
      <c r="E364" s="684"/>
      <c r="F364" s="685"/>
      <c r="G364" s="684" t="s">
        <v>146</v>
      </c>
      <c r="H364" s="684"/>
      <c r="I364" s="686"/>
      <c r="J364" s="684"/>
      <c r="K364" s="684" t="s">
        <v>3</v>
      </c>
      <c r="L364" s="687" t="s">
        <v>143</v>
      </c>
      <c r="M364" s="687"/>
      <c r="N364" s="687"/>
      <c r="O364" s="687"/>
      <c r="P364" s="687"/>
      <c r="Q364" s="688"/>
      <c r="R364" s="689">
        <f>SUM(R360:R363)</f>
        <v>20</v>
      </c>
      <c r="S364" s="684"/>
      <c r="T364" s="689">
        <f>SUM(T360:T363)</f>
        <v>2</v>
      </c>
      <c r="U364" s="611"/>
      <c r="V364" s="611"/>
      <c r="W364" s="611"/>
      <c r="X364" s="611"/>
      <c r="Y364" s="611"/>
      <c r="Z364" s="611"/>
      <c r="AA364" s="611"/>
      <c r="AB364" s="611"/>
      <c r="AC364" s="611"/>
      <c r="AD364" s="611"/>
      <c r="AE364" s="611"/>
      <c r="AF364" s="611"/>
      <c r="AG364" s="611"/>
      <c r="AH364" s="611"/>
      <c r="AI364" s="611"/>
      <c r="AJ364" s="611"/>
      <c r="AK364" s="611"/>
      <c r="AL364" s="611"/>
      <c r="AM364" s="611"/>
      <c r="AN364" s="611"/>
      <c r="AO364" s="611"/>
    </row>
    <row r="365" spans="1:41" s="602" customFormat="1" thickTop="1">
      <c r="A365" s="63"/>
      <c r="B365" s="63"/>
      <c r="C365" s="3"/>
      <c r="D365" s="3"/>
      <c r="E365" s="63"/>
      <c r="F365" s="63"/>
      <c r="G365" s="63"/>
      <c r="H365" s="63"/>
      <c r="I365" s="63"/>
      <c r="J365" s="63"/>
      <c r="K365" s="63" t="s">
        <v>134</v>
      </c>
      <c r="L365" s="63"/>
      <c r="M365" s="63"/>
      <c r="N365" s="63"/>
      <c r="O365" s="64"/>
      <c r="P365" s="63"/>
      <c r="Q365" s="63"/>
      <c r="R365" s="63"/>
      <c r="S365" s="63"/>
      <c r="T365" s="63"/>
    </row>
    <row r="366" spans="1:41" s="602" customFormat="1" ht="12">
      <c r="A366" s="63"/>
      <c r="B366" s="63"/>
      <c r="C366" s="63" t="s">
        <v>135</v>
      </c>
      <c r="D366" s="37" t="s">
        <v>471</v>
      </c>
      <c r="E366" s="63"/>
      <c r="F366" s="63"/>
      <c r="G366" s="63"/>
      <c r="H366" s="63"/>
      <c r="I366" s="63"/>
      <c r="J366" s="63"/>
      <c r="K366" s="63"/>
      <c r="L366" s="63"/>
      <c r="M366" s="63"/>
      <c r="N366" s="63"/>
      <c r="O366" s="64"/>
      <c r="P366" s="63"/>
      <c r="Q366" s="63"/>
      <c r="R366" s="63"/>
      <c r="S366" s="63"/>
      <c r="T366" s="63"/>
    </row>
    <row r="367" spans="1:41" s="602" customFormat="1" ht="12">
      <c r="A367" s="63"/>
      <c r="B367" s="63"/>
      <c r="C367" s="63"/>
      <c r="D367" s="37" t="s">
        <v>323</v>
      </c>
      <c r="E367" s="63"/>
      <c r="F367" s="63"/>
      <c r="G367" s="63"/>
      <c r="H367" s="63"/>
      <c r="I367" s="63"/>
      <c r="J367" s="63"/>
      <c r="K367" s="63"/>
      <c r="L367" s="63"/>
      <c r="M367" s="63"/>
      <c r="N367" s="63"/>
      <c r="O367" s="64"/>
      <c r="P367" s="63"/>
      <c r="Q367" s="63"/>
      <c r="R367" s="63"/>
      <c r="S367" s="38"/>
      <c r="T367" s="38"/>
    </row>
    <row r="368" spans="1:41" s="3" customFormat="1" thickBot="1">
      <c r="A368" s="611"/>
      <c r="O368" s="158"/>
    </row>
    <row r="369" spans="1:41" s="602" customFormat="1" ht="12" thickTop="1">
      <c r="A369" s="63"/>
      <c r="B369" s="41"/>
      <c r="C369" s="63"/>
      <c r="E369" s="42" t="s">
        <v>138</v>
      </c>
      <c r="F369" s="42" t="s">
        <v>139</v>
      </c>
      <c r="G369" s="63"/>
      <c r="H369" s="63"/>
      <c r="I369" s="63"/>
      <c r="J369" s="63"/>
      <c r="K369" s="63" t="s">
        <v>140</v>
      </c>
      <c r="L369" s="63"/>
      <c r="M369" s="63"/>
      <c r="N369" s="63"/>
      <c r="O369" s="64"/>
      <c r="P369" s="63"/>
      <c r="Q369" s="63"/>
      <c r="R369" s="63"/>
      <c r="S369" s="63"/>
      <c r="T369" s="41"/>
      <c r="AG369" s="667" t="s">
        <v>278</v>
      </c>
      <c r="AH369" s="667" t="s">
        <v>279</v>
      </c>
      <c r="AI369" s="667" t="s">
        <v>280</v>
      </c>
      <c r="AJ369" s="667" t="s">
        <v>281</v>
      </c>
      <c r="AK369" s="667" t="s">
        <v>282</v>
      </c>
      <c r="AM369" s="668" t="s">
        <v>291</v>
      </c>
      <c r="AN369" s="669" t="s">
        <v>292</v>
      </c>
      <c r="AO369" s="603" t="s">
        <v>288</v>
      </c>
    </row>
    <row r="370" spans="1:41" s="602" customFormat="1" ht="12" customHeight="1">
      <c r="A370" s="670">
        <v>1</v>
      </c>
      <c r="B370" s="671" t="s">
        <v>320</v>
      </c>
      <c r="C370" s="672"/>
      <c r="D370" s="673" t="s">
        <v>472</v>
      </c>
      <c r="E370" s="674">
        <f>IF(AND($A370=0,$A$1="DIF"),0, ROUND(ROUND(($R377*$S$2+($T377*$T$2))/A370,2)*$C$2,2))</f>
        <v>307.25</v>
      </c>
      <c r="F370" s="675">
        <f>ROUND($A370*$E370,2)</f>
        <v>307.25</v>
      </c>
      <c r="G370" s="676" t="s">
        <v>142</v>
      </c>
      <c r="H370" s="664"/>
      <c r="I370" s="677"/>
      <c r="J370" s="664"/>
      <c r="K370" s="664" t="s">
        <v>3</v>
      </c>
      <c r="L370" s="678" t="s">
        <v>143</v>
      </c>
      <c r="M370" s="678"/>
      <c r="N370" s="678"/>
      <c r="O370" s="678"/>
      <c r="P370" s="678"/>
      <c r="Q370" s="63"/>
      <c r="T370" s="679" t="str">
        <f>IF(AND($R377=0,$T377=0),"0.00","mu :" &amp; ROUND($F370/$C$2/($R377+$T377*$D$9),2))</f>
        <v>mu :1.35</v>
      </c>
      <c r="W370" s="604"/>
      <c r="AG370" s="549">
        <f>IF($E370=0,0,ROUND($R377*$S$2*$C$2/$A370,2))</f>
        <v>13.76</v>
      </c>
      <c r="AH370" s="549">
        <f>$AG370*$A370</f>
        <v>13.76</v>
      </c>
      <c r="AI370" s="605">
        <f>$E370-$AG370</f>
        <v>293.49</v>
      </c>
      <c r="AJ370" s="605">
        <f>$A370*$AI370</f>
        <v>293.49</v>
      </c>
      <c r="AK370" s="606">
        <f>ROUND(($AG370+$AI370)*$A370,2)</f>
        <v>307.25</v>
      </c>
      <c r="AM370" s="607">
        <f>ROUND(R377,2)</f>
        <v>10.47</v>
      </c>
      <c r="AN370" s="608">
        <f>ROUND(T377,2)</f>
        <v>8.1300000000000008</v>
      </c>
      <c r="AO370" s="609">
        <f>ROUND(AM370+AN370,2)*A370</f>
        <v>18.600000000000001</v>
      </c>
    </row>
    <row r="371" spans="1:41" s="602" customFormat="1" ht="13.2">
      <c r="A371" s="672"/>
      <c r="B371"/>
      <c r="C371" s="672"/>
      <c r="D371" s="673" t="s">
        <v>343</v>
      </c>
      <c r="F371" s="664"/>
      <c r="G371" s="3"/>
      <c r="H371" s="664"/>
      <c r="I371" s="677"/>
      <c r="J371" s="664"/>
      <c r="K371" s="664" t="s">
        <v>144</v>
      </c>
      <c r="L371" s="664"/>
      <c r="M371" s="664"/>
      <c r="N371" s="664"/>
      <c r="O371" s="664"/>
      <c r="P371" s="664"/>
      <c r="Q371" s="63"/>
      <c r="R371" s="610"/>
      <c r="S371" s="680"/>
      <c r="T371" s="664"/>
    </row>
    <row r="372" spans="1:41" s="730" customFormat="1" ht="13.2">
      <c r="A372">
        <v>1</v>
      </c>
      <c r="B372" s="730" t="s">
        <v>141</v>
      </c>
      <c r="D372" s="730" t="s">
        <v>724</v>
      </c>
      <c r="E372" s="749" t="s">
        <v>679</v>
      </c>
      <c r="F372" s="806" t="s">
        <v>759</v>
      </c>
      <c r="G372" s="731" t="s">
        <v>725</v>
      </c>
      <c r="H372" s="732">
        <v>510</v>
      </c>
      <c r="I372" s="730" t="s">
        <v>674</v>
      </c>
      <c r="K372" s="730" t="s">
        <v>699</v>
      </c>
      <c r="O372" s="733">
        <v>2</v>
      </c>
      <c r="P372" s="734"/>
      <c r="Q372" s="735"/>
      <c r="R372" s="736">
        <f>$A372*Q372</f>
        <v>0</v>
      </c>
      <c r="S372" s="735">
        <v>8</v>
      </c>
      <c r="T372" s="737">
        <f>$A372*S372*$T$1</f>
        <v>8</v>
      </c>
    </row>
    <row r="373" spans="1:41" s="730" customFormat="1" ht="13.2">
      <c r="A373" s="167">
        <v>1</v>
      </c>
      <c r="B373" s="730" t="s">
        <v>141</v>
      </c>
      <c r="D373" s="730" t="s">
        <v>726</v>
      </c>
      <c r="G373" s="731" t="s">
        <v>727</v>
      </c>
      <c r="H373" s="732">
        <v>880</v>
      </c>
      <c r="I373" s="730" t="s">
        <v>674</v>
      </c>
      <c r="O373" s="733">
        <v>3</v>
      </c>
      <c r="P373" s="734">
        <v>35443</v>
      </c>
      <c r="Q373" s="823">
        <v>4.66</v>
      </c>
      <c r="R373" s="736">
        <f>$A373*Q373</f>
        <v>4.66</v>
      </c>
      <c r="S373" s="735">
        <v>0.08</v>
      </c>
      <c r="T373" s="737">
        <f>$A373*S373*$T$1</f>
        <v>0.08</v>
      </c>
    </row>
    <row r="374" spans="1:41" s="730" customFormat="1" ht="13.2">
      <c r="A374" s="167">
        <v>4</v>
      </c>
      <c r="B374" s="730" t="s">
        <v>141</v>
      </c>
      <c r="D374" s="730" t="s">
        <v>728</v>
      </c>
      <c r="G374" s="731" t="s">
        <v>729</v>
      </c>
      <c r="H374" s="732">
        <v>875</v>
      </c>
      <c r="I374" s="730" t="s">
        <v>674</v>
      </c>
      <c r="K374" s="730" t="s">
        <v>730</v>
      </c>
      <c r="O374" s="733">
        <v>1</v>
      </c>
      <c r="P374" s="734">
        <v>34669</v>
      </c>
      <c r="Q374" s="823">
        <v>0.57999999999999996</v>
      </c>
      <c r="R374" s="736">
        <f>$A374*Q374</f>
        <v>2.3199999999999998</v>
      </c>
      <c r="S374" s="735"/>
      <c r="T374" s="737">
        <f>$A374*S374*$T$1</f>
        <v>0</v>
      </c>
    </row>
    <row r="375" spans="1:41" s="730" customFormat="1" ht="13.2">
      <c r="A375" s="167">
        <v>1</v>
      </c>
      <c r="B375" s="730" t="s">
        <v>141</v>
      </c>
      <c r="D375" s="730" t="s">
        <v>731</v>
      </c>
      <c r="G375" s="731" t="s">
        <v>732</v>
      </c>
      <c r="H375" s="732">
        <v>875</v>
      </c>
      <c r="I375" s="730" t="s">
        <v>674</v>
      </c>
      <c r="K375" s="730" t="s">
        <v>733</v>
      </c>
      <c r="O375" s="733">
        <v>3</v>
      </c>
      <c r="P375" s="734">
        <v>34820</v>
      </c>
      <c r="Q375" s="823">
        <v>3.49</v>
      </c>
      <c r="R375" s="736">
        <f>$A375*Q375</f>
        <v>3.49</v>
      </c>
      <c r="S375" s="735">
        <v>0.05</v>
      </c>
      <c r="T375" s="737">
        <f>$A375*S375*$T$1</f>
        <v>0.05</v>
      </c>
    </row>
    <row r="376" spans="1:41" s="602" customFormat="1" ht="12">
      <c r="A376" s="663"/>
      <c r="B376" s="663"/>
      <c r="C376" s="663"/>
      <c r="D376" s="663"/>
      <c r="E376" s="663"/>
      <c r="F376" s="664"/>
      <c r="G376" s="663"/>
      <c r="H376" s="663"/>
      <c r="I376" s="601"/>
      <c r="J376" s="663"/>
      <c r="K376" s="663"/>
      <c r="L376" s="663"/>
      <c r="M376" s="663"/>
      <c r="N376" s="663"/>
      <c r="O376" s="663"/>
      <c r="P376" s="663"/>
      <c r="Q376" s="601"/>
      <c r="R376" s="666">
        <f>$A376*Q376</f>
        <v>0</v>
      </c>
      <c r="S376" s="601"/>
      <c r="T376" s="681">
        <f>$A376*S376*$T$1</f>
        <v>0</v>
      </c>
    </row>
    <row r="377" spans="1:41" s="602" customFormat="1" ht="12.6" thickBot="1">
      <c r="A377" s="682" t="s">
        <v>145</v>
      </c>
      <c r="B377" s="683">
        <f>(R376+T376)</f>
        <v>0</v>
      </c>
      <c r="C377" s="684"/>
      <c r="D377" s="684"/>
      <c r="E377" s="684"/>
      <c r="F377" s="685"/>
      <c r="G377" s="684" t="s">
        <v>146</v>
      </c>
      <c r="H377" s="684"/>
      <c r="I377" s="686"/>
      <c r="J377" s="684"/>
      <c r="K377" s="684" t="s">
        <v>3</v>
      </c>
      <c r="L377" s="687" t="s">
        <v>143</v>
      </c>
      <c r="M377" s="687"/>
      <c r="N377" s="687"/>
      <c r="O377" s="687"/>
      <c r="P377" s="687"/>
      <c r="Q377" s="688"/>
      <c r="R377" s="689">
        <f>SUM(R371:R376)</f>
        <v>10.47</v>
      </c>
      <c r="S377" s="684"/>
      <c r="T377" s="689">
        <f>SUM(T371:T376)</f>
        <v>8.1300000000000008</v>
      </c>
      <c r="U377" s="611"/>
      <c r="V377" s="611"/>
      <c r="W377" s="611"/>
      <c r="X377" s="611"/>
      <c r="Y377" s="611"/>
      <c r="Z377" s="611"/>
      <c r="AA377" s="611"/>
      <c r="AB377" s="611"/>
      <c r="AC377" s="611"/>
      <c r="AD377" s="611"/>
      <c r="AE377" s="611"/>
      <c r="AF377" s="611"/>
      <c r="AG377" s="611"/>
      <c r="AH377" s="611"/>
      <c r="AI377" s="611"/>
      <c r="AJ377" s="611"/>
      <c r="AK377" s="611"/>
      <c r="AL377" s="611"/>
      <c r="AM377" s="611"/>
      <c r="AN377" s="611"/>
      <c r="AO377" s="611"/>
    </row>
    <row r="378" spans="1:41" s="602" customFormat="1" ht="12" thickTop="1">
      <c r="A378" s="63"/>
      <c r="B378" s="41"/>
      <c r="C378" s="63"/>
      <c r="E378" s="42" t="s">
        <v>138</v>
      </c>
      <c r="F378" s="42" t="s">
        <v>139</v>
      </c>
      <c r="G378" s="63"/>
      <c r="H378" s="63"/>
      <c r="I378" s="63"/>
      <c r="J378" s="63"/>
      <c r="K378" s="63" t="s">
        <v>140</v>
      </c>
      <c r="L378" s="63"/>
      <c r="M378" s="63"/>
      <c r="N378" s="63"/>
      <c r="O378" s="64"/>
      <c r="P378" s="63"/>
      <c r="Q378" s="63"/>
      <c r="R378" s="63"/>
      <c r="S378" s="63"/>
      <c r="T378" s="41"/>
      <c r="AG378" s="667" t="s">
        <v>278</v>
      </c>
      <c r="AH378" s="667" t="s">
        <v>279</v>
      </c>
      <c r="AI378" s="667" t="s">
        <v>280</v>
      </c>
      <c r="AJ378" s="667" t="s">
        <v>281</v>
      </c>
      <c r="AK378" s="667" t="s">
        <v>282</v>
      </c>
      <c r="AM378" s="668" t="s">
        <v>291</v>
      </c>
      <c r="AN378" s="669" t="s">
        <v>292</v>
      </c>
      <c r="AO378" s="603" t="s">
        <v>288</v>
      </c>
    </row>
    <row r="379" spans="1:41" s="602" customFormat="1" ht="12" customHeight="1">
      <c r="A379" s="670">
        <v>1</v>
      </c>
      <c r="B379" s="671" t="s">
        <v>312</v>
      </c>
      <c r="C379" s="672"/>
      <c r="D379" s="673" t="s">
        <v>473</v>
      </c>
      <c r="E379" s="674">
        <f>IF(AND($A379=0,$A$1="DIF"),0, ROUND(ROUND(($R383*$S$2+($T383*$T$2))/A379,2)*$C$2,2))</f>
        <v>144.38999999999999</v>
      </c>
      <c r="F379" s="675">
        <f>ROUND($A379*$E379,2)</f>
        <v>144.38999999999999</v>
      </c>
      <c r="G379" s="676" t="s">
        <v>142</v>
      </c>
      <c r="H379" s="664"/>
      <c r="I379" s="677"/>
      <c r="J379" s="664"/>
      <c r="K379" s="664" t="s">
        <v>3</v>
      </c>
      <c r="L379" s="678" t="s">
        <v>143</v>
      </c>
      <c r="M379" s="678"/>
      <c r="N379" s="678"/>
      <c r="O379" s="678"/>
      <c r="P379" s="678"/>
      <c r="Q379" s="63"/>
      <c r="T379" s="679" t="str">
        <f>IF(AND($R383=0,$T383=0),"0.00","mu :" &amp; ROUND($F379/$C$2/($R383+$T383*$D$9),2))</f>
        <v>mu :1.35</v>
      </c>
      <c r="W379" s="604"/>
      <c r="AG379" s="549">
        <f>IF($E379=0,0,ROUND($R383*$S$2*$C$2/$A379,2))</f>
        <v>0</v>
      </c>
      <c r="AH379" s="549">
        <f>$AG379*$A379</f>
        <v>0</v>
      </c>
      <c r="AI379" s="605">
        <f>$E379-$AG379</f>
        <v>144.38999999999999</v>
      </c>
      <c r="AJ379" s="605">
        <f>$A379*$AI379</f>
        <v>144.38999999999999</v>
      </c>
      <c r="AK379" s="606">
        <f>ROUND(($AG379+$AI379)*$A379,2)</f>
        <v>144.38999999999999</v>
      </c>
      <c r="AM379" s="607">
        <f>ROUND(R383,2)</f>
        <v>0</v>
      </c>
      <c r="AN379" s="608">
        <f>ROUND(T383,2)</f>
        <v>4</v>
      </c>
      <c r="AO379" s="609">
        <f>ROUND(AM379+AN379,2)*A379</f>
        <v>4</v>
      </c>
    </row>
    <row r="380" spans="1:41" s="602" customFormat="1" ht="39.9" customHeight="1">
      <c r="A380" s="672"/>
      <c r="B380"/>
      <c r="C380" s="672"/>
      <c r="D380" s="1368" t="s">
        <v>474</v>
      </c>
      <c r="E380" s="1369"/>
      <c r="F380" s="1369"/>
      <c r="G380" s="1369"/>
      <c r="H380" s="1369"/>
      <c r="I380" s="1369"/>
      <c r="J380" s="1369"/>
      <c r="K380" s="1369"/>
      <c r="L380" s="1369"/>
      <c r="M380" s="1369"/>
      <c r="N380" s="1369"/>
      <c r="O380" s="1369"/>
      <c r="P380" s="1369"/>
      <c r="Q380" s="1369"/>
      <c r="R380" s="1369"/>
      <c r="S380" s="1369"/>
      <c r="T380" s="1369"/>
    </row>
    <row r="381" spans="1:41" s="730" customFormat="1" ht="13.2">
      <c r="A381" s="167">
        <v>1</v>
      </c>
      <c r="B381" s="730" t="s">
        <v>312</v>
      </c>
      <c r="D381" s="730" t="s">
        <v>735</v>
      </c>
      <c r="G381" s="731" t="s">
        <v>736</v>
      </c>
      <c r="H381" s="732">
        <v>901</v>
      </c>
      <c r="I381" s="730" t="s">
        <v>686</v>
      </c>
      <c r="O381" s="733">
        <v>1</v>
      </c>
      <c r="P381" s="734">
        <v>40613</v>
      </c>
      <c r="Q381" s="735"/>
      <c r="R381" s="736">
        <f>$A381*Q381</f>
        <v>0</v>
      </c>
      <c r="S381" s="735">
        <v>4</v>
      </c>
      <c r="T381" s="737">
        <f>$A381*S381*$T$1</f>
        <v>4</v>
      </c>
    </row>
    <row r="382" spans="1:41" s="602" customFormat="1" ht="12">
      <c r="A382" s="663"/>
      <c r="B382" s="663"/>
      <c r="C382" s="663"/>
      <c r="D382" s="663"/>
      <c r="E382" s="663"/>
      <c r="F382" s="664"/>
      <c r="G382" s="663"/>
      <c r="H382" s="663"/>
      <c r="I382" s="601"/>
      <c r="J382" s="663"/>
      <c r="K382" s="663"/>
      <c r="L382" s="663"/>
      <c r="M382" s="663"/>
      <c r="N382" s="663"/>
      <c r="O382" s="663"/>
      <c r="P382" s="663"/>
      <c r="Q382" s="601"/>
      <c r="R382" s="666">
        <f>$A382*Q382</f>
        <v>0</v>
      </c>
      <c r="S382" s="601"/>
      <c r="T382" s="681">
        <f>$A382*S382*$T$1</f>
        <v>0</v>
      </c>
    </row>
    <row r="383" spans="1:41" s="602" customFormat="1" ht="12.6" thickBot="1">
      <c r="A383" s="682" t="s">
        <v>145</v>
      </c>
      <c r="B383" s="683">
        <f>(R382+T382)</f>
        <v>0</v>
      </c>
      <c r="C383" s="684"/>
      <c r="D383" s="684"/>
      <c r="E383" s="684"/>
      <c r="F383" s="685"/>
      <c r="G383" s="684" t="s">
        <v>146</v>
      </c>
      <c r="H383" s="684"/>
      <c r="I383" s="686"/>
      <c r="J383" s="684"/>
      <c r="K383" s="684" t="s">
        <v>3</v>
      </c>
      <c r="L383" s="687" t="s">
        <v>143</v>
      </c>
      <c r="M383" s="687"/>
      <c r="N383" s="687"/>
      <c r="O383" s="687"/>
      <c r="P383" s="687"/>
      <c r="Q383" s="688"/>
      <c r="R383" s="689">
        <f>SUM(R380:R382)</f>
        <v>0</v>
      </c>
      <c r="S383" s="684"/>
      <c r="T383" s="689">
        <f>SUM(T380:T382)</f>
        <v>4</v>
      </c>
      <c r="U383" s="611"/>
      <c r="V383" s="611"/>
      <c r="W383" s="611"/>
      <c r="X383" s="611"/>
      <c r="Y383" s="611"/>
      <c r="Z383" s="611"/>
      <c r="AA383" s="611"/>
      <c r="AB383" s="611"/>
      <c r="AC383" s="611"/>
      <c r="AD383" s="611"/>
      <c r="AE383" s="611"/>
      <c r="AF383" s="611"/>
      <c r="AG383" s="611"/>
      <c r="AH383" s="611"/>
      <c r="AI383" s="611"/>
      <c r="AJ383" s="611"/>
      <c r="AK383" s="611"/>
      <c r="AL383" s="611"/>
      <c r="AM383" s="611"/>
      <c r="AN383" s="611"/>
      <c r="AO383" s="611"/>
    </row>
    <row r="384" spans="1:41" s="602" customFormat="1" ht="12" thickTop="1">
      <c r="A384" s="63"/>
      <c r="B384" s="41"/>
      <c r="C384" s="63"/>
      <c r="E384" s="42" t="s">
        <v>138</v>
      </c>
      <c r="F384" s="42" t="s">
        <v>139</v>
      </c>
      <c r="G384" s="63"/>
      <c r="H384" s="63"/>
      <c r="I384" s="63"/>
      <c r="J384" s="63"/>
      <c r="K384" s="63" t="s">
        <v>140</v>
      </c>
      <c r="L384" s="63"/>
      <c r="M384" s="63"/>
      <c r="N384" s="63"/>
      <c r="O384" s="64"/>
      <c r="P384" s="63"/>
      <c r="Q384" s="63"/>
      <c r="R384" s="63"/>
      <c r="S384" s="63"/>
      <c r="T384" s="41"/>
      <c r="AG384" s="667" t="s">
        <v>278</v>
      </c>
      <c r="AH384" s="667" t="s">
        <v>279</v>
      </c>
      <c r="AI384" s="667" t="s">
        <v>280</v>
      </c>
      <c r="AJ384" s="667" t="s">
        <v>281</v>
      </c>
      <c r="AK384" s="667" t="s">
        <v>282</v>
      </c>
      <c r="AM384" s="668" t="s">
        <v>291</v>
      </c>
      <c r="AN384" s="669" t="s">
        <v>292</v>
      </c>
      <c r="AO384" s="603" t="s">
        <v>288</v>
      </c>
    </row>
    <row r="385" spans="1:41" s="602" customFormat="1" ht="12" customHeight="1">
      <c r="A385" s="670">
        <v>1</v>
      </c>
      <c r="B385" s="671" t="s">
        <v>312</v>
      </c>
      <c r="C385" s="672"/>
      <c r="D385" s="673" t="s">
        <v>475</v>
      </c>
      <c r="E385" s="674">
        <f>IF(AND($A385=0,$A$1="DIF"),0, ROUND(ROUND(($R396*$S$2+($T396*$T$2))/A385,2)*$C$2,2))</f>
        <v>174.03</v>
      </c>
      <c r="F385" s="675">
        <f>ROUND($A385*$E385,2)</f>
        <v>174.03</v>
      </c>
      <c r="G385" s="676" t="s">
        <v>142</v>
      </c>
      <c r="H385" s="664"/>
      <c r="I385" s="677"/>
      <c r="J385" s="664"/>
      <c r="K385" s="664" t="s">
        <v>3</v>
      </c>
      <c r="L385" s="678" t="s">
        <v>143</v>
      </c>
      <c r="M385" s="678"/>
      <c r="N385" s="678"/>
      <c r="O385" s="678"/>
      <c r="P385" s="678"/>
      <c r="Q385" s="63"/>
      <c r="T385" s="679" t="str">
        <f>IF(AND($R396=0,$T396=0),"0.00","mu :" &amp; ROUND($F385/$C$2/($R396+$T396*$D$9),2))</f>
        <v>mu :1.35</v>
      </c>
      <c r="W385" s="604"/>
      <c r="AG385" s="549">
        <f>IF($E385=0,0,ROUND($R396*$S$2*$C$2/$A385,2))</f>
        <v>22.05</v>
      </c>
      <c r="AH385" s="549">
        <f>$AG385*$A385</f>
        <v>22.05</v>
      </c>
      <c r="AI385" s="605">
        <f>$E385-$AG385</f>
        <v>151.97999999999999</v>
      </c>
      <c r="AJ385" s="605">
        <f>$A385*$AI385</f>
        <v>151.97999999999999</v>
      </c>
      <c r="AK385" s="606">
        <f>ROUND(($AG385+$AI385)*$A385,2)</f>
        <v>174.03</v>
      </c>
      <c r="AM385" s="607">
        <f>ROUND(R396,2)</f>
        <v>16.77</v>
      </c>
      <c r="AN385" s="608">
        <f>ROUND(T396,2)</f>
        <v>4.21</v>
      </c>
      <c r="AO385" s="609">
        <f>ROUND(AM385+AN385,2)*A385</f>
        <v>20.98</v>
      </c>
    </row>
    <row r="386" spans="1:41" s="602" customFormat="1" ht="58.2" customHeight="1">
      <c r="A386" s="672"/>
      <c r="B386"/>
      <c r="C386" s="672"/>
      <c r="D386" s="1368" t="s">
        <v>344</v>
      </c>
      <c r="E386" s="1369"/>
      <c r="F386" s="1369"/>
      <c r="G386" s="1369"/>
      <c r="H386" s="1369"/>
      <c r="I386" s="1369"/>
      <c r="J386" s="1369"/>
      <c r="K386" s="1369"/>
      <c r="L386" s="1369"/>
      <c r="M386" s="1369"/>
      <c r="N386" s="1369"/>
      <c r="O386" s="1369"/>
      <c r="P386" s="1369"/>
      <c r="Q386" s="1369"/>
      <c r="R386" s="1369"/>
      <c r="S386" s="1369"/>
      <c r="T386" s="1369"/>
    </row>
    <row r="387" spans="1:41" s="730" customFormat="1" ht="13.2">
      <c r="A387">
        <v>1</v>
      </c>
      <c r="B387" s="730" t="s">
        <v>141</v>
      </c>
      <c r="D387" s="730" t="s">
        <v>738</v>
      </c>
      <c r="G387" s="731" t="s">
        <v>737</v>
      </c>
      <c r="H387" s="732">
        <v>570</v>
      </c>
      <c r="I387" s="730" t="s">
        <v>674</v>
      </c>
      <c r="O387" s="733">
        <v>2</v>
      </c>
      <c r="P387" s="734">
        <v>38443</v>
      </c>
      <c r="Q387" s="735"/>
      <c r="R387" s="736">
        <f t="shared" ref="R387:R395" si="5">$A387*Q387</f>
        <v>0</v>
      </c>
      <c r="S387" s="735">
        <v>1</v>
      </c>
      <c r="T387" s="737">
        <f t="shared" ref="T387:T395" si="6">$A387*S387*$T$1</f>
        <v>1</v>
      </c>
    </row>
    <row r="388" spans="1:41" s="730" customFormat="1" ht="13.2">
      <c r="A388">
        <v>4</v>
      </c>
      <c r="B388" s="730" t="s">
        <v>141</v>
      </c>
      <c r="D388" s="730" t="s">
        <v>718</v>
      </c>
      <c r="G388" s="731" t="s">
        <v>719</v>
      </c>
      <c r="H388" s="732">
        <v>875</v>
      </c>
      <c r="I388" s="730" t="s">
        <v>674</v>
      </c>
      <c r="K388" s="730" t="s">
        <v>720</v>
      </c>
      <c r="O388" s="733">
        <v>1</v>
      </c>
      <c r="P388" s="734">
        <v>34669</v>
      </c>
      <c r="Q388" s="735">
        <v>0.02</v>
      </c>
      <c r="R388" s="736">
        <f t="shared" si="5"/>
        <v>0.08</v>
      </c>
      <c r="S388" s="735"/>
      <c r="T388" s="737">
        <f t="shared" si="6"/>
        <v>0</v>
      </c>
    </row>
    <row r="389" spans="1:41" s="730" customFormat="1" ht="13.2">
      <c r="A389">
        <v>4</v>
      </c>
      <c r="B389" s="730" t="s">
        <v>141</v>
      </c>
      <c r="D389" s="730" t="s">
        <v>721</v>
      </c>
      <c r="G389" s="731" t="s">
        <v>722</v>
      </c>
      <c r="H389" s="732">
        <v>875</v>
      </c>
      <c r="I389" s="730" t="s">
        <v>674</v>
      </c>
      <c r="K389" s="730" t="s">
        <v>723</v>
      </c>
      <c r="O389" s="733">
        <v>1</v>
      </c>
      <c r="P389" s="734">
        <v>34669</v>
      </c>
      <c r="Q389" s="735">
        <v>0.02</v>
      </c>
      <c r="R389" s="736">
        <f t="shared" si="5"/>
        <v>0.08</v>
      </c>
      <c r="S389" s="735"/>
      <c r="T389" s="737">
        <f t="shared" si="6"/>
        <v>0</v>
      </c>
    </row>
    <row r="390" spans="1:41" s="730" customFormat="1" ht="13.2">
      <c r="A390">
        <v>1</v>
      </c>
      <c r="B390" s="730" t="s">
        <v>141</v>
      </c>
      <c r="D390" s="730" t="s">
        <v>731</v>
      </c>
      <c r="G390" s="731" t="s">
        <v>732</v>
      </c>
      <c r="H390" s="732">
        <v>875</v>
      </c>
      <c r="I390" s="730" t="s">
        <v>674</v>
      </c>
      <c r="K390" s="730" t="s">
        <v>733</v>
      </c>
      <c r="O390" s="733">
        <v>3</v>
      </c>
      <c r="P390" s="734">
        <v>34820</v>
      </c>
      <c r="Q390" s="735">
        <v>3.49</v>
      </c>
      <c r="R390" s="736">
        <f t="shared" si="5"/>
        <v>3.49</v>
      </c>
      <c r="S390" s="735">
        <v>0.05</v>
      </c>
      <c r="T390" s="737">
        <f t="shared" si="6"/>
        <v>0.05</v>
      </c>
    </row>
    <row r="391" spans="1:41" s="730" customFormat="1" ht="13.2">
      <c r="A391">
        <v>2</v>
      </c>
      <c r="B391" s="730" t="s">
        <v>141</v>
      </c>
      <c r="D391" s="730" t="s">
        <v>739</v>
      </c>
      <c r="G391" s="731" t="s">
        <v>740</v>
      </c>
      <c r="H391" s="732">
        <v>620</v>
      </c>
      <c r="I391" s="730" t="s">
        <v>741</v>
      </c>
      <c r="O391" s="733">
        <v>2</v>
      </c>
      <c r="P391" s="734">
        <v>35431</v>
      </c>
      <c r="Q391" s="735">
        <v>4.71</v>
      </c>
      <c r="R391" s="736">
        <f t="shared" si="5"/>
        <v>9.42</v>
      </c>
      <c r="S391" s="735">
        <v>0.35000000000000003</v>
      </c>
      <c r="T391" s="737">
        <f t="shared" si="6"/>
        <v>0.70000000000000007</v>
      </c>
    </row>
    <row r="392" spans="1:41" s="730" customFormat="1" ht="13.2">
      <c r="A392">
        <v>2</v>
      </c>
      <c r="B392" s="730" t="s">
        <v>326</v>
      </c>
      <c r="D392" s="730" t="s">
        <v>703</v>
      </c>
      <c r="G392" s="731" t="s">
        <v>704</v>
      </c>
      <c r="H392" s="732">
        <v>620</v>
      </c>
      <c r="I392" s="730" t="s">
        <v>674</v>
      </c>
      <c r="O392" s="733">
        <v>2</v>
      </c>
      <c r="P392" s="734">
        <v>38148</v>
      </c>
      <c r="Q392" s="735">
        <v>1.5</v>
      </c>
      <c r="R392" s="736">
        <f t="shared" si="5"/>
        <v>3</v>
      </c>
      <c r="S392" s="735">
        <v>0.08</v>
      </c>
      <c r="T392" s="737">
        <f t="shared" si="6"/>
        <v>0.16</v>
      </c>
    </row>
    <row r="393" spans="1:41" s="730" customFormat="1" ht="13.2">
      <c r="A393">
        <v>10</v>
      </c>
      <c r="B393" s="730" t="s">
        <v>141</v>
      </c>
      <c r="D393" s="730" t="s">
        <v>742</v>
      </c>
      <c r="G393" s="731" t="s">
        <v>743</v>
      </c>
      <c r="H393" s="732">
        <v>620</v>
      </c>
      <c r="I393" s="730" t="s">
        <v>702</v>
      </c>
      <c r="O393" s="733">
        <v>2</v>
      </c>
      <c r="P393" s="734">
        <v>34669</v>
      </c>
      <c r="Q393" s="735">
        <v>7.0000000000000007E-2</v>
      </c>
      <c r="R393" s="736">
        <f t="shared" si="5"/>
        <v>0.70000000000000007</v>
      </c>
      <c r="S393" s="735">
        <v>0.03</v>
      </c>
      <c r="T393" s="737">
        <f t="shared" si="6"/>
        <v>0.3</v>
      </c>
    </row>
    <row r="394" spans="1:41" s="730" customFormat="1" ht="13.2">
      <c r="A394" s="167">
        <v>1</v>
      </c>
      <c r="B394" s="730" t="s">
        <v>141</v>
      </c>
      <c r="D394" s="730" t="s">
        <v>744</v>
      </c>
      <c r="G394" s="731" t="s">
        <v>745</v>
      </c>
      <c r="H394" s="732">
        <v>900</v>
      </c>
      <c r="I394" s="730" t="s">
        <v>686</v>
      </c>
      <c r="O394" s="733">
        <v>2</v>
      </c>
      <c r="P394" s="734"/>
      <c r="Q394" s="735"/>
      <c r="R394" s="736">
        <f t="shared" si="5"/>
        <v>0</v>
      </c>
      <c r="S394" s="735">
        <v>2</v>
      </c>
      <c r="T394" s="737">
        <f t="shared" si="6"/>
        <v>2</v>
      </c>
    </row>
    <row r="395" spans="1:41" s="602" customFormat="1" ht="12">
      <c r="A395" s="663"/>
      <c r="B395" s="663"/>
      <c r="C395" s="663"/>
      <c r="D395" s="663"/>
      <c r="E395" s="663"/>
      <c r="F395" s="664"/>
      <c r="G395" s="663"/>
      <c r="H395" s="663"/>
      <c r="I395" s="601"/>
      <c r="J395" s="663"/>
      <c r="K395" s="663"/>
      <c r="L395" s="663"/>
      <c r="M395" s="663"/>
      <c r="N395" s="663"/>
      <c r="O395" s="663"/>
      <c r="P395" s="663"/>
      <c r="Q395" s="601"/>
      <c r="R395" s="666">
        <f t="shared" si="5"/>
        <v>0</v>
      </c>
      <c r="S395" s="601"/>
      <c r="T395" s="681">
        <f t="shared" si="6"/>
        <v>0</v>
      </c>
    </row>
    <row r="396" spans="1:41" s="602" customFormat="1" ht="12.6" thickBot="1">
      <c r="A396" s="682" t="s">
        <v>145</v>
      </c>
      <c r="B396" s="683">
        <f>(R395+T395)</f>
        <v>0</v>
      </c>
      <c r="C396" s="684"/>
      <c r="D396" s="684"/>
      <c r="E396" s="684"/>
      <c r="F396" s="685"/>
      <c r="G396" s="684" t="s">
        <v>146</v>
      </c>
      <c r="H396" s="684"/>
      <c r="I396" s="686"/>
      <c r="J396" s="684"/>
      <c r="K396" s="684" t="s">
        <v>3</v>
      </c>
      <c r="L396" s="687" t="s">
        <v>143</v>
      </c>
      <c r="M396" s="687"/>
      <c r="N396" s="687"/>
      <c r="O396" s="687"/>
      <c r="P396" s="687"/>
      <c r="Q396" s="688"/>
      <c r="R396" s="689">
        <f>SUM(R386:R395)</f>
        <v>16.77</v>
      </c>
      <c r="S396" s="684"/>
      <c r="T396" s="689">
        <f>SUM(T386:T395)</f>
        <v>4.21</v>
      </c>
      <c r="U396" s="611"/>
      <c r="V396" s="611"/>
      <c r="W396" s="611"/>
      <c r="X396" s="611"/>
      <c r="Y396" s="611"/>
      <c r="Z396" s="611"/>
      <c r="AA396" s="611"/>
      <c r="AB396" s="611"/>
      <c r="AC396" s="611"/>
      <c r="AD396" s="611"/>
      <c r="AE396" s="611"/>
      <c r="AF396" s="611"/>
      <c r="AG396" s="611"/>
      <c r="AH396" s="611"/>
      <c r="AI396" s="611"/>
      <c r="AJ396" s="611"/>
      <c r="AK396" s="611"/>
      <c r="AL396" s="611"/>
      <c r="AM396" s="611"/>
      <c r="AN396" s="611"/>
      <c r="AO396" s="611"/>
    </row>
    <row r="397" spans="1:41" s="602" customFormat="1" ht="12" thickTop="1">
      <c r="A397" s="51" t="s">
        <v>154</v>
      </c>
      <c r="D397" s="13"/>
      <c r="E397" s="42"/>
      <c r="O397" s="698"/>
    </row>
    <row r="398" spans="1:41" s="602" customFormat="1" ht="13.2">
      <c r="B398" s="3"/>
      <c r="O398" s="698"/>
    </row>
    <row r="399" spans="1:41" s="602" customFormat="1" ht="12">
      <c r="B399" s="699">
        <f ca="1">$F399/$C$2-($R399*$S$2+$T399*$T$2)</f>
        <v>9.2136464963914477E-3</v>
      </c>
      <c r="D399" s="700" t="s">
        <v>414</v>
      </c>
      <c r="E399" s="701"/>
      <c r="F399" s="702">
        <f ca="1">SUMIF($L324:$L397,"ITEM",F324:F397)</f>
        <v>765.3</v>
      </c>
      <c r="G399" s="663"/>
      <c r="H399" s="663"/>
      <c r="I399" s="601"/>
      <c r="J399" s="663"/>
      <c r="K399" s="663"/>
      <c r="L399" s="678" t="s">
        <v>166</v>
      </c>
      <c r="M399" s="678"/>
      <c r="N399" s="678"/>
      <c r="O399" s="678"/>
      <c r="P399" s="678"/>
      <c r="R399" s="702">
        <f ca="1">SUMIF($L324:$L397,"ITEM",R324:R397)</f>
        <v>66.44</v>
      </c>
      <c r="S399" s="71"/>
      <c r="T399" s="702">
        <f ca="1">SUMIF($L324:$L397,"ITEM",T324:T397)</f>
        <v>18.78</v>
      </c>
    </row>
    <row r="400" spans="1:41" s="602" customFormat="1" ht="13.2">
      <c r="A400" s="63"/>
      <c r="B400" s="55" t="s">
        <v>413</v>
      </c>
      <c r="C400" s="63"/>
      <c r="D400" s="3"/>
      <c r="F400" s="703" t="s">
        <v>168</v>
      </c>
      <c r="G400" s="663"/>
      <c r="H400" s="663"/>
      <c r="I400" s="601"/>
      <c r="J400" s="663"/>
      <c r="K400" s="663"/>
      <c r="L400" s="663"/>
      <c r="M400" s="663"/>
      <c r="N400" s="663"/>
      <c r="O400" s="663"/>
      <c r="P400" s="663"/>
      <c r="Q400" s="665"/>
      <c r="R400" s="703" t="s">
        <v>169</v>
      </c>
      <c r="S400" s="38"/>
      <c r="T400" s="703" t="s">
        <v>170</v>
      </c>
    </row>
    <row r="401" spans="1:41" s="602" customFormat="1" ht="13.2">
      <c r="A401" s="663"/>
      <c r="B401" s="3"/>
      <c r="C401" s="663"/>
      <c r="D401" s="3"/>
      <c r="E401" s="3"/>
      <c r="G401" s="3"/>
      <c r="H401" s="3"/>
      <c r="I401" s="3"/>
      <c r="J401" s="3"/>
      <c r="K401" s="3"/>
      <c r="L401" s="3"/>
      <c r="M401" s="3"/>
      <c r="N401" s="3"/>
      <c r="O401" s="158"/>
      <c r="P401" s="3"/>
      <c r="Q401" s="3"/>
      <c r="R401" s="3"/>
      <c r="S401" s="3"/>
      <c r="T401" s="3"/>
    </row>
    <row r="402" spans="1:41" s="602" customFormat="1" ht="12" thickBot="1">
      <c r="A402" s="611"/>
      <c r="B402" s="684"/>
      <c r="C402" s="684"/>
      <c r="D402" s="611"/>
      <c r="E402" s="39"/>
      <c r="F402" s="704"/>
      <c r="G402" s="684"/>
      <c r="H402" s="684"/>
      <c r="I402" s="686"/>
      <c r="J402" s="684"/>
      <c r="K402" s="684"/>
      <c r="L402" s="687"/>
      <c r="M402" s="687"/>
      <c r="N402" s="687"/>
      <c r="O402" s="687"/>
      <c r="P402" s="687"/>
      <c r="Q402" s="688"/>
      <c r="R402" s="704"/>
      <c r="S402" s="705"/>
      <c r="T402" s="704"/>
      <c r="U402" s="611"/>
      <c r="V402" s="611"/>
      <c r="W402" s="611"/>
      <c r="X402" s="611"/>
      <c r="Y402" s="611"/>
      <c r="Z402" s="611"/>
      <c r="AA402" s="611"/>
      <c r="AB402" s="611"/>
      <c r="AC402" s="611"/>
      <c r="AD402" s="611"/>
      <c r="AE402" s="611"/>
      <c r="AF402" s="611"/>
      <c r="AG402" s="611"/>
      <c r="AH402" s="611"/>
      <c r="AI402" s="611"/>
      <c r="AJ402" s="611"/>
      <c r="AK402" s="611"/>
    </row>
    <row r="403" spans="1:41" s="602" customFormat="1" thickTop="1">
      <c r="A403" s="63"/>
      <c r="B403" s="63"/>
      <c r="C403" s="3"/>
      <c r="D403" s="3"/>
      <c r="E403" s="63"/>
      <c r="F403" s="63"/>
      <c r="G403" s="63"/>
      <c r="H403" s="63"/>
      <c r="I403" s="63"/>
      <c r="J403" s="63"/>
      <c r="K403" s="63" t="s">
        <v>134</v>
      </c>
      <c r="L403" s="63"/>
      <c r="M403" s="63"/>
      <c r="N403" s="63"/>
      <c r="O403" s="64"/>
      <c r="P403" s="63"/>
      <c r="Q403" s="63"/>
      <c r="R403" s="63"/>
      <c r="S403" s="63"/>
      <c r="T403" s="63"/>
    </row>
    <row r="404" spans="1:41" s="602" customFormat="1" ht="12">
      <c r="A404" s="63"/>
      <c r="B404" s="63"/>
      <c r="C404" s="63" t="s">
        <v>135</v>
      </c>
      <c r="D404" s="37"/>
      <c r="E404" s="63"/>
      <c r="F404" s="63"/>
      <c r="G404" s="63"/>
      <c r="H404" s="63"/>
      <c r="I404" s="63"/>
      <c r="J404" s="63"/>
      <c r="K404" s="63"/>
      <c r="L404" s="63"/>
      <c r="M404" s="63"/>
      <c r="N404" s="63"/>
      <c r="O404" s="64"/>
      <c r="P404" s="63"/>
      <c r="Q404" s="63"/>
      <c r="R404" s="63"/>
      <c r="S404" s="63"/>
      <c r="T404" s="63"/>
    </row>
    <row r="405" spans="1:41" s="602" customFormat="1" ht="12">
      <c r="A405" s="63"/>
      <c r="B405" s="63"/>
      <c r="C405" s="63"/>
      <c r="D405" s="37" t="s">
        <v>324</v>
      </c>
      <c r="E405" s="63"/>
      <c r="F405" s="63"/>
      <c r="G405" s="63"/>
      <c r="H405" s="63"/>
      <c r="I405" s="63"/>
      <c r="J405" s="63"/>
      <c r="K405" s="63"/>
      <c r="L405" s="63"/>
      <c r="M405" s="63"/>
      <c r="N405" s="63"/>
      <c r="O405" s="64"/>
      <c r="P405" s="63"/>
      <c r="Q405" s="63"/>
      <c r="R405" s="63"/>
      <c r="S405" s="38"/>
      <c r="T405" s="38"/>
    </row>
    <row r="406" spans="1:41" s="3" customFormat="1" thickBot="1">
      <c r="A406" s="611"/>
      <c r="O406" s="158"/>
    </row>
    <row r="407" spans="1:41" s="602" customFormat="1" thickTop="1">
      <c r="A407" s="63"/>
      <c r="B407" s="63"/>
      <c r="C407" s="3"/>
      <c r="D407" s="3"/>
      <c r="E407" s="63"/>
      <c r="F407" s="63"/>
      <c r="G407" s="63"/>
      <c r="H407" s="63"/>
      <c r="I407" s="63"/>
      <c r="J407" s="63"/>
      <c r="K407" s="63" t="s">
        <v>134</v>
      </c>
      <c r="L407" s="63"/>
      <c r="M407" s="63"/>
      <c r="N407" s="63"/>
      <c r="O407" s="64"/>
      <c r="P407" s="63"/>
      <c r="Q407" s="63"/>
      <c r="R407" s="63"/>
      <c r="S407" s="63"/>
      <c r="T407" s="63"/>
    </row>
    <row r="408" spans="1:41" s="602" customFormat="1" ht="12">
      <c r="A408" s="63"/>
      <c r="B408" s="63"/>
      <c r="C408" s="63" t="s">
        <v>135</v>
      </c>
      <c r="D408" s="37" t="s">
        <v>476</v>
      </c>
      <c r="E408" s="63"/>
      <c r="F408" s="63"/>
      <c r="G408" s="63"/>
      <c r="H408" s="63"/>
      <c r="I408" s="63"/>
      <c r="J408" s="63"/>
      <c r="K408" s="63"/>
      <c r="L408" s="63"/>
      <c r="M408" s="63"/>
      <c r="N408" s="63"/>
      <c r="O408" s="64"/>
      <c r="P408" s="63"/>
      <c r="Q408" s="63"/>
      <c r="R408" s="63"/>
      <c r="S408" s="63"/>
      <c r="T408" s="63"/>
    </row>
    <row r="409" spans="1:41" s="602" customFormat="1" ht="39.9" customHeight="1">
      <c r="A409" s="63"/>
      <c r="B409" s="63"/>
      <c r="C409" s="63"/>
      <c r="D409" s="1371" t="s">
        <v>396</v>
      </c>
      <c r="E409" s="1369"/>
      <c r="F409" s="1369"/>
      <c r="G409" s="1369"/>
      <c r="H409" s="1369"/>
      <c r="I409" s="1369"/>
      <c r="J409" s="1369"/>
      <c r="K409" s="1369"/>
      <c r="L409" s="1369"/>
      <c r="M409" s="1369"/>
      <c r="N409" s="1369"/>
      <c r="O409" s="1369"/>
      <c r="P409" s="1369"/>
      <c r="Q409" s="1369"/>
      <c r="R409" s="1369"/>
      <c r="S409" s="1369"/>
      <c r="T409" s="1369"/>
    </row>
    <row r="410" spans="1:41" s="3" customFormat="1" thickBot="1">
      <c r="A410" s="611"/>
      <c r="O410" s="158"/>
    </row>
    <row r="411" spans="1:41" s="602" customFormat="1" ht="12" thickTop="1">
      <c r="A411" s="63"/>
      <c r="B411" s="41"/>
      <c r="C411" s="63"/>
      <c r="E411" s="42" t="s">
        <v>138</v>
      </c>
      <c r="F411" s="42" t="s">
        <v>139</v>
      </c>
      <c r="G411" s="63"/>
      <c r="H411" s="63"/>
      <c r="I411" s="63"/>
      <c r="J411" s="63"/>
      <c r="K411" s="63" t="s">
        <v>140</v>
      </c>
      <c r="L411" s="63"/>
      <c r="M411" s="63"/>
      <c r="N411" s="63"/>
      <c r="O411" s="64"/>
      <c r="P411" s="63"/>
      <c r="Q411" s="63"/>
      <c r="R411" s="63"/>
      <c r="S411" s="63"/>
      <c r="T411" s="41"/>
      <c r="AG411" s="667" t="s">
        <v>278</v>
      </c>
      <c r="AH411" s="667" t="s">
        <v>279</v>
      </c>
      <c r="AI411" s="667" t="s">
        <v>280</v>
      </c>
      <c r="AJ411" s="667" t="s">
        <v>281</v>
      </c>
      <c r="AK411" s="667" t="s">
        <v>282</v>
      </c>
      <c r="AM411" s="668" t="s">
        <v>291</v>
      </c>
      <c r="AN411" s="669" t="s">
        <v>292</v>
      </c>
      <c r="AO411" s="603" t="s">
        <v>288</v>
      </c>
    </row>
    <row r="412" spans="1:41" s="602" customFormat="1" ht="12" customHeight="1">
      <c r="A412" s="670">
        <v>30</v>
      </c>
      <c r="B412" s="671" t="s">
        <v>326</v>
      </c>
      <c r="C412" s="672"/>
      <c r="D412" s="673" t="s">
        <v>477</v>
      </c>
      <c r="E412" s="674">
        <f ca="1">IF(AND($A412=0,$A$1="DIF"),0, ROUND(ROUND(($R419*$S$2+($T419*$T$2))/A412,2)*$C$2,2))</f>
        <v>0</v>
      </c>
      <c r="F412" s="675">
        <f ca="1">ROUND($A412*$E412,2)</f>
        <v>0</v>
      </c>
      <c r="G412" s="676" t="s">
        <v>142</v>
      </c>
      <c r="H412" s="664"/>
      <c r="I412" s="677"/>
      <c r="J412" s="664"/>
      <c r="K412" s="664" t="s">
        <v>3</v>
      </c>
      <c r="L412" s="678" t="s">
        <v>143</v>
      </c>
      <c r="M412" s="678"/>
      <c r="N412" s="678"/>
      <c r="O412" s="678"/>
      <c r="P412" s="678"/>
      <c r="Q412" s="63"/>
      <c r="T412" s="679" t="str">
        <f ca="1">IF(AND($R419=0,$T419=0),"0.00","mu :" &amp; ROUND($F412/$C$2/($R419+$T419*$D$9),2))</f>
        <v>0.00</v>
      </c>
      <c r="W412" s="604"/>
      <c r="AG412" s="549">
        <f ca="1">IF($E412=0,0,ROUND($R419*$S$2*$C$2/$A412,2))</f>
        <v>0</v>
      </c>
      <c r="AH412" s="549">
        <f ca="1">$AG412*$A412</f>
        <v>0</v>
      </c>
      <c r="AI412" s="605">
        <f ca="1">$E412-$AG412</f>
        <v>0</v>
      </c>
      <c r="AJ412" s="605">
        <f ca="1">$A412*$AI412</f>
        <v>0</v>
      </c>
      <c r="AK412" s="606">
        <f ca="1">ROUND(($AG412+$AI412)*$A412,2)</f>
        <v>0</v>
      </c>
      <c r="AM412" s="607">
        <f ca="1">ROUND(R419,2)</f>
        <v>0</v>
      </c>
      <c r="AN412" s="608">
        <f ca="1">ROUND(T419,2)</f>
        <v>0</v>
      </c>
      <c r="AO412" s="609">
        <f ca="1">ROUND(AM412+AN412,2)*A412</f>
        <v>0</v>
      </c>
    </row>
    <row r="413" spans="1:41" s="602" customFormat="1" ht="13.2">
      <c r="A413" s="672"/>
      <c r="B413"/>
      <c r="C413" s="672"/>
      <c r="D413" s="673" t="s">
        <v>345</v>
      </c>
      <c r="F413" s="664"/>
      <c r="G413" s="3"/>
      <c r="H413" s="664"/>
      <c r="I413" s="677"/>
      <c r="J413" s="664"/>
      <c r="K413" s="664" t="s">
        <v>144</v>
      </c>
      <c r="L413" s="664"/>
      <c r="M413" s="664"/>
      <c r="N413" s="664"/>
      <c r="O413" s="664"/>
      <c r="P413" s="664"/>
      <c r="Q413" s="63"/>
      <c r="R413" s="610"/>
      <c r="S413" s="680"/>
      <c r="T413" s="664"/>
    </row>
    <row r="414" spans="1:41" s="713" customFormat="1" ht="13.2">
      <c r="A414"/>
      <c r="B414" s="807"/>
      <c r="C414" s="807" t="s">
        <v>692</v>
      </c>
      <c r="D414" s="807" t="str">
        <f ca="1">CELL("Address",Elec_Rates!D$266)</f>
        <v>[E25_0477_IH_Retro_Elec_Est_Rev_A_AW.xlsx]Elec_Rates!$D$266</v>
      </c>
      <c r="E414" s="808"/>
      <c r="F414" s="808"/>
      <c r="G414" s="809" t="s">
        <v>693</v>
      </c>
      <c r="H414" s="809"/>
      <c r="I414" s="809"/>
      <c r="J414" s="809"/>
      <c r="K414" s="810"/>
      <c r="L414" s="808"/>
      <c r="M414" s="808"/>
      <c r="N414" s="808"/>
      <c r="O414" s="811"/>
      <c r="P414" s="808"/>
      <c r="Q414" s="812"/>
      <c r="R414" s="813"/>
      <c r="S414" s="812"/>
      <c r="T414" s="814"/>
      <c r="U414" s="815"/>
    </row>
    <row r="415" spans="1:41" s="713" customFormat="1" ht="11.4">
      <c r="A415" s="816">
        <v>30</v>
      </c>
      <c r="B415" s="817">
        <v>1</v>
      </c>
      <c r="C415" s="817">
        <f>$A415*$B415</f>
        <v>30</v>
      </c>
      <c r="D415" s="818" t="str">
        <f>Elec_Rates!$D$266</f>
        <v>014# 50mm galvanised steel cable tray</v>
      </c>
      <c r="E415" s="818"/>
      <c r="F415" s="818" t="s">
        <v>694</v>
      </c>
      <c r="G415" s="819" t="s">
        <v>696</v>
      </c>
      <c r="H415" s="819"/>
      <c r="I415" s="819"/>
      <c r="J415" s="819"/>
      <c r="K415" s="820"/>
      <c r="L415" s="815"/>
      <c r="M415" s="815"/>
      <c r="N415" s="815"/>
      <c r="O415" s="821"/>
      <c r="P415" s="818"/>
      <c r="Q415" s="822">
        <f ca="1">$B415*Elec_Rates!$R$266</f>
        <v>0</v>
      </c>
      <c r="R415" s="813">
        <f ca="1">$A415*Q415</f>
        <v>0</v>
      </c>
      <c r="S415" s="822">
        <f ca="1">$B415*Elec_Rates!$T$266</f>
        <v>0</v>
      </c>
      <c r="T415" s="814">
        <f ca="1">$A415*S415</f>
        <v>0</v>
      </c>
      <c r="U415" s="583"/>
    </row>
    <row r="416" spans="1:41" s="713" customFormat="1" ht="13.2">
      <c r="A416"/>
      <c r="B416" s="807"/>
      <c r="C416" s="807" t="s">
        <v>692</v>
      </c>
      <c r="D416" s="807" t="str">
        <f ca="1">CELL("Address",Elec_Rates!D$310)</f>
        <v>[E25_0477_IH_Retro_Elec_Est_Rev_A_AW.xlsx]Elec_Rates!$D$310</v>
      </c>
      <c r="E416" s="808"/>
      <c r="F416" s="808"/>
      <c r="G416" s="809" t="s">
        <v>693</v>
      </c>
      <c r="H416" s="809"/>
      <c r="I416" s="809"/>
      <c r="J416" s="809"/>
      <c r="K416" s="810"/>
      <c r="L416" s="808"/>
      <c r="M416" s="808"/>
      <c r="N416" s="808"/>
      <c r="O416" s="811"/>
      <c r="P416" s="808"/>
      <c r="Q416" s="812"/>
      <c r="R416" s="813"/>
      <c r="S416" s="812"/>
      <c r="T416" s="814"/>
      <c r="U416" s="815"/>
    </row>
    <row r="417" spans="1:41" s="713" customFormat="1" ht="11.4">
      <c r="A417" s="816">
        <v>10</v>
      </c>
      <c r="B417" s="817">
        <v>1</v>
      </c>
      <c r="C417" s="817">
        <f>$A417*$B417</f>
        <v>10</v>
      </c>
      <c r="D417" s="818" t="str">
        <f>Elec_Rates!$D$310</f>
        <v>025# Bracket for 50mm cable tray</v>
      </c>
      <c r="E417" s="818"/>
      <c r="F417" s="818" t="s">
        <v>694</v>
      </c>
      <c r="G417" s="819" t="s">
        <v>696</v>
      </c>
      <c r="H417" s="819"/>
      <c r="I417" s="819"/>
      <c r="J417" s="819"/>
      <c r="K417" s="820"/>
      <c r="L417" s="815"/>
      <c r="M417" s="815"/>
      <c r="N417" s="815"/>
      <c r="O417" s="821"/>
      <c r="P417" s="818"/>
      <c r="Q417" s="822">
        <f ca="1">$B417*Elec_Rates!$R$310</f>
        <v>0</v>
      </c>
      <c r="R417" s="813">
        <f ca="1">$A417*Q417</f>
        <v>0</v>
      </c>
      <c r="S417" s="822">
        <f ca="1">$B417*Elec_Rates!$T$310</f>
        <v>0</v>
      </c>
      <c r="T417" s="814">
        <f ca="1">$A417*S417</f>
        <v>0</v>
      </c>
      <c r="U417" s="583"/>
    </row>
    <row r="418" spans="1:41" s="602" customFormat="1" ht="12">
      <c r="A418" s="663"/>
      <c r="B418" s="663"/>
      <c r="C418" s="663"/>
      <c r="D418" s="663"/>
      <c r="E418" s="663"/>
      <c r="F418" s="664"/>
      <c r="G418" s="663"/>
      <c r="H418" s="663"/>
      <c r="I418" s="601"/>
      <c r="J418" s="663"/>
      <c r="K418" s="663"/>
      <c r="L418" s="663"/>
      <c r="M418" s="663"/>
      <c r="N418" s="663"/>
      <c r="O418" s="663"/>
      <c r="P418" s="663"/>
      <c r="Q418" s="601"/>
      <c r="R418" s="666">
        <f>$A418*Q418</f>
        <v>0</v>
      </c>
      <c r="S418" s="601"/>
      <c r="T418" s="681">
        <f>$A418*S418*$T$1</f>
        <v>0</v>
      </c>
    </row>
    <row r="419" spans="1:41" s="602" customFormat="1" ht="12.6" thickBot="1">
      <c r="A419" s="682" t="s">
        <v>145</v>
      </c>
      <c r="B419" s="683">
        <f>(R418+T418)</f>
        <v>0</v>
      </c>
      <c r="C419" s="684"/>
      <c r="D419" s="684"/>
      <c r="E419" s="684"/>
      <c r="F419" s="685"/>
      <c r="G419" s="684" t="s">
        <v>146</v>
      </c>
      <c r="H419" s="684"/>
      <c r="I419" s="686"/>
      <c r="J419" s="684"/>
      <c r="K419" s="684" t="s">
        <v>3</v>
      </c>
      <c r="L419" s="687" t="s">
        <v>143</v>
      </c>
      <c r="M419" s="687"/>
      <c r="N419" s="687"/>
      <c r="O419" s="687"/>
      <c r="P419" s="687"/>
      <c r="Q419" s="688"/>
      <c r="R419" s="689">
        <f ca="1">SUM(R413:R418)</f>
        <v>0</v>
      </c>
      <c r="S419" s="684"/>
      <c r="T419" s="689">
        <f ca="1">SUM(T413:T418)</f>
        <v>0</v>
      </c>
      <c r="U419" s="611"/>
      <c r="V419" s="611"/>
      <c r="W419" s="611"/>
      <c r="X419" s="611"/>
      <c r="Y419" s="611"/>
      <c r="Z419" s="611"/>
      <c r="AA419" s="611"/>
      <c r="AB419" s="611"/>
      <c r="AC419" s="611"/>
      <c r="AD419" s="611"/>
      <c r="AE419" s="611"/>
      <c r="AF419" s="611"/>
      <c r="AG419" s="611"/>
      <c r="AH419" s="611"/>
      <c r="AI419" s="611"/>
      <c r="AJ419" s="611"/>
      <c r="AK419" s="611"/>
      <c r="AL419" s="611"/>
      <c r="AM419" s="611"/>
      <c r="AN419" s="611"/>
      <c r="AO419" s="611"/>
    </row>
    <row r="420" spans="1:41" s="602" customFormat="1" ht="12" thickTop="1">
      <c r="A420" s="63"/>
      <c r="B420" s="41"/>
      <c r="C420" s="63"/>
      <c r="E420" s="42" t="s">
        <v>138</v>
      </c>
      <c r="F420" s="42" t="s">
        <v>139</v>
      </c>
      <c r="G420" s="63"/>
      <c r="H420" s="63"/>
      <c r="I420" s="63"/>
      <c r="J420" s="63"/>
      <c r="K420" s="63" t="s">
        <v>140</v>
      </c>
      <c r="L420" s="63"/>
      <c r="M420" s="63"/>
      <c r="N420" s="63"/>
      <c r="O420" s="64"/>
      <c r="P420" s="63"/>
      <c r="Q420" s="63"/>
      <c r="R420" s="63"/>
      <c r="S420" s="63"/>
      <c r="T420" s="41"/>
      <c r="AG420" s="667" t="s">
        <v>278</v>
      </c>
      <c r="AH420" s="667" t="s">
        <v>279</v>
      </c>
      <c r="AI420" s="667" t="s">
        <v>280</v>
      </c>
      <c r="AJ420" s="667" t="s">
        <v>281</v>
      </c>
      <c r="AK420" s="667" t="s">
        <v>282</v>
      </c>
      <c r="AM420" s="668" t="s">
        <v>291</v>
      </c>
      <c r="AN420" s="669" t="s">
        <v>292</v>
      </c>
      <c r="AO420" s="603" t="s">
        <v>288</v>
      </c>
    </row>
    <row r="421" spans="1:41" s="602" customFormat="1" ht="12" customHeight="1">
      <c r="A421" s="670">
        <v>22</v>
      </c>
      <c r="B421" s="671" t="s">
        <v>326</v>
      </c>
      <c r="C421" s="672"/>
      <c r="D421" s="673" t="s">
        <v>478</v>
      </c>
      <c r="E421" s="674">
        <f ca="1">IF(AND($A421=0,$A$1="DIF"),0, ROUND(ROUND(($R428*$S$2+($T428*$T$2))/A421,2)*$C$2,2))</f>
        <v>13.92</v>
      </c>
      <c r="F421" s="675">
        <f ca="1">ROUND($A421*$E421,2)</f>
        <v>306.24</v>
      </c>
      <c r="G421" s="676" t="s">
        <v>142</v>
      </c>
      <c r="H421" s="664"/>
      <c r="I421" s="677"/>
      <c r="J421" s="664"/>
      <c r="K421" s="664" t="s">
        <v>3</v>
      </c>
      <c r="L421" s="678" t="s">
        <v>143</v>
      </c>
      <c r="M421" s="678"/>
      <c r="N421" s="678"/>
      <c r="O421" s="678"/>
      <c r="P421" s="678"/>
      <c r="Q421" s="63"/>
      <c r="T421" s="679" t="str">
        <f ca="1">IF(AND($R428=0,$T428=0),"0.00","mu :" &amp; ROUND($F421/$C$2/($R428+$T428*$D$9),2))</f>
        <v>mu :1.35</v>
      </c>
      <c r="W421" s="604"/>
      <c r="AG421" s="549">
        <f ca="1">IF($E421=0,0,ROUND($R428*$S$2*$C$2/$A421,2))</f>
        <v>4.8899999999999997</v>
      </c>
      <c r="AH421" s="549">
        <f ca="1">$AG421*$A421</f>
        <v>107.58</v>
      </c>
      <c r="AI421" s="605">
        <f ca="1">$E421-$AG421</f>
        <v>9.0300000000000011</v>
      </c>
      <c r="AJ421" s="605">
        <f ca="1">$A421*$AI421</f>
        <v>198.66000000000003</v>
      </c>
      <c r="AK421" s="606">
        <f ca="1">ROUND(($AG421+$AI421)*$A421,2)</f>
        <v>306.24</v>
      </c>
      <c r="AM421" s="607">
        <f ca="1">ROUND(R428,2)</f>
        <v>81.84</v>
      </c>
      <c r="AN421" s="608">
        <f ca="1">ROUND(T428,2)</f>
        <v>5.5</v>
      </c>
      <c r="AO421" s="609">
        <f ca="1">ROUND(AM421+AN421,2)*A421</f>
        <v>1921.48</v>
      </c>
    </row>
    <row r="422" spans="1:41" s="602" customFormat="1" ht="13.2">
      <c r="A422" s="672"/>
      <c r="B422"/>
      <c r="C422" s="672"/>
      <c r="D422" s="673" t="s">
        <v>479</v>
      </c>
      <c r="F422" s="664"/>
      <c r="G422" s="3"/>
      <c r="H422" s="664"/>
      <c r="I422" s="677"/>
      <c r="J422" s="664"/>
      <c r="K422" s="664" t="s">
        <v>144</v>
      </c>
      <c r="L422" s="664"/>
      <c r="M422" s="664"/>
      <c r="N422" s="664"/>
      <c r="O422" s="664"/>
      <c r="P422" s="664"/>
      <c r="Q422" s="63"/>
      <c r="R422" s="610"/>
      <c r="S422" s="680"/>
      <c r="T422" s="664"/>
    </row>
    <row r="423" spans="1:41" s="713" customFormat="1" ht="13.2">
      <c r="A423"/>
      <c r="B423" s="807"/>
      <c r="C423" s="807" t="s">
        <v>692</v>
      </c>
      <c r="D423" s="807" t="str">
        <f ca="1">CELL("Address",Elec_Rates!D$277)</f>
        <v>[E25_0477_IH_Retro_Elec_Est_Rev_A_AW.xlsx]Elec_Rates!$D$277</v>
      </c>
      <c r="E423" s="808"/>
      <c r="F423" s="808"/>
      <c r="G423" s="809" t="s">
        <v>693</v>
      </c>
      <c r="H423" s="809"/>
      <c r="I423" s="809"/>
      <c r="J423" s="809"/>
      <c r="K423" s="810"/>
      <c r="L423" s="808"/>
      <c r="M423" s="808"/>
      <c r="N423" s="808"/>
      <c r="O423" s="811"/>
      <c r="P423" s="808"/>
      <c r="Q423" s="812"/>
      <c r="R423" s="813"/>
      <c r="S423" s="812"/>
      <c r="T423" s="814"/>
      <c r="U423" s="815"/>
    </row>
    <row r="424" spans="1:41" s="713" customFormat="1" ht="11.4">
      <c r="A424" s="816">
        <v>22</v>
      </c>
      <c r="B424" s="817">
        <v>1</v>
      </c>
      <c r="C424" s="817">
        <f>$A424*$B424</f>
        <v>22</v>
      </c>
      <c r="D424" s="818" t="str">
        <f>Elec_Rates!$D$277</f>
        <v>015# 200mm galvanised steel cable tray</v>
      </c>
      <c r="E424" s="818"/>
      <c r="F424" s="818" t="s">
        <v>694</v>
      </c>
      <c r="G424" s="819" t="s">
        <v>696</v>
      </c>
      <c r="H424" s="819"/>
      <c r="I424" s="819"/>
      <c r="J424" s="819"/>
      <c r="K424" s="820"/>
      <c r="L424" s="815"/>
      <c r="M424" s="815"/>
      <c r="N424" s="815"/>
      <c r="O424" s="821"/>
      <c r="P424" s="818"/>
      <c r="Q424" s="822">
        <f ca="1">$B424*Elec_Rates!$R$277</f>
        <v>0</v>
      </c>
      <c r="R424" s="813">
        <f ca="1">$A424*Q424</f>
        <v>0</v>
      </c>
      <c r="S424" s="822">
        <f ca="1">$B424*Elec_Rates!$T$277</f>
        <v>0</v>
      </c>
      <c r="T424" s="814">
        <f ca="1">$A424*S424</f>
        <v>0</v>
      </c>
      <c r="U424" s="583"/>
    </row>
    <row r="425" spans="1:41" s="713" customFormat="1" ht="13.2">
      <c r="A425"/>
      <c r="B425" s="807"/>
      <c r="C425" s="807" t="s">
        <v>692</v>
      </c>
      <c r="D425" s="807" t="str">
        <f ca="1">CELL("Address",Elec_Rates!D$321)</f>
        <v>[E25_0477_IH_Retro_Elec_Est_Rev_A_AW.xlsx]Elec_Rates!$D$321</v>
      </c>
      <c r="E425" s="808"/>
      <c r="F425" s="808"/>
      <c r="G425" s="809" t="s">
        <v>693</v>
      </c>
      <c r="H425" s="809"/>
      <c r="I425" s="809"/>
      <c r="J425" s="809"/>
      <c r="K425" s="810"/>
      <c r="L425" s="808"/>
      <c r="M425" s="808"/>
      <c r="N425" s="808"/>
      <c r="O425" s="811"/>
      <c r="P425" s="808"/>
      <c r="Q425" s="812"/>
      <c r="R425" s="813"/>
      <c r="S425" s="812"/>
      <c r="T425" s="814"/>
      <c r="U425" s="815"/>
    </row>
    <row r="426" spans="1:41" s="713" customFormat="1" ht="11.4">
      <c r="A426" s="816">
        <v>22</v>
      </c>
      <c r="B426" s="817">
        <v>1</v>
      </c>
      <c r="C426" s="817">
        <f>$A426*$B426</f>
        <v>22</v>
      </c>
      <c r="D426" s="818" t="str">
        <f>Elec_Rates!$D$321</f>
        <v>026# Bracket for 200-300mm cable tray</v>
      </c>
      <c r="E426" s="818"/>
      <c r="F426" s="818" t="s">
        <v>694</v>
      </c>
      <c r="G426" s="819" t="s">
        <v>695</v>
      </c>
      <c r="H426" s="819"/>
      <c r="I426" s="819"/>
      <c r="J426" s="819"/>
      <c r="K426" s="820"/>
      <c r="L426" s="815"/>
      <c r="M426" s="815"/>
      <c r="N426" s="815"/>
      <c r="O426" s="821"/>
      <c r="P426" s="818"/>
      <c r="Q426" s="822">
        <f ca="1">$B426*Elec_Rates!$R$321</f>
        <v>3.72</v>
      </c>
      <c r="R426" s="813">
        <f ca="1">$A426*Q426</f>
        <v>81.84</v>
      </c>
      <c r="S426" s="822">
        <f ca="1">$B426*Elec_Rates!$T$321</f>
        <v>0.25</v>
      </c>
      <c r="T426" s="814">
        <f ca="1">$A426*S426</f>
        <v>5.5</v>
      </c>
      <c r="U426" s="583"/>
    </row>
    <row r="427" spans="1:41" s="602" customFormat="1" ht="12">
      <c r="A427" s="663"/>
      <c r="B427" s="663"/>
      <c r="C427" s="663"/>
      <c r="D427" s="663"/>
      <c r="E427" s="663"/>
      <c r="F427" s="664"/>
      <c r="G427" s="663"/>
      <c r="H427" s="663"/>
      <c r="I427" s="601"/>
      <c r="J427" s="663"/>
      <c r="K427" s="663"/>
      <c r="L427" s="663"/>
      <c r="M427" s="663"/>
      <c r="N427" s="663"/>
      <c r="O427" s="663"/>
      <c r="P427" s="663"/>
      <c r="Q427" s="601"/>
      <c r="R427" s="666">
        <f>$A427*Q427</f>
        <v>0</v>
      </c>
      <c r="S427" s="601"/>
      <c r="T427" s="681">
        <f>$A427*S427*$T$1</f>
        <v>0</v>
      </c>
    </row>
    <row r="428" spans="1:41" s="602" customFormat="1" ht="12.6" thickBot="1">
      <c r="A428" s="682" t="s">
        <v>145</v>
      </c>
      <c r="B428" s="683">
        <f>(R427+T427)</f>
        <v>0</v>
      </c>
      <c r="C428" s="684"/>
      <c r="D428" s="684"/>
      <c r="E428" s="684"/>
      <c r="F428" s="685"/>
      <c r="G428" s="684" t="s">
        <v>146</v>
      </c>
      <c r="H428" s="684"/>
      <c r="I428" s="686"/>
      <c r="J428" s="684"/>
      <c r="K428" s="684" t="s">
        <v>3</v>
      </c>
      <c r="L428" s="687" t="s">
        <v>143</v>
      </c>
      <c r="M428" s="687"/>
      <c r="N428" s="687"/>
      <c r="O428" s="687"/>
      <c r="P428" s="687"/>
      <c r="Q428" s="688"/>
      <c r="R428" s="689">
        <f ca="1">SUM(R422:R427)</f>
        <v>81.84</v>
      </c>
      <c r="S428" s="684"/>
      <c r="T428" s="689">
        <f ca="1">SUM(T422:T427)</f>
        <v>5.5</v>
      </c>
      <c r="U428" s="611"/>
      <c r="V428" s="611"/>
      <c r="W428" s="611"/>
      <c r="X428" s="611"/>
      <c r="Y428" s="611"/>
      <c r="Z428" s="611"/>
      <c r="AA428" s="611"/>
      <c r="AB428" s="611"/>
      <c r="AC428" s="611"/>
      <c r="AD428" s="611"/>
      <c r="AE428" s="611"/>
      <c r="AF428" s="611"/>
      <c r="AG428" s="611"/>
      <c r="AH428" s="611"/>
      <c r="AI428" s="611"/>
      <c r="AJ428" s="611"/>
      <c r="AK428" s="611"/>
      <c r="AL428" s="611"/>
      <c r="AM428" s="611"/>
      <c r="AN428" s="611"/>
      <c r="AO428" s="611"/>
    </row>
    <row r="429" spans="1:41" s="602" customFormat="1" ht="12" thickTop="1">
      <c r="A429" s="63"/>
      <c r="B429" s="41"/>
      <c r="C429" s="63"/>
      <c r="E429" s="42" t="s">
        <v>138</v>
      </c>
      <c r="F429" s="42" t="s">
        <v>139</v>
      </c>
      <c r="G429" s="63"/>
      <c r="H429" s="63"/>
      <c r="I429" s="63"/>
      <c r="J429" s="63"/>
      <c r="K429" s="63" t="s">
        <v>140</v>
      </c>
      <c r="L429" s="63"/>
      <c r="M429" s="63"/>
      <c r="N429" s="63"/>
      <c r="O429" s="64"/>
      <c r="P429" s="63"/>
      <c r="Q429" s="63"/>
      <c r="R429" s="63"/>
      <c r="S429" s="63"/>
      <c r="T429" s="41"/>
      <c r="AG429" s="667" t="s">
        <v>278</v>
      </c>
      <c r="AH429" s="667" t="s">
        <v>279</v>
      </c>
      <c r="AI429" s="667" t="s">
        <v>280</v>
      </c>
      <c r="AJ429" s="667" t="s">
        <v>281</v>
      </c>
      <c r="AK429" s="667" t="s">
        <v>282</v>
      </c>
      <c r="AM429" s="668" t="s">
        <v>291</v>
      </c>
      <c r="AN429" s="669" t="s">
        <v>292</v>
      </c>
      <c r="AO429" s="603" t="s">
        <v>288</v>
      </c>
    </row>
    <row r="430" spans="1:41" s="602" customFormat="1" ht="12" customHeight="1">
      <c r="A430" s="670">
        <v>35</v>
      </c>
      <c r="B430" s="671" t="s">
        <v>326</v>
      </c>
      <c r="C430" s="672"/>
      <c r="D430" s="673" t="s">
        <v>480</v>
      </c>
      <c r="E430" s="674">
        <f ca="1">IF(AND($A430=0,$A$1="DIF"),0, ROUND(ROUND(($R437*$S$2+($T437*$T$2))/A430,2)*$C$2,2))</f>
        <v>37.409999999999997</v>
      </c>
      <c r="F430" s="675">
        <f ca="1">ROUND($A430*$E430,2)</f>
        <v>1309.3499999999999</v>
      </c>
      <c r="G430" s="676" t="s">
        <v>142</v>
      </c>
      <c r="H430" s="664"/>
      <c r="I430" s="677"/>
      <c r="J430" s="664"/>
      <c r="K430" s="664" t="s">
        <v>3</v>
      </c>
      <c r="L430" s="678" t="s">
        <v>143</v>
      </c>
      <c r="M430" s="678"/>
      <c r="N430" s="678"/>
      <c r="O430" s="678"/>
      <c r="P430" s="678"/>
      <c r="Q430" s="63"/>
      <c r="T430" s="679" t="str">
        <f ca="1">IF(AND($R437=0,$T437=0),"0.00","mu :" &amp; ROUND($F430/$C$2/($R437+$T437*$D$9),2))</f>
        <v>mu :1.35</v>
      </c>
      <c r="W430" s="604"/>
      <c r="AG430" s="549">
        <f ca="1">IF($E430=0,0,ROUND($R437*$S$2*$C$2/$A430,2))</f>
        <v>15.75</v>
      </c>
      <c r="AH430" s="549">
        <f ca="1">$AG430*$A430</f>
        <v>551.25</v>
      </c>
      <c r="AI430" s="605">
        <f ca="1">$E430-$AG430</f>
        <v>21.659999999999997</v>
      </c>
      <c r="AJ430" s="605">
        <f ca="1">$A430*$AI430</f>
        <v>758.09999999999991</v>
      </c>
      <c r="AK430" s="606">
        <f ca="1">ROUND(($AG430+$AI430)*$A430,2)</f>
        <v>1309.3499999999999</v>
      </c>
      <c r="AM430" s="607">
        <f ca="1">ROUND(R437,2)</f>
        <v>419.3</v>
      </c>
      <c r="AN430" s="608">
        <f ca="1">ROUND(T437,2)</f>
        <v>21</v>
      </c>
      <c r="AO430" s="609">
        <f ca="1">ROUND(AM430+AN430,2)*A430</f>
        <v>15410.5</v>
      </c>
    </row>
    <row r="431" spans="1:41" s="602" customFormat="1" ht="13.2">
      <c r="A431" s="672"/>
      <c r="B431"/>
      <c r="C431" s="672"/>
      <c r="D431" s="673" t="s">
        <v>481</v>
      </c>
      <c r="F431" s="664"/>
      <c r="G431" s="3"/>
      <c r="H431" s="664"/>
      <c r="I431" s="677"/>
      <c r="J431" s="664"/>
      <c r="K431" s="664" t="s">
        <v>144</v>
      </c>
      <c r="L431" s="664"/>
      <c r="M431" s="664"/>
      <c r="N431" s="664"/>
      <c r="O431" s="664"/>
      <c r="P431" s="664"/>
      <c r="Q431" s="63"/>
      <c r="R431" s="610"/>
      <c r="S431" s="680"/>
      <c r="T431" s="664"/>
    </row>
    <row r="432" spans="1:41" s="713" customFormat="1" ht="13.2">
      <c r="A432"/>
      <c r="B432" s="807"/>
      <c r="C432" s="807" t="s">
        <v>692</v>
      </c>
      <c r="D432" s="807" t="str">
        <f ca="1">CELL("Address",Elec_Rates!D$288)</f>
        <v>[E25_0477_IH_Retro_Elec_Est_Rev_A_AW.xlsx]Elec_Rates!$D$288</v>
      </c>
      <c r="E432" s="808"/>
      <c r="F432" s="808"/>
      <c r="G432" s="809" t="s">
        <v>693</v>
      </c>
      <c r="H432" s="809"/>
      <c r="I432" s="809"/>
      <c r="J432" s="809"/>
      <c r="K432" s="810"/>
      <c r="L432" s="808"/>
      <c r="M432" s="808"/>
      <c r="N432" s="808"/>
      <c r="O432" s="811"/>
      <c r="P432" s="808"/>
      <c r="Q432" s="812"/>
      <c r="R432" s="813"/>
      <c r="S432" s="812"/>
      <c r="T432" s="814"/>
      <c r="U432" s="815"/>
    </row>
    <row r="433" spans="1:41" s="713" customFormat="1" ht="11.4">
      <c r="A433" s="816">
        <v>35</v>
      </c>
      <c r="B433" s="817">
        <v>1</v>
      </c>
      <c r="C433" s="817">
        <f>$A433*$B433</f>
        <v>35</v>
      </c>
      <c r="D433" s="818" t="str">
        <f>Elec_Rates!$D$288</f>
        <v>016# 250mm galvanised steel cable tray</v>
      </c>
      <c r="E433" s="818"/>
      <c r="F433" s="818" t="s">
        <v>694</v>
      </c>
      <c r="G433" s="819" t="s">
        <v>695</v>
      </c>
      <c r="H433" s="819"/>
      <c r="I433" s="819"/>
      <c r="J433" s="819"/>
      <c r="K433" s="820"/>
      <c r="L433" s="815"/>
      <c r="M433" s="815"/>
      <c r="N433" s="815"/>
      <c r="O433" s="821"/>
      <c r="P433" s="818"/>
      <c r="Q433" s="822">
        <f ca="1">$B433*Elec_Rates!$R$288</f>
        <v>8.26</v>
      </c>
      <c r="R433" s="813">
        <f ca="1">$A433*Q433</f>
        <v>289.09999999999997</v>
      </c>
      <c r="S433" s="822">
        <f ca="1">$B433*Elec_Rates!$T$288</f>
        <v>0.35</v>
      </c>
      <c r="T433" s="814">
        <f ca="1">$A433*S433</f>
        <v>12.25</v>
      </c>
      <c r="U433" s="583"/>
    </row>
    <row r="434" spans="1:41" s="713" customFormat="1" ht="13.2">
      <c r="A434"/>
      <c r="B434" s="807"/>
      <c r="C434" s="807" t="s">
        <v>692</v>
      </c>
      <c r="D434" s="807" t="str">
        <f ca="1">CELL("Address",Elec_Rates!D$321)</f>
        <v>[E25_0477_IH_Retro_Elec_Est_Rev_A_AW.xlsx]Elec_Rates!$D$321</v>
      </c>
      <c r="E434" s="808"/>
      <c r="F434" s="808"/>
      <c r="G434" s="809" t="s">
        <v>693</v>
      </c>
      <c r="H434" s="809"/>
      <c r="I434" s="809"/>
      <c r="J434" s="809"/>
      <c r="K434" s="810"/>
      <c r="L434" s="808"/>
      <c r="M434" s="808"/>
      <c r="N434" s="808"/>
      <c r="O434" s="811"/>
      <c r="P434" s="808"/>
      <c r="Q434" s="812"/>
      <c r="R434" s="813"/>
      <c r="S434" s="812"/>
      <c r="T434" s="814"/>
      <c r="U434" s="815"/>
    </row>
    <row r="435" spans="1:41" s="713" customFormat="1" ht="11.4">
      <c r="A435" s="816">
        <v>35</v>
      </c>
      <c r="B435" s="817">
        <v>1</v>
      </c>
      <c r="C435" s="817">
        <f>$A435*$B435</f>
        <v>35</v>
      </c>
      <c r="D435" s="818" t="str">
        <f>Elec_Rates!$D$321</f>
        <v>026# Bracket for 200-300mm cable tray</v>
      </c>
      <c r="E435" s="818"/>
      <c r="F435" s="818" t="s">
        <v>694</v>
      </c>
      <c r="G435" s="819" t="s">
        <v>696</v>
      </c>
      <c r="H435" s="819"/>
      <c r="I435" s="819"/>
      <c r="J435" s="819"/>
      <c r="K435" s="820"/>
      <c r="L435" s="815"/>
      <c r="M435" s="815"/>
      <c r="N435" s="815"/>
      <c r="O435" s="821"/>
      <c r="P435" s="818"/>
      <c r="Q435" s="822">
        <f ca="1">$B435*Elec_Rates!$R$321</f>
        <v>3.72</v>
      </c>
      <c r="R435" s="813">
        <f ca="1">$A435*Q435</f>
        <v>130.20000000000002</v>
      </c>
      <c r="S435" s="822">
        <f ca="1">$B435*Elec_Rates!$T$321</f>
        <v>0.25</v>
      </c>
      <c r="T435" s="814">
        <f ca="1">$A435*S435</f>
        <v>8.75</v>
      </c>
      <c r="U435" s="583"/>
    </row>
    <row r="436" spans="1:41" s="602" customFormat="1" ht="12">
      <c r="A436" s="663"/>
      <c r="B436" s="663"/>
      <c r="C436" s="663"/>
      <c r="D436" s="663"/>
      <c r="E436" s="663"/>
      <c r="F436" s="664"/>
      <c r="G436" s="663"/>
      <c r="H436" s="663"/>
      <c r="I436" s="601"/>
      <c r="J436" s="663"/>
      <c r="K436" s="663"/>
      <c r="L436" s="663"/>
      <c r="M436" s="663"/>
      <c r="N436" s="663"/>
      <c r="O436" s="663"/>
      <c r="P436" s="663"/>
      <c r="Q436" s="601"/>
      <c r="R436" s="666">
        <f>$A436*Q436</f>
        <v>0</v>
      </c>
      <c r="S436" s="601"/>
      <c r="T436" s="681">
        <f>$A436*S436*$T$1</f>
        <v>0</v>
      </c>
    </row>
    <row r="437" spans="1:41" s="602" customFormat="1" ht="12.6" thickBot="1">
      <c r="A437" s="682" t="s">
        <v>145</v>
      </c>
      <c r="B437" s="683">
        <f>(R436+T436)</f>
        <v>0</v>
      </c>
      <c r="C437" s="684"/>
      <c r="D437" s="684"/>
      <c r="E437" s="684"/>
      <c r="F437" s="685"/>
      <c r="G437" s="684" t="s">
        <v>146</v>
      </c>
      <c r="H437" s="684"/>
      <c r="I437" s="686"/>
      <c r="J437" s="684"/>
      <c r="K437" s="684" t="s">
        <v>3</v>
      </c>
      <c r="L437" s="687" t="s">
        <v>143</v>
      </c>
      <c r="M437" s="687"/>
      <c r="N437" s="687"/>
      <c r="O437" s="687"/>
      <c r="P437" s="687"/>
      <c r="Q437" s="688"/>
      <c r="R437" s="689">
        <f ca="1">SUM(R431:R436)</f>
        <v>419.29999999999995</v>
      </c>
      <c r="S437" s="684"/>
      <c r="T437" s="689">
        <f ca="1">SUM(T431:T436)</f>
        <v>21</v>
      </c>
      <c r="U437" s="611"/>
      <c r="V437" s="611"/>
      <c r="W437" s="611"/>
      <c r="X437" s="611"/>
      <c r="Y437" s="611"/>
      <c r="Z437" s="611"/>
      <c r="AA437" s="611"/>
      <c r="AB437" s="611"/>
      <c r="AC437" s="611"/>
      <c r="AD437" s="611"/>
      <c r="AE437" s="611"/>
      <c r="AF437" s="611"/>
      <c r="AG437" s="611"/>
      <c r="AH437" s="611"/>
      <c r="AI437" s="611"/>
      <c r="AJ437" s="611"/>
      <c r="AK437" s="611"/>
      <c r="AL437" s="611"/>
      <c r="AM437" s="611"/>
      <c r="AN437" s="611"/>
      <c r="AO437" s="611"/>
    </row>
    <row r="438" spans="1:41" s="602" customFormat="1" thickTop="1">
      <c r="A438" s="63"/>
      <c r="B438" s="63"/>
      <c r="C438" s="3"/>
      <c r="D438" s="3"/>
      <c r="E438" s="63"/>
      <c r="F438" s="63"/>
      <c r="G438" s="63"/>
      <c r="H438" s="63"/>
      <c r="I438" s="63"/>
      <c r="J438" s="63"/>
      <c r="K438" s="63" t="s">
        <v>134</v>
      </c>
      <c r="L438" s="63"/>
      <c r="M438" s="63"/>
      <c r="N438" s="63"/>
      <c r="O438" s="64"/>
      <c r="P438" s="63"/>
      <c r="Q438" s="63"/>
      <c r="R438" s="63"/>
      <c r="S438" s="63"/>
      <c r="T438" s="63"/>
    </row>
    <row r="439" spans="1:41" s="602" customFormat="1" ht="12">
      <c r="A439" s="63"/>
      <c r="B439" s="63"/>
      <c r="C439" s="63" t="s">
        <v>135</v>
      </c>
      <c r="D439" s="37"/>
      <c r="E439" s="63"/>
      <c r="F439" s="63"/>
      <c r="G439" s="63"/>
      <c r="H439" s="63"/>
      <c r="I439" s="63"/>
      <c r="J439" s="63"/>
      <c r="K439" s="63"/>
      <c r="L439" s="63"/>
      <c r="M439" s="63"/>
      <c r="N439" s="63"/>
      <c r="O439" s="64"/>
      <c r="P439" s="63"/>
      <c r="Q439" s="63"/>
      <c r="R439" s="63"/>
      <c r="S439" s="63"/>
      <c r="T439" s="63"/>
    </row>
    <row r="440" spans="1:41" s="602" customFormat="1" ht="12">
      <c r="A440" s="63"/>
      <c r="B440" s="63"/>
      <c r="C440" s="63"/>
      <c r="D440" s="37" t="s">
        <v>451</v>
      </c>
      <c r="E440" s="63"/>
      <c r="F440" s="63"/>
      <c r="G440" s="63"/>
      <c r="H440" s="63"/>
      <c r="I440" s="63"/>
      <c r="J440" s="63"/>
      <c r="K440" s="63"/>
      <c r="L440" s="63"/>
      <c r="M440" s="63"/>
      <c r="N440" s="63"/>
      <c r="O440" s="64"/>
      <c r="P440" s="63"/>
      <c r="Q440" s="63"/>
      <c r="R440" s="63"/>
      <c r="S440" s="38"/>
      <c r="T440" s="38"/>
    </row>
    <row r="441" spans="1:41" s="3" customFormat="1" thickBot="1">
      <c r="A441" s="611"/>
      <c r="O441" s="158"/>
    </row>
    <row r="442" spans="1:41" s="602" customFormat="1" thickTop="1">
      <c r="A442" s="63"/>
      <c r="B442" s="63"/>
      <c r="C442" s="3"/>
      <c r="D442" s="3"/>
      <c r="E442" s="63"/>
      <c r="F442" s="63"/>
      <c r="G442" s="63"/>
      <c r="H442" s="63"/>
      <c r="I442" s="63"/>
      <c r="J442" s="63"/>
      <c r="K442" s="63" t="s">
        <v>134</v>
      </c>
      <c r="L442" s="63"/>
      <c r="M442" s="63"/>
      <c r="N442" s="63"/>
      <c r="O442" s="64"/>
      <c r="P442" s="63"/>
      <c r="Q442" s="63"/>
      <c r="R442" s="63"/>
      <c r="S442" s="63"/>
      <c r="T442" s="63"/>
    </row>
    <row r="443" spans="1:41" s="602" customFormat="1" ht="12">
      <c r="A443" s="63"/>
      <c r="B443" s="63"/>
      <c r="C443" s="63" t="s">
        <v>135</v>
      </c>
      <c r="D443" s="37" t="s">
        <v>482</v>
      </c>
      <c r="E443" s="63"/>
      <c r="F443" s="63"/>
      <c r="G443" s="63"/>
      <c r="H443" s="63"/>
      <c r="I443" s="63"/>
      <c r="J443" s="63"/>
      <c r="K443" s="63"/>
      <c r="L443" s="63"/>
      <c r="M443" s="63"/>
      <c r="N443" s="63"/>
      <c r="O443" s="64"/>
      <c r="P443" s="63"/>
      <c r="Q443" s="63"/>
      <c r="R443" s="63"/>
      <c r="S443" s="63"/>
      <c r="T443" s="63"/>
    </row>
    <row r="444" spans="1:41" s="602" customFormat="1" ht="39.9" customHeight="1">
      <c r="A444" s="63"/>
      <c r="B444" s="63"/>
      <c r="C444" s="63"/>
      <c r="D444" s="1371" t="s">
        <v>663</v>
      </c>
      <c r="E444" s="1369"/>
      <c r="F444" s="1369"/>
      <c r="G444" s="1369"/>
      <c r="H444" s="1369"/>
      <c r="I444" s="1369"/>
      <c r="J444" s="1369"/>
      <c r="K444" s="1369"/>
      <c r="L444" s="1369"/>
      <c r="M444" s="1369"/>
      <c r="N444" s="1369"/>
      <c r="O444" s="1369"/>
      <c r="P444" s="1369"/>
      <c r="Q444" s="1369"/>
      <c r="R444" s="1369"/>
      <c r="S444" s="1369"/>
      <c r="T444" s="1369"/>
    </row>
    <row r="445" spans="1:41" s="3" customFormat="1" thickBot="1">
      <c r="A445" s="611"/>
      <c r="O445" s="158"/>
    </row>
    <row r="446" spans="1:41" s="602" customFormat="1" ht="12" thickTop="1">
      <c r="A446" s="63"/>
      <c r="B446" s="41"/>
      <c r="C446" s="63"/>
      <c r="E446" s="42" t="s">
        <v>138</v>
      </c>
      <c r="F446" s="42" t="s">
        <v>139</v>
      </c>
      <c r="G446" s="63"/>
      <c r="H446" s="63"/>
      <c r="I446" s="63"/>
      <c r="J446" s="63"/>
      <c r="K446" s="63" t="s">
        <v>140</v>
      </c>
      <c r="L446" s="63"/>
      <c r="M446" s="63"/>
      <c r="N446" s="63"/>
      <c r="O446" s="64"/>
      <c r="P446" s="63"/>
      <c r="Q446" s="63"/>
      <c r="R446" s="63"/>
      <c r="S446" s="63"/>
      <c r="T446" s="41"/>
      <c r="AG446" s="667" t="s">
        <v>278</v>
      </c>
      <c r="AH446" s="667" t="s">
        <v>279</v>
      </c>
      <c r="AI446" s="667" t="s">
        <v>280</v>
      </c>
      <c r="AJ446" s="667" t="s">
        <v>281</v>
      </c>
      <c r="AK446" s="667" t="s">
        <v>282</v>
      </c>
      <c r="AM446" s="668" t="s">
        <v>291</v>
      </c>
      <c r="AN446" s="669" t="s">
        <v>292</v>
      </c>
      <c r="AO446" s="603" t="s">
        <v>288</v>
      </c>
    </row>
    <row r="447" spans="1:41" s="602" customFormat="1" ht="12" customHeight="1">
      <c r="A447" s="670">
        <v>17</v>
      </c>
      <c r="B447" s="671" t="s">
        <v>330</v>
      </c>
      <c r="C447" s="672"/>
      <c r="D447" s="673" t="s">
        <v>483</v>
      </c>
      <c r="E447" s="674">
        <f ca="1">IF(AND($A447=0,$A$1="DIF"),0, ROUND(ROUND(($R452*$S$2+($T452*$T$2))/A447,2)*$C$2,2))</f>
        <v>0</v>
      </c>
      <c r="F447" s="675">
        <f ca="1">ROUND($A447*$E447,2)</f>
        <v>0</v>
      </c>
      <c r="G447" s="676" t="s">
        <v>142</v>
      </c>
      <c r="H447" s="664"/>
      <c r="I447" s="677"/>
      <c r="J447" s="664"/>
      <c r="K447" s="664" t="s">
        <v>3</v>
      </c>
      <c r="L447" s="678" t="s">
        <v>143</v>
      </c>
      <c r="M447" s="678"/>
      <c r="N447" s="678"/>
      <c r="O447" s="678"/>
      <c r="P447" s="678"/>
      <c r="Q447" s="63"/>
      <c r="T447" s="679" t="str">
        <f ca="1">IF(AND($R452=0,$T452=0),"0.00","mu :" &amp; ROUND($F447/$C$2/($R452+$T452*$D$9),2))</f>
        <v>0.00</v>
      </c>
      <c r="W447" s="604"/>
      <c r="AG447" s="549">
        <f ca="1">IF($E447=0,0,ROUND($R452*$S$2*$C$2/$A447,2))</f>
        <v>0</v>
      </c>
      <c r="AH447" s="549">
        <f ca="1">$AG447*$A447</f>
        <v>0</v>
      </c>
      <c r="AI447" s="605">
        <f ca="1">$E447-$AG447</f>
        <v>0</v>
      </c>
      <c r="AJ447" s="605">
        <f ca="1">$A447*$AI447</f>
        <v>0</v>
      </c>
      <c r="AK447" s="606">
        <f ca="1">ROUND(($AG447+$AI447)*$A447,2)</f>
        <v>0</v>
      </c>
      <c r="AM447" s="607">
        <f ca="1">ROUND(R452,2)</f>
        <v>0</v>
      </c>
      <c r="AN447" s="608">
        <f ca="1">ROUND(T452,2)</f>
        <v>0</v>
      </c>
      <c r="AO447" s="609">
        <f ca="1">ROUND(AM447+AN447,2)*A447</f>
        <v>0</v>
      </c>
    </row>
    <row r="448" spans="1:41" s="602" customFormat="1" ht="39.9" customHeight="1">
      <c r="A448" s="672"/>
      <c r="B448"/>
      <c r="C448" s="672"/>
      <c r="D448" s="1368" t="s">
        <v>671</v>
      </c>
      <c r="E448" s="1369"/>
      <c r="F448" s="1369"/>
      <c r="G448" s="1369"/>
      <c r="H448" s="1369"/>
      <c r="I448" s="1369"/>
      <c r="J448" s="1369"/>
      <c r="K448" s="1369"/>
      <c r="L448" s="1369"/>
      <c r="M448" s="1369"/>
      <c r="N448" s="1369"/>
      <c r="O448" s="1369"/>
      <c r="P448" s="1369"/>
      <c r="Q448" s="1369"/>
      <c r="R448" s="1369"/>
      <c r="S448" s="1369"/>
      <c r="T448" s="1369"/>
    </row>
    <row r="449" spans="1:41" s="713" customFormat="1" ht="13.2">
      <c r="A449"/>
      <c r="B449" s="807"/>
      <c r="C449" s="807" t="s">
        <v>692</v>
      </c>
      <c r="D449" s="807" t="str">
        <f ca="1">CELL("Address",Elec_Rates!D$199)</f>
        <v>[E25_0477_IH_Retro_Elec_Est_Rev_A_AW.xlsx]Elec_Rates!$D$199</v>
      </c>
      <c r="E449" s="808"/>
      <c r="F449" s="808"/>
      <c r="G449" s="809" t="s">
        <v>693</v>
      </c>
      <c r="H449" s="809"/>
      <c r="I449" s="809"/>
      <c r="J449" s="809"/>
      <c r="K449" s="810"/>
      <c r="L449" s="808"/>
      <c r="M449" s="808"/>
      <c r="N449" s="808"/>
      <c r="O449" s="811"/>
      <c r="P449" s="808"/>
      <c r="Q449" s="812"/>
      <c r="R449" s="813"/>
      <c r="S449" s="812"/>
      <c r="T449" s="814"/>
      <c r="U449" s="815"/>
    </row>
    <row r="450" spans="1:41" s="713" customFormat="1" ht="11.4">
      <c r="A450" s="816">
        <v>17</v>
      </c>
      <c r="B450" s="817">
        <v>1</v>
      </c>
      <c r="C450" s="817">
        <f>$A450*$B450</f>
        <v>17</v>
      </c>
      <c r="D450" s="818" t="str">
        <f>Elec_Rates!$D$199</f>
        <v>007# 5core x 70sqmm FG16(0)M16 cable</v>
      </c>
      <c r="E450" s="818"/>
      <c r="F450" s="818" t="s">
        <v>694</v>
      </c>
      <c r="G450" s="819" t="s">
        <v>695</v>
      </c>
      <c r="H450" s="819"/>
      <c r="I450" s="819"/>
      <c r="J450" s="819"/>
      <c r="K450" s="820"/>
      <c r="L450" s="815"/>
      <c r="M450" s="815"/>
      <c r="N450" s="815"/>
      <c r="O450" s="821"/>
      <c r="P450" s="818"/>
      <c r="Q450" s="822">
        <f ca="1">$B450*Elec_Rates!$R$199</f>
        <v>0</v>
      </c>
      <c r="R450" s="813">
        <f ca="1">$A450*Q450</f>
        <v>0</v>
      </c>
      <c r="S450" s="822">
        <f ca="1">$B450*Elec_Rates!$T$199</f>
        <v>0</v>
      </c>
      <c r="T450" s="814">
        <f ca="1">$A450*S450</f>
        <v>0</v>
      </c>
      <c r="U450" s="583"/>
    </row>
    <row r="451" spans="1:41" s="602" customFormat="1" ht="12">
      <c r="A451" s="663"/>
      <c r="B451" s="663"/>
      <c r="C451" s="663"/>
      <c r="D451" s="663"/>
      <c r="E451" s="663"/>
      <c r="F451" s="664"/>
      <c r="G451" s="663"/>
      <c r="H451" s="663"/>
      <c r="I451" s="601"/>
      <c r="J451" s="663"/>
      <c r="K451" s="663"/>
      <c r="L451" s="663"/>
      <c r="M451" s="663"/>
      <c r="N451" s="663"/>
      <c r="O451" s="663"/>
      <c r="P451" s="663"/>
      <c r="Q451" s="601"/>
      <c r="R451" s="666">
        <f>$A451*Q451</f>
        <v>0</v>
      </c>
      <c r="S451" s="601"/>
      <c r="T451" s="681">
        <f>$A451*S451*$T$1</f>
        <v>0</v>
      </c>
    </row>
    <row r="452" spans="1:41" s="602" customFormat="1" ht="12.6" thickBot="1">
      <c r="A452" s="682" t="s">
        <v>145</v>
      </c>
      <c r="B452" s="683">
        <f>(R451+T451)</f>
        <v>0</v>
      </c>
      <c r="C452" s="684"/>
      <c r="D452" s="684"/>
      <c r="E452" s="684"/>
      <c r="F452" s="685"/>
      <c r="G452" s="684" t="s">
        <v>146</v>
      </c>
      <c r="H452" s="684"/>
      <c r="I452" s="686"/>
      <c r="J452" s="684"/>
      <c r="K452" s="684" t="s">
        <v>3</v>
      </c>
      <c r="L452" s="687" t="s">
        <v>143</v>
      </c>
      <c r="M452" s="687"/>
      <c r="N452" s="687"/>
      <c r="O452" s="687"/>
      <c r="P452" s="687"/>
      <c r="Q452" s="688"/>
      <c r="R452" s="689">
        <f ca="1">SUM(R448:R451)</f>
        <v>0</v>
      </c>
      <c r="S452" s="684"/>
      <c r="T452" s="689">
        <f ca="1">SUM(T448:T451)</f>
        <v>0</v>
      </c>
      <c r="U452" s="611"/>
      <c r="V452" s="611"/>
      <c r="W452" s="611"/>
      <c r="X452" s="611"/>
      <c r="Y452" s="611"/>
      <c r="Z452" s="611"/>
      <c r="AA452" s="611"/>
      <c r="AB452" s="611"/>
      <c r="AC452" s="611"/>
      <c r="AD452" s="611"/>
      <c r="AE452" s="611"/>
      <c r="AF452" s="611"/>
      <c r="AG452" s="611"/>
      <c r="AH452" s="611"/>
      <c r="AI452" s="611"/>
      <c r="AJ452" s="611"/>
      <c r="AK452" s="611"/>
      <c r="AL452" s="611"/>
      <c r="AM452" s="611"/>
      <c r="AN452" s="611"/>
      <c r="AO452" s="611"/>
    </row>
    <row r="453" spans="1:41" s="602" customFormat="1" ht="12" thickTop="1">
      <c r="A453" s="63"/>
      <c r="B453" s="41"/>
      <c r="C453" s="63"/>
      <c r="E453" s="42" t="s">
        <v>138</v>
      </c>
      <c r="F453" s="42" t="s">
        <v>139</v>
      </c>
      <c r="G453" s="63"/>
      <c r="H453" s="63"/>
      <c r="I453" s="63"/>
      <c r="J453" s="63"/>
      <c r="K453" s="63" t="s">
        <v>140</v>
      </c>
      <c r="L453" s="63"/>
      <c r="M453" s="63"/>
      <c r="N453" s="63"/>
      <c r="O453" s="64"/>
      <c r="P453" s="63"/>
      <c r="Q453" s="63"/>
      <c r="R453" s="63"/>
      <c r="S453" s="63"/>
      <c r="T453" s="41"/>
      <c r="AG453" s="667" t="s">
        <v>278</v>
      </c>
      <c r="AH453" s="667" t="s">
        <v>279</v>
      </c>
      <c r="AI453" s="667" t="s">
        <v>280</v>
      </c>
      <c r="AJ453" s="667" t="s">
        <v>281</v>
      </c>
      <c r="AK453" s="667" t="s">
        <v>282</v>
      </c>
      <c r="AM453" s="668" t="s">
        <v>291</v>
      </c>
      <c r="AN453" s="669" t="s">
        <v>292</v>
      </c>
      <c r="AO453" s="603" t="s">
        <v>288</v>
      </c>
    </row>
    <row r="454" spans="1:41" s="602" customFormat="1" ht="12" customHeight="1">
      <c r="A454" s="670">
        <v>16</v>
      </c>
      <c r="B454" s="671" t="s">
        <v>330</v>
      </c>
      <c r="C454" s="672"/>
      <c r="D454" s="673" t="s">
        <v>484</v>
      </c>
      <c r="E454" s="674">
        <f ca="1">IF(AND($A454=0,$A$1="DIF"),0, ROUND(ROUND(($R459*$S$2+($T459*$T$2))/A454,2)*$C$2,2))</f>
        <v>0</v>
      </c>
      <c r="F454" s="675">
        <f ca="1">ROUND($A454*$E454,2)</f>
        <v>0</v>
      </c>
      <c r="G454" s="676" t="s">
        <v>142</v>
      </c>
      <c r="H454" s="664"/>
      <c r="I454" s="677"/>
      <c r="J454" s="664"/>
      <c r="K454" s="664" t="s">
        <v>3</v>
      </c>
      <c r="L454" s="678" t="s">
        <v>143</v>
      </c>
      <c r="M454" s="678"/>
      <c r="N454" s="678"/>
      <c r="O454" s="678"/>
      <c r="P454" s="678"/>
      <c r="Q454" s="63"/>
      <c r="T454" s="679" t="str">
        <f ca="1">IF(AND($R459=0,$T459=0),"0.00","mu :" &amp; ROUND($F454/$C$2/($R459+$T459*$D$9),2))</f>
        <v>0.00</v>
      </c>
      <c r="W454" s="604"/>
      <c r="AG454" s="549">
        <f ca="1">IF($E454=0,0,ROUND($R459*$S$2*$C$2/$A454,2))</f>
        <v>0</v>
      </c>
      <c r="AH454" s="549">
        <f ca="1">$AG454*$A454</f>
        <v>0</v>
      </c>
      <c r="AI454" s="605">
        <f ca="1">$E454-$AG454</f>
        <v>0</v>
      </c>
      <c r="AJ454" s="605">
        <f ca="1">$A454*$AI454</f>
        <v>0</v>
      </c>
      <c r="AK454" s="606">
        <f ca="1">ROUND(($AG454+$AI454)*$A454,2)</f>
        <v>0</v>
      </c>
      <c r="AM454" s="607">
        <f ca="1">ROUND(R459,2)</f>
        <v>0</v>
      </c>
      <c r="AN454" s="608">
        <f ca="1">ROUND(T459,2)</f>
        <v>0</v>
      </c>
      <c r="AO454" s="609">
        <f ca="1">ROUND(AM454+AN454,2)*A454</f>
        <v>0</v>
      </c>
    </row>
    <row r="455" spans="1:41" s="602" customFormat="1" ht="39.9" customHeight="1">
      <c r="A455" s="672"/>
      <c r="B455"/>
      <c r="C455" s="672"/>
      <c r="D455" s="1368" t="s">
        <v>670</v>
      </c>
      <c r="E455" s="1369"/>
      <c r="F455" s="1369"/>
      <c r="G455" s="1369"/>
      <c r="H455" s="1369"/>
      <c r="I455" s="1369"/>
      <c r="J455" s="1369"/>
      <c r="K455" s="1369"/>
      <c r="L455" s="1369"/>
      <c r="M455" s="1369"/>
      <c r="N455" s="1369"/>
      <c r="O455" s="1369"/>
      <c r="P455" s="1369"/>
      <c r="Q455" s="1369"/>
      <c r="R455" s="1369"/>
      <c r="S455" s="1369"/>
      <c r="T455" s="1369"/>
    </row>
    <row r="456" spans="1:41" s="713" customFormat="1" ht="13.2">
      <c r="A456"/>
      <c r="B456" s="807"/>
      <c r="C456" s="807" t="s">
        <v>692</v>
      </c>
      <c r="D456" s="807" t="str">
        <f ca="1">CELL("Address",Elec_Rates!D$199)</f>
        <v>[E25_0477_IH_Retro_Elec_Est_Rev_A_AW.xlsx]Elec_Rates!$D$199</v>
      </c>
      <c r="E456" s="808"/>
      <c r="F456" s="808"/>
      <c r="G456" s="809" t="s">
        <v>693</v>
      </c>
      <c r="H456" s="809"/>
      <c r="I456" s="809"/>
      <c r="J456" s="809"/>
      <c r="K456" s="810"/>
      <c r="L456" s="808"/>
      <c r="M456" s="808"/>
      <c r="N456" s="808"/>
      <c r="O456" s="811"/>
      <c r="P456" s="808"/>
      <c r="Q456" s="812"/>
      <c r="R456" s="813"/>
      <c r="S456" s="812"/>
      <c r="T456" s="814"/>
      <c r="U456" s="815"/>
    </row>
    <row r="457" spans="1:41" s="713" customFormat="1" ht="11.4">
      <c r="A457" s="816">
        <v>16</v>
      </c>
      <c r="B457" s="817">
        <v>1</v>
      </c>
      <c r="C457" s="817">
        <f>$A457*$B457</f>
        <v>16</v>
      </c>
      <c r="D457" s="818" t="str">
        <f>Elec_Rates!$D$199</f>
        <v>007# 5core x 70sqmm FG16(0)M16 cable</v>
      </c>
      <c r="E457" s="818"/>
      <c r="F457" s="818" t="s">
        <v>694</v>
      </c>
      <c r="G457" s="819" t="s">
        <v>695</v>
      </c>
      <c r="H457" s="819"/>
      <c r="I457" s="819"/>
      <c r="J457" s="819"/>
      <c r="K457" s="820"/>
      <c r="L457" s="815"/>
      <c r="M457" s="815"/>
      <c r="N457" s="815"/>
      <c r="O457" s="821"/>
      <c r="P457" s="818"/>
      <c r="Q457" s="822">
        <f ca="1">$B457*Elec_Rates!$R$199</f>
        <v>0</v>
      </c>
      <c r="R457" s="813">
        <f ca="1">$A457*Q457</f>
        <v>0</v>
      </c>
      <c r="S457" s="822">
        <f ca="1">$B457*Elec_Rates!$T$199</f>
        <v>0</v>
      </c>
      <c r="T457" s="814">
        <f ca="1">$A457*S457</f>
        <v>0</v>
      </c>
      <c r="U457" s="583"/>
    </row>
    <row r="458" spans="1:41" s="602" customFormat="1" ht="12">
      <c r="A458" s="663"/>
      <c r="B458" s="663"/>
      <c r="C458" s="663"/>
      <c r="D458" s="663"/>
      <c r="E458" s="663"/>
      <c r="F458" s="664"/>
      <c r="G458" s="663"/>
      <c r="H458" s="663"/>
      <c r="I458" s="601"/>
      <c r="J458" s="663"/>
      <c r="K458" s="663"/>
      <c r="L458" s="663"/>
      <c r="M458" s="663"/>
      <c r="N458" s="663"/>
      <c r="O458" s="663"/>
      <c r="P458" s="663"/>
      <c r="Q458" s="601"/>
      <c r="R458" s="666">
        <f>$A458*Q458</f>
        <v>0</v>
      </c>
      <c r="S458" s="601"/>
      <c r="T458" s="681">
        <f>$A458*S458*$T$1</f>
        <v>0</v>
      </c>
    </row>
    <row r="459" spans="1:41" s="602" customFormat="1" ht="12.6" thickBot="1">
      <c r="A459" s="682" t="s">
        <v>145</v>
      </c>
      <c r="B459" s="683">
        <f>(R458+T458)</f>
        <v>0</v>
      </c>
      <c r="C459" s="684"/>
      <c r="D459" s="684"/>
      <c r="E459" s="684"/>
      <c r="F459" s="685"/>
      <c r="G459" s="684" t="s">
        <v>146</v>
      </c>
      <c r="H459" s="684"/>
      <c r="I459" s="686"/>
      <c r="J459" s="684"/>
      <c r="K459" s="684" t="s">
        <v>3</v>
      </c>
      <c r="L459" s="687" t="s">
        <v>143</v>
      </c>
      <c r="M459" s="687"/>
      <c r="N459" s="687"/>
      <c r="O459" s="687"/>
      <c r="P459" s="687"/>
      <c r="Q459" s="688"/>
      <c r="R459" s="689">
        <f ca="1">SUM(R455:R458)</f>
        <v>0</v>
      </c>
      <c r="S459" s="684"/>
      <c r="T459" s="689">
        <f ca="1">SUM(T455:T458)</f>
        <v>0</v>
      </c>
      <c r="U459" s="611"/>
      <c r="V459" s="611"/>
      <c r="W459" s="611"/>
      <c r="X459" s="611"/>
      <c r="Y459" s="611"/>
      <c r="Z459" s="611"/>
      <c r="AA459" s="611"/>
      <c r="AB459" s="611"/>
      <c r="AC459" s="611"/>
      <c r="AD459" s="611"/>
      <c r="AE459" s="611"/>
      <c r="AF459" s="611"/>
      <c r="AG459" s="611"/>
      <c r="AH459" s="611"/>
      <c r="AI459" s="611"/>
      <c r="AJ459" s="611"/>
      <c r="AK459" s="611"/>
      <c r="AL459" s="611"/>
      <c r="AM459" s="611"/>
      <c r="AN459" s="611"/>
      <c r="AO459" s="611"/>
    </row>
    <row r="460" spans="1:41" s="602" customFormat="1" ht="12" thickTop="1">
      <c r="A460" s="63"/>
      <c r="B460" s="41"/>
      <c r="C460" s="63"/>
      <c r="E460" s="42" t="s">
        <v>138</v>
      </c>
      <c r="F460" s="42" t="s">
        <v>139</v>
      </c>
      <c r="G460" s="63"/>
      <c r="H460" s="63"/>
      <c r="I460" s="63"/>
      <c r="J460" s="63"/>
      <c r="K460" s="63" t="s">
        <v>140</v>
      </c>
      <c r="L460" s="63"/>
      <c r="M460" s="63"/>
      <c r="N460" s="63"/>
      <c r="O460" s="64"/>
      <c r="P460" s="63"/>
      <c r="Q460" s="63"/>
      <c r="R460" s="63"/>
      <c r="S460" s="63"/>
      <c r="T460" s="41"/>
      <c r="AG460" s="667" t="s">
        <v>278</v>
      </c>
      <c r="AH460" s="667" t="s">
        <v>279</v>
      </c>
      <c r="AI460" s="667" t="s">
        <v>280</v>
      </c>
      <c r="AJ460" s="667" t="s">
        <v>281</v>
      </c>
      <c r="AK460" s="667" t="s">
        <v>282</v>
      </c>
      <c r="AM460" s="668" t="s">
        <v>291</v>
      </c>
      <c r="AN460" s="669" t="s">
        <v>292</v>
      </c>
      <c r="AO460" s="603" t="s">
        <v>288</v>
      </c>
    </row>
    <row r="461" spans="1:41" s="602" customFormat="1" ht="12" customHeight="1">
      <c r="A461" s="670">
        <v>18</v>
      </c>
      <c r="B461" s="671" t="s">
        <v>330</v>
      </c>
      <c r="C461" s="672"/>
      <c r="D461" s="673" t="s">
        <v>485</v>
      </c>
      <c r="E461" s="674">
        <f ca="1">IF(AND($A461=0,$A$1="DIF"),0, ROUND(ROUND(($R466*$S$2+($T466*$T$2))/A461,2)*$C$2,2))</f>
        <v>0</v>
      </c>
      <c r="F461" s="675">
        <f ca="1">ROUND($A461*$E461,2)</f>
        <v>0</v>
      </c>
      <c r="G461" s="676" t="s">
        <v>142</v>
      </c>
      <c r="H461" s="664"/>
      <c r="I461" s="677"/>
      <c r="J461" s="664"/>
      <c r="K461" s="664" t="s">
        <v>3</v>
      </c>
      <c r="L461" s="678" t="s">
        <v>143</v>
      </c>
      <c r="M461" s="678"/>
      <c r="N461" s="678"/>
      <c r="O461" s="678"/>
      <c r="P461" s="678"/>
      <c r="Q461" s="63"/>
      <c r="T461" s="679" t="str">
        <f ca="1">IF(AND($R466=0,$T466=0),"0.00","mu :" &amp; ROUND($F461/$C$2/($R466+$T466*$D$9),2))</f>
        <v>0.00</v>
      </c>
      <c r="W461" s="604"/>
      <c r="AG461" s="549">
        <f ca="1">IF($E461=0,0,ROUND($R466*$S$2*$C$2/$A461,2))</f>
        <v>0</v>
      </c>
      <c r="AH461" s="549">
        <f ca="1">$AG461*$A461</f>
        <v>0</v>
      </c>
      <c r="AI461" s="605">
        <f ca="1">$E461-$AG461</f>
        <v>0</v>
      </c>
      <c r="AJ461" s="605">
        <f ca="1">$A461*$AI461</f>
        <v>0</v>
      </c>
      <c r="AK461" s="606">
        <f ca="1">ROUND(($AG461+$AI461)*$A461,2)</f>
        <v>0</v>
      </c>
      <c r="AM461" s="607">
        <f ca="1">ROUND(R466,2)</f>
        <v>0</v>
      </c>
      <c r="AN461" s="608">
        <f ca="1">ROUND(T466,2)</f>
        <v>0</v>
      </c>
      <c r="AO461" s="609">
        <f ca="1">ROUND(AM461+AN461,2)*A461</f>
        <v>0</v>
      </c>
    </row>
    <row r="462" spans="1:41" s="602" customFormat="1" ht="39.9" customHeight="1">
      <c r="A462" s="672"/>
      <c r="B462"/>
      <c r="C462" s="672"/>
      <c r="D462" s="1368" t="s">
        <v>669</v>
      </c>
      <c r="E462" s="1369"/>
      <c r="F462" s="1369"/>
      <c r="G462" s="1369"/>
      <c r="H462" s="1369"/>
      <c r="I462" s="1369"/>
      <c r="J462" s="1369"/>
      <c r="K462" s="1369"/>
      <c r="L462" s="1369"/>
      <c r="M462" s="1369"/>
      <c r="N462" s="1369"/>
      <c r="O462" s="1369"/>
      <c r="P462" s="1369"/>
      <c r="Q462" s="1369"/>
      <c r="R462" s="1369"/>
      <c r="S462" s="1369"/>
      <c r="T462" s="1369"/>
    </row>
    <row r="463" spans="1:41" s="713" customFormat="1" ht="13.2">
      <c r="A463"/>
      <c r="B463" s="807"/>
      <c r="C463" s="807" t="s">
        <v>692</v>
      </c>
      <c r="D463" s="807" t="str">
        <f ca="1">CELL("Address",Elec_Rates!D$199)</f>
        <v>[E25_0477_IH_Retro_Elec_Est_Rev_A_AW.xlsx]Elec_Rates!$D$199</v>
      </c>
      <c r="E463" s="808"/>
      <c r="F463" s="808"/>
      <c r="G463" s="809" t="s">
        <v>693</v>
      </c>
      <c r="H463" s="809"/>
      <c r="I463" s="809"/>
      <c r="J463" s="809"/>
      <c r="K463" s="810"/>
      <c r="L463" s="808"/>
      <c r="M463" s="808"/>
      <c r="N463" s="808"/>
      <c r="O463" s="811"/>
      <c r="P463" s="808"/>
      <c r="Q463" s="812"/>
      <c r="R463" s="813"/>
      <c r="S463" s="812"/>
      <c r="T463" s="814"/>
      <c r="U463" s="815"/>
    </row>
    <row r="464" spans="1:41" s="713" customFormat="1" ht="11.4">
      <c r="A464" s="816">
        <v>18</v>
      </c>
      <c r="B464" s="817">
        <v>1</v>
      </c>
      <c r="C464" s="817">
        <f>$A464*$B464</f>
        <v>18</v>
      </c>
      <c r="D464" s="818" t="str">
        <f>Elec_Rates!$D$199</f>
        <v>007# 5core x 70sqmm FG16(0)M16 cable</v>
      </c>
      <c r="E464" s="818"/>
      <c r="F464" s="818" t="s">
        <v>694</v>
      </c>
      <c r="G464" s="819" t="s">
        <v>695</v>
      </c>
      <c r="H464" s="819"/>
      <c r="I464" s="819"/>
      <c r="J464" s="819"/>
      <c r="K464" s="820"/>
      <c r="L464" s="815"/>
      <c r="M464" s="815"/>
      <c r="N464" s="815"/>
      <c r="O464" s="821"/>
      <c r="P464" s="818"/>
      <c r="Q464" s="822">
        <f ca="1">$B464*Elec_Rates!$R$199</f>
        <v>0</v>
      </c>
      <c r="R464" s="813">
        <f ca="1">$A464*Q464</f>
        <v>0</v>
      </c>
      <c r="S464" s="822">
        <f ca="1">$B464*Elec_Rates!$T$199</f>
        <v>0</v>
      </c>
      <c r="T464" s="814">
        <f ca="1">$A464*S464</f>
        <v>0</v>
      </c>
      <c r="U464" s="583"/>
    </row>
    <row r="465" spans="1:41" s="602" customFormat="1" ht="12">
      <c r="A465" s="663"/>
      <c r="B465" s="663"/>
      <c r="C465" s="663"/>
      <c r="D465" s="663"/>
      <c r="E465" s="663"/>
      <c r="F465" s="664"/>
      <c r="G465" s="663"/>
      <c r="H465" s="663"/>
      <c r="I465" s="601"/>
      <c r="J465" s="663"/>
      <c r="K465" s="663"/>
      <c r="L465" s="663"/>
      <c r="M465" s="663"/>
      <c r="N465" s="663"/>
      <c r="O465" s="663"/>
      <c r="P465" s="663"/>
      <c r="Q465" s="601"/>
      <c r="R465" s="666">
        <f>$A465*Q465</f>
        <v>0</v>
      </c>
      <c r="S465" s="601"/>
      <c r="T465" s="681">
        <f>$A465*S465*$T$1</f>
        <v>0</v>
      </c>
    </row>
    <row r="466" spans="1:41" s="602" customFormat="1" ht="12.6" thickBot="1">
      <c r="A466" s="682" t="s">
        <v>145</v>
      </c>
      <c r="B466" s="683">
        <f>(R465+T465)</f>
        <v>0</v>
      </c>
      <c r="C466" s="684"/>
      <c r="D466" s="684"/>
      <c r="E466" s="684"/>
      <c r="F466" s="685"/>
      <c r="G466" s="684" t="s">
        <v>146</v>
      </c>
      <c r="H466" s="684"/>
      <c r="I466" s="686"/>
      <c r="J466" s="684"/>
      <c r="K466" s="684" t="s">
        <v>3</v>
      </c>
      <c r="L466" s="687" t="s">
        <v>143</v>
      </c>
      <c r="M466" s="687"/>
      <c r="N466" s="687"/>
      <c r="O466" s="687"/>
      <c r="P466" s="687"/>
      <c r="Q466" s="688"/>
      <c r="R466" s="689">
        <f ca="1">SUM(R462:R465)</f>
        <v>0</v>
      </c>
      <c r="S466" s="684"/>
      <c r="T466" s="689">
        <f ca="1">SUM(T462:T465)</f>
        <v>0</v>
      </c>
      <c r="U466" s="611"/>
      <c r="V466" s="611"/>
      <c r="W466" s="611"/>
      <c r="X466" s="611"/>
      <c r="Y466" s="611"/>
      <c r="Z466" s="611"/>
      <c r="AA466" s="611"/>
      <c r="AB466" s="611"/>
      <c r="AC466" s="611"/>
      <c r="AD466" s="611"/>
      <c r="AE466" s="611"/>
      <c r="AF466" s="611"/>
      <c r="AG466" s="611"/>
      <c r="AH466" s="611"/>
      <c r="AI466" s="611"/>
      <c r="AJ466" s="611"/>
      <c r="AK466" s="611"/>
      <c r="AL466" s="611"/>
      <c r="AM466" s="611"/>
      <c r="AN466" s="611"/>
      <c r="AO466" s="611"/>
    </row>
    <row r="467" spans="1:41" s="602" customFormat="1" ht="12" thickTop="1">
      <c r="A467" s="63"/>
      <c r="B467" s="41"/>
      <c r="C467" s="63"/>
      <c r="E467" s="42" t="s">
        <v>138</v>
      </c>
      <c r="F467" s="42" t="s">
        <v>139</v>
      </c>
      <c r="G467" s="63"/>
      <c r="H467" s="63"/>
      <c r="I467" s="63"/>
      <c r="J467" s="63"/>
      <c r="K467" s="63" t="s">
        <v>140</v>
      </c>
      <c r="L467" s="63"/>
      <c r="M467" s="63"/>
      <c r="N467" s="63"/>
      <c r="O467" s="64"/>
      <c r="P467" s="63"/>
      <c r="Q467" s="63"/>
      <c r="R467" s="63"/>
      <c r="S467" s="63"/>
      <c r="T467" s="41"/>
      <c r="AG467" s="667" t="s">
        <v>278</v>
      </c>
      <c r="AH467" s="667" t="s">
        <v>279</v>
      </c>
      <c r="AI467" s="667" t="s">
        <v>280</v>
      </c>
      <c r="AJ467" s="667" t="s">
        <v>281</v>
      </c>
      <c r="AK467" s="667" t="s">
        <v>282</v>
      </c>
      <c r="AM467" s="668" t="s">
        <v>291</v>
      </c>
      <c r="AN467" s="669" t="s">
        <v>292</v>
      </c>
      <c r="AO467" s="603" t="s">
        <v>288</v>
      </c>
    </row>
    <row r="468" spans="1:41" s="602" customFormat="1" ht="12" customHeight="1">
      <c r="A468" s="670">
        <v>20</v>
      </c>
      <c r="B468" s="671" t="s">
        <v>330</v>
      </c>
      <c r="C468" s="672"/>
      <c r="D468" s="673" t="s">
        <v>486</v>
      </c>
      <c r="E468" s="674">
        <f ca="1">IF(AND($A468=0,$A$1="DIF"),0, ROUND(ROUND(($R473*$S$2+($T473*$T$2))/A468,2)*$C$2,2))</f>
        <v>0</v>
      </c>
      <c r="F468" s="675">
        <f ca="1">ROUND($A468*$E468,2)</f>
        <v>0</v>
      </c>
      <c r="G468" s="676" t="s">
        <v>142</v>
      </c>
      <c r="H468" s="664"/>
      <c r="I468" s="677"/>
      <c r="J468" s="664"/>
      <c r="K468" s="664" t="s">
        <v>3</v>
      </c>
      <c r="L468" s="678" t="s">
        <v>143</v>
      </c>
      <c r="M468" s="678"/>
      <c r="N468" s="678"/>
      <c r="O468" s="678"/>
      <c r="P468" s="678"/>
      <c r="Q468" s="63"/>
      <c r="T468" s="679" t="str">
        <f ca="1">IF(AND($R473=0,$T473=0),"0.00","mu :" &amp; ROUND($F468/$C$2/($R473+$T473*$D$9),2))</f>
        <v>0.00</v>
      </c>
      <c r="W468" s="604"/>
      <c r="AG468" s="549">
        <f ca="1">IF($E468=0,0,ROUND($R473*$S$2*$C$2/$A468,2))</f>
        <v>0</v>
      </c>
      <c r="AH468" s="549">
        <f ca="1">$AG468*$A468</f>
        <v>0</v>
      </c>
      <c r="AI468" s="605">
        <f ca="1">$E468-$AG468</f>
        <v>0</v>
      </c>
      <c r="AJ468" s="605">
        <f ca="1">$A468*$AI468</f>
        <v>0</v>
      </c>
      <c r="AK468" s="606">
        <f ca="1">ROUND(($AG468+$AI468)*$A468,2)</f>
        <v>0</v>
      </c>
      <c r="AM468" s="607">
        <f ca="1">ROUND(R473,2)</f>
        <v>0</v>
      </c>
      <c r="AN468" s="608">
        <f ca="1">ROUND(T473,2)</f>
        <v>0</v>
      </c>
      <c r="AO468" s="609">
        <f ca="1">ROUND(AM468+AN468,2)*A468</f>
        <v>0</v>
      </c>
    </row>
    <row r="469" spans="1:41" s="602" customFormat="1" ht="39.9" customHeight="1">
      <c r="A469" s="672"/>
      <c r="B469"/>
      <c r="C469" s="672"/>
      <c r="D469" s="1368" t="s">
        <v>668</v>
      </c>
      <c r="E469" s="1369"/>
      <c r="F469" s="1369"/>
      <c r="G469" s="1369"/>
      <c r="H469" s="1369"/>
      <c r="I469" s="1369"/>
      <c r="J469" s="1369"/>
      <c r="K469" s="1369"/>
      <c r="L469" s="1369"/>
      <c r="M469" s="1369"/>
      <c r="N469" s="1369"/>
      <c r="O469" s="1369"/>
      <c r="P469" s="1369"/>
      <c r="Q469" s="1369"/>
      <c r="R469" s="1369"/>
      <c r="S469" s="1369"/>
      <c r="T469" s="1369"/>
    </row>
    <row r="470" spans="1:41" s="713" customFormat="1" ht="13.2">
      <c r="A470"/>
      <c r="B470" s="807"/>
      <c r="C470" s="807" t="s">
        <v>692</v>
      </c>
      <c r="D470" s="807" t="str">
        <f ca="1">CELL("Address",Elec_Rates!D$199)</f>
        <v>[E25_0477_IH_Retro_Elec_Est_Rev_A_AW.xlsx]Elec_Rates!$D$199</v>
      </c>
      <c r="E470" s="808"/>
      <c r="F470" s="808"/>
      <c r="G470" s="809" t="s">
        <v>693</v>
      </c>
      <c r="H470" s="809"/>
      <c r="I470" s="809"/>
      <c r="J470" s="809"/>
      <c r="K470" s="810"/>
      <c r="L470" s="808"/>
      <c r="M470" s="808"/>
      <c r="N470" s="808"/>
      <c r="O470" s="811"/>
      <c r="P470" s="808"/>
      <c r="Q470" s="812"/>
      <c r="R470" s="813"/>
      <c r="S470" s="812"/>
      <c r="T470" s="814"/>
      <c r="U470" s="815"/>
    </row>
    <row r="471" spans="1:41" s="713" customFormat="1" ht="11.4">
      <c r="A471" s="816">
        <v>20</v>
      </c>
      <c r="B471" s="817">
        <v>1</v>
      </c>
      <c r="C471" s="817">
        <f>$A471*$B471</f>
        <v>20</v>
      </c>
      <c r="D471" s="818" t="str">
        <f>Elec_Rates!$D$199</f>
        <v>007# 5core x 70sqmm FG16(0)M16 cable</v>
      </c>
      <c r="E471" s="818"/>
      <c r="F471" s="818" t="s">
        <v>694</v>
      </c>
      <c r="G471" s="819" t="s">
        <v>695</v>
      </c>
      <c r="H471" s="819"/>
      <c r="I471" s="819"/>
      <c r="J471" s="819"/>
      <c r="K471" s="820"/>
      <c r="L471" s="815"/>
      <c r="M471" s="815"/>
      <c r="N471" s="815"/>
      <c r="O471" s="821"/>
      <c r="P471" s="818"/>
      <c r="Q471" s="822">
        <f ca="1">$B471*Elec_Rates!$R$199</f>
        <v>0</v>
      </c>
      <c r="R471" s="813">
        <f ca="1">$A471*Q471</f>
        <v>0</v>
      </c>
      <c r="S471" s="822">
        <f ca="1">$B471*Elec_Rates!$T$199</f>
        <v>0</v>
      </c>
      <c r="T471" s="814">
        <f ca="1">$A471*S471</f>
        <v>0</v>
      </c>
      <c r="U471" s="583"/>
    </row>
    <row r="472" spans="1:41" s="602" customFormat="1" ht="12">
      <c r="A472" s="663"/>
      <c r="B472" s="663"/>
      <c r="C472" s="663"/>
      <c r="D472" s="663"/>
      <c r="E472" s="663"/>
      <c r="F472" s="664"/>
      <c r="G472" s="663"/>
      <c r="H472" s="663"/>
      <c r="I472" s="601"/>
      <c r="J472" s="663"/>
      <c r="K472" s="663"/>
      <c r="L472" s="663"/>
      <c r="M472" s="663"/>
      <c r="N472" s="663"/>
      <c r="O472" s="663"/>
      <c r="P472" s="663"/>
      <c r="Q472" s="601"/>
      <c r="R472" s="666">
        <f>$A472*Q472</f>
        <v>0</v>
      </c>
      <c r="S472" s="601"/>
      <c r="T472" s="681">
        <f>$A472*S472*$T$1</f>
        <v>0</v>
      </c>
    </row>
    <row r="473" spans="1:41" s="602" customFormat="1" ht="12.6" thickBot="1">
      <c r="A473" s="682" t="s">
        <v>145</v>
      </c>
      <c r="B473" s="683">
        <f>(R472+T472)</f>
        <v>0</v>
      </c>
      <c r="C473" s="684"/>
      <c r="D473" s="684"/>
      <c r="E473" s="684"/>
      <c r="F473" s="685"/>
      <c r="G473" s="684" t="s">
        <v>146</v>
      </c>
      <c r="H473" s="684"/>
      <c r="I473" s="686"/>
      <c r="J473" s="684"/>
      <c r="K473" s="684" t="s">
        <v>3</v>
      </c>
      <c r="L473" s="687" t="s">
        <v>143</v>
      </c>
      <c r="M473" s="687"/>
      <c r="N473" s="687"/>
      <c r="O473" s="687"/>
      <c r="P473" s="687"/>
      <c r="Q473" s="688"/>
      <c r="R473" s="689">
        <f ca="1">SUM(R469:R472)</f>
        <v>0</v>
      </c>
      <c r="S473" s="684"/>
      <c r="T473" s="689">
        <f ca="1">SUM(T469:T472)</f>
        <v>0</v>
      </c>
      <c r="U473" s="611"/>
      <c r="V473" s="611"/>
      <c r="W473" s="611"/>
      <c r="X473" s="611"/>
      <c r="Y473" s="611"/>
      <c r="Z473" s="611"/>
      <c r="AA473" s="611"/>
      <c r="AB473" s="611"/>
      <c r="AC473" s="611"/>
      <c r="AD473" s="611"/>
      <c r="AE473" s="611"/>
      <c r="AF473" s="611"/>
      <c r="AG473" s="611"/>
      <c r="AH473" s="611"/>
      <c r="AI473" s="611"/>
      <c r="AJ473" s="611"/>
      <c r="AK473" s="611"/>
      <c r="AL473" s="611"/>
      <c r="AM473" s="611"/>
      <c r="AN473" s="611"/>
      <c r="AO473" s="611"/>
    </row>
    <row r="474" spans="1:41" s="602" customFormat="1" ht="12" thickTop="1">
      <c r="A474" s="63"/>
      <c r="B474" s="41"/>
      <c r="C474" s="63"/>
      <c r="E474" s="42" t="s">
        <v>138</v>
      </c>
      <c r="F474" s="42" t="s">
        <v>139</v>
      </c>
      <c r="G474" s="63"/>
      <c r="H474" s="63"/>
      <c r="I474" s="63"/>
      <c r="J474" s="63"/>
      <c r="K474" s="63" t="s">
        <v>140</v>
      </c>
      <c r="L474" s="63"/>
      <c r="M474" s="63"/>
      <c r="N474" s="63"/>
      <c r="O474" s="64"/>
      <c r="P474" s="63"/>
      <c r="Q474" s="63"/>
      <c r="R474" s="63"/>
      <c r="S474" s="63"/>
      <c r="T474" s="41"/>
      <c r="AG474" s="667" t="s">
        <v>278</v>
      </c>
      <c r="AH474" s="667" t="s">
        <v>279</v>
      </c>
      <c r="AI474" s="667" t="s">
        <v>280</v>
      </c>
      <c r="AJ474" s="667" t="s">
        <v>281</v>
      </c>
      <c r="AK474" s="667" t="s">
        <v>282</v>
      </c>
      <c r="AM474" s="668" t="s">
        <v>291</v>
      </c>
      <c r="AN474" s="669" t="s">
        <v>292</v>
      </c>
      <c r="AO474" s="603" t="s">
        <v>288</v>
      </c>
    </row>
    <row r="475" spans="1:41" s="602" customFormat="1" ht="12" customHeight="1">
      <c r="A475" s="670">
        <v>22</v>
      </c>
      <c r="B475" s="671" t="s">
        <v>330</v>
      </c>
      <c r="C475" s="672"/>
      <c r="D475" s="673" t="s">
        <v>487</v>
      </c>
      <c r="E475" s="674">
        <f ca="1">IF(AND($A475=0,$A$1="DIF"),0, ROUND(ROUND(($R480*$S$2+($T480*$T$2))/A475,2)*$C$2,2))</f>
        <v>0</v>
      </c>
      <c r="F475" s="675">
        <f ca="1">ROUND($A475*$E475,2)</f>
        <v>0</v>
      </c>
      <c r="G475" s="676" t="s">
        <v>142</v>
      </c>
      <c r="H475" s="664"/>
      <c r="I475" s="677"/>
      <c r="J475" s="664"/>
      <c r="K475" s="664" t="s">
        <v>3</v>
      </c>
      <c r="L475" s="678" t="s">
        <v>143</v>
      </c>
      <c r="M475" s="678"/>
      <c r="N475" s="678"/>
      <c r="O475" s="678"/>
      <c r="P475" s="678"/>
      <c r="Q475" s="63"/>
      <c r="T475" s="679" t="str">
        <f ca="1">IF(AND($R480=0,$T480=0),"0.00","mu :" &amp; ROUND($F475/$C$2/($R480+$T480*$D$9),2))</f>
        <v>0.00</v>
      </c>
      <c r="W475" s="604"/>
      <c r="AG475" s="549">
        <f ca="1">IF($E475=0,0,ROUND($R480*$S$2*$C$2/$A475,2))</f>
        <v>0</v>
      </c>
      <c r="AH475" s="549">
        <f ca="1">$AG475*$A475</f>
        <v>0</v>
      </c>
      <c r="AI475" s="605">
        <f ca="1">$E475-$AG475</f>
        <v>0</v>
      </c>
      <c r="AJ475" s="605">
        <f ca="1">$A475*$AI475</f>
        <v>0</v>
      </c>
      <c r="AK475" s="606">
        <f ca="1">ROUND(($AG475+$AI475)*$A475,2)</f>
        <v>0</v>
      </c>
      <c r="AM475" s="607">
        <f ca="1">ROUND(R480,2)</f>
        <v>0</v>
      </c>
      <c r="AN475" s="608">
        <f ca="1">ROUND(T480,2)</f>
        <v>0</v>
      </c>
      <c r="AO475" s="609">
        <f ca="1">ROUND(AM475+AN475,2)*A475</f>
        <v>0</v>
      </c>
    </row>
    <row r="476" spans="1:41" s="602" customFormat="1" ht="39.9" customHeight="1">
      <c r="A476" s="672"/>
      <c r="B476"/>
      <c r="C476" s="672"/>
      <c r="D476" s="1368" t="s">
        <v>667</v>
      </c>
      <c r="E476" s="1369"/>
      <c r="F476" s="1369"/>
      <c r="G476" s="1369"/>
      <c r="H476" s="1369"/>
      <c r="I476" s="1369"/>
      <c r="J476" s="1369"/>
      <c r="K476" s="1369"/>
      <c r="L476" s="1369"/>
      <c r="M476" s="1369"/>
      <c r="N476" s="1369"/>
      <c r="O476" s="1369"/>
      <c r="P476" s="1369"/>
      <c r="Q476" s="1369"/>
      <c r="R476" s="1369"/>
      <c r="S476" s="1369"/>
      <c r="T476" s="1369"/>
    </row>
    <row r="477" spans="1:41" s="713" customFormat="1" ht="13.2">
      <c r="A477"/>
      <c r="B477" s="807"/>
      <c r="C477" s="807" t="s">
        <v>692</v>
      </c>
      <c r="D477" s="807" t="str">
        <f ca="1">CELL("Address",Elec_Rates!D$199)</f>
        <v>[E25_0477_IH_Retro_Elec_Est_Rev_A_AW.xlsx]Elec_Rates!$D$199</v>
      </c>
      <c r="E477" s="808"/>
      <c r="F477" s="808"/>
      <c r="G477" s="809" t="s">
        <v>693</v>
      </c>
      <c r="H477" s="809"/>
      <c r="I477" s="809"/>
      <c r="J477" s="809"/>
      <c r="K477" s="810"/>
      <c r="L477" s="808"/>
      <c r="M477" s="808"/>
      <c r="N477" s="808"/>
      <c r="O477" s="811"/>
      <c r="P477" s="808"/>
      <c r="Q477" s="812"/>
      <c r="R477" s="813"/>
      <c r="S477" s="812"/>
      <c r="T477" s="814"/>
      <c r="U477" s="815"/>
    </row>
    <row r="478" spans="1:41" s="713" customFormat="1" ht="11.4">
      <c r="A478" s="816">
        <v>22</v>
      </c>
      <c r="B478" s="817">
        <v>1</v>
      </c>
      <c r="C478" s="817">
        <f>$A478*$B478</f>
        <v>22</v>
      </c>
      <c r="D478" s="818" t="str">
        <f>Elec_Rates!$D$199</f>
        <v>007# 5core x 70sqmm FG16(0)M16 cable</v>
      </c>
      <c r="E478" s="818"/>
      <c r="F478" s="818" t="s">
        <v>694</v>
      </c>
      <c r="G478" s="819" t="s">
        <v>695</v>
      </c>
      <c r="H478" s="819"/>
      <c r="I478" s="819"/>
      <c r="J478" s="819"/>
      <c r="K478" s="820"/>
      <c r="L478" s="815"/>
      <c r="M478" s="815"/>
      <c r="N478" s="815"/>
      <c r="O478" s="821"/>
      <c r="P478" s="818"/>
      <c r="Q478" s="822">
        <f ca="1">$B478*Elec_Rates!$R$199</f>
        <v>0</v>
      </c>
      <c r="R478" s="813">
        <f ca="1">$A478*Q478</f>
        <v>0</v>
      </c>
      <c r="S478" s="822">
        <f ca="1">$B478*Elec_Rates!$T$199</f>
        <v>0</v>
      </c>
      <c r="T478" s="814">
        <f ca="1">$A478*S478</f>
        <v>0</v>
      </c>
      <c r="U478" s="583"/>
    </row>
    <row r="479" spans="1:41" s="602" customFormat="1" ht="12">
      <c r="A479" s="663"/>
      <c r="B479" s="663"/>
      <c r="C479" s="663"/>
      <c r="D479" s="663"/>
      <c r="E479" s="663"/>
      <c r="F479" s="664"/>
      <c r="G479" s="663"/>
      <c r="H479" s="663"/>
      <c r="I479" s="601"/>
      <c r="J479" s="663"/>
      <c r="K479" s="663"/>
      <c r="L479" s="663"/>
      <c r="M479" s="663"/>
      <c r="N479" s="663"/>
      <c r="O479" s="663"/>
      <c r="P479" s="663"/>
      <c r="Q479" s="601"/>
      <c r="R479" s="666">
        <f>$A479*Q479</f>
        <v>0</v>
      </c>
      <c r="S479" s="601"/>
      <c r="T479" s="681">
        <f>$A479*S479*$T$1</f>
        <v>0</v>
      </c>
    </row>
    <row r="480" spans="1:41" s="602" customFormat="1" ht="12.6" thickBot="1">
      <c r="A480" s="682" t="s">
        <v>145</v>
      </c>
      <c r="B480" s="683">
        <f>(R479+T479)</f>
        <v>0</v>
      </c>
      <c r="C480" s="684"/>
      <c r="D480" s="684"/>
      <c r="E480" s="684"/>
      <c r="F480" s="685"/>
      <c r="G480" s="684" t="s">
        <v>146</v>
      </c>
      <c r="H480" s="684"/>
      <c r="I480" s="686"/>
      <c r="J480" s="684"/>
      <c r="K480" s="684" t="s">
        <v>3</v>
      </c>
      <c r="L480" s="687" t="s">
        <v>143</v>
      </c>
      <c r="M480" s="687"/>
      <c r="N480" s="687"/>
      <c r="O480" s="687"/>
      <c r="P480" s="687"/>
      <c r="Q480" s="688"/>
      <c r="R480" s="689">
        <f ca="1">SUM(R476:R479)</f>
        <v>0</v>
      </c>
      <c r="S480" s="684"/>
      <c r="T480" s="689">
        <f ca="1">SUM(T476:T479)</f>
        <v>0</v>
      </c>
      <c r="U480" s="611"/>
      <c r="V480" s="611"/>
      <c r="W480" s="611"/>
      <c r="X480" s="611"/>
      <c r="Y480" s="611"/>
      <c r="Z480" s="611"/>
      <c r="AA480" s="611"/>
      <c r="AB480" s="611"/>
      <c r="AC480" s="611"/>
      <c r="AD480" s="611"/>
      <c r="AE480" s="611"/>
      <c r="AF480" s="611"/>
      <c r="AG480" s="611"/>
      <c r="AH480" s="611"/>
      <c r="AI480" s="611"/>
      <c r="AJ480" s="611"/>
      <c r="AK480" s="611"/>
      <c r="AL480" s="611"/>
      <c r="AM480" s="611"/>
      <c r="AN480" s="611"/>
      <c r="AO480" s="611"/>
    </row>
    <row r="481" spans="1:41" s="602" customFormat="1" ht="12" thickTop="1">
      <c r="A481" s="63"/>
      <c r="B481" s="41"/>
      <c r="C481" s="63"/>
      <c r="E481" s="42" t="s">
        <v>138</v>
      </c>
      <c r="F481" s="42" t="s">
        <v>139</v>
      </c>
      <c r="G481" s="63"/>
      <c r="H481" s="63"/>
      <c r="I481" s="63"/>
      <c r="J481" s="63"/>
      <c r="K481" s="63" t="s">
        <v>140</v>
      </c>
      <c r="L481" s="63"/>
      <c r="M481" s="63"/>
      <c r="N481" s="63"/>
      <c r="O481" s="64"/>
      <c r="P481" s="63"/>
      <c r="Q481" s="63"/>
      <c r="R481" s="63"/>
      <c r="S481" s="63"/>
      <c r="T481" s="41"/>
      <c r="AG481" s="667" t="s">
        <v>278</v>
      </c>
      <c r="AH481" s="667" t="s">
        <v>279</v>
      </c>
      <c r="AI481" s="667" t="s">
        <v>280</v>
      </c>
      <c r="AJ481" s="667" t="s">
        <v>281</v>
      </c>
      <c r="AK481" s="667" t="s">
        <v>282</v>
      </c>
      <c r="AM481" s="668" t="s">
        <v>291</v>
      </c>
      <c r="AN481" s="669" t="s">
        <v>292</v>
      </c>
      <c r="AO481" s="603" t="s">
        <v>288</v>
      </c>
    </row>
    <row r="482" spans="1:41" s="602" customFormat="1" ht="12" customHeight="1">
      <c r="A482" s="670">
        <v>24</v>
      </c>
      <c r="B482" s="671" t="s">
        <v>330</v>
      </c>
      <c r="C482" s="672"/>
      <c r="D482" s="673" t="s">
        <v>488</v>
      </c>
      <c r="E482" s="674">
        <f ca="1">IF(AND($A482=0,$A$1="DIF"),0, ROUND(ROUND(($R487*$S$2+($T487*$T$2))/A482,2)*$C$2,2))</f>
        <v>0</v>
      </c>
      <c r="F482" s="675">
        <f ca="1">ROUND($A482*$E482,2)</f>
        <v>0</v>
      </c>
      <c r="G482" s="676" t="s">
        <v>142</v>
      </c>
      <c r="H482" s="664"/>
      <c r="I482" s="677"/>
      <c r="J482" s="664"/>
      <c r="K482" s="664" t="s">
        <v>3</v>
      </c>
      <c r="L482" s="678" t="s">
        <v>143</v>
      </c>
      <c r="M482" s="678"/>
      <c r="N482" s="678"/>
      <c r="O482" s="678"/>
      <c r="P482" s="678"/>
      <c r="Q482" s="63"/>
      <c r="T482" s="679" t="str">
        <f ca="1">IF(AND($R487=0,$T487=0),"0.00","mu :" &amp; ROUND($F482/$C$2/($R487+$T487*$D$9),2))</f>
        <v>0.00</v>
      </c>
      <c r="W482" s="604"/>
      <c r="AG482" s="549">
        <f ca="1">IF($E482=0,0,ROUND($R487*$S$2*$C$2/$A482,2))</f>
        <v>0</v>
      </c>
      <c r="AH482" s="549">
        <f ca="1">$AG482*$A482</f>
        <v>0</v>
      </c>
      <c r="AI482" s="605">
        <f ca="1">$E482-$AG482</f>
        <v>0</v>
      </c>
      <c r="AJ482" s="605">
        <f ca="1">$A482*$AI482</f>
        <v>0</v>
      </c>
      <c r="AK482" s="606">
        <f ca="1">ROUND(($AG482+$AI482)*$A482,2)</f>
        <v>0</v>
      </c>
      <c r="AM482" s="607">
        <f ca="1">ROUND(R487,2)</f>
        <v>0</v>
      </c>
      <c r="AN482" s="608">
        <f ca="1">ROUND(T487,2)</f>
        <v>0</v>
      </c>
      <c r="AO482" s="609">
        <f ca="1">ROUND(AM482+AN482,2)*A482</f>
        <v>0</v>
      </c>
    </row>
    <row r="483" spans="1:41" s="602" customFormat="1" ht="39.9" customHeight="1">
      <c r="A483" s="672"/>
      <c r="B483"/>
      <c r="C483" s="672"/>
      <c r="D483" s="1368" t="s">
        <v>666</v>
      </c>
      <c r="E483" s="1369"/>
      <c r="F483" s="1369"/>
      <c r="G483" s="1369"/>
      <c r="H483" s="1369"/>
      <c r="I483" s="1369"/>
      <c r="J483" s="1369"/>
      <c r="K483" s="1369"/>
      <c r="L483" s="1369"/>
      <c r="M483" s="1369"/>
      <c r="N483" s="1369"/>
      <c r="O483" s="1369"/>
      <c r="P483" s="1369"/>
      <c r="Q483" s="1369"/>
      <c r="R483" s="1369"/>
      <c r="S483" s="1369"/>
      <c r="T483" s="1369"/>
    </row>
    <row r="484" spans="1:41" s="713" customFormat="1" ht="13.2">
      <c r="A484"/>
      <c r="B484" s="807"/>
      <c r="C484" s="807" t="s">
        <v>692</v>
      </c>
      <c r="D484" s="807" t="str">
        <f ca="1">CELL("Address",Elec_Rates!D$199)</f>
        <v>[E25_0477_IH_Retro_Elec_Est_Rev_A_AW.xlsx]Elec_Rates!$D$199</v>
      </c>
      <c r="E484" s="808"/>
      <c r="F484" s="808"/>
      <c r="G484" s="809" t="s">
        <v>693</v>
      </c>
      <c r="H484" s="809"/>
      <c r="I484" s="809"/>
      <c r="J484" s="809"/>
      <c r="K484" s="810"/>
      <c r="L484" s="808"/>
      <c r="M484" s="808"/>
      <c r="N484" s="808"/>
      <c r="O484" s="811"/>
      <c r="P484" s="808"/>
      <c r="Q484" s="812"/>
      <c r="R484" s="813"/>
      <c r="S484" s="812"/>
      <c r="T484" s="814"/>
      <c r="U484" s="815"/>
    </row>
    <row r="485" spans="1:41" s="713" customFormat="1" ht="11.4">
      <c r="A485" s="816">
        <v>24</v>
      </c>
      <c r="B485" s="817">
        <v>1</v>
      </c>
      <c r="C485" s="817">
        <f>$A485*$B485</f>
        <v>24</v>
      </c>
      <c r="D485" s="818" t="str">
        <f>Elec_Rates!$D$199</f>
        <v>007# 5core x 70sqmm FG16(0)M16 cable</v>
      </c>
      <c r="E485" s="818"/>
      <c r="F485" s="818" t="s">
        <v>694</v>
      </c>
      <c r="G485" s="819" t="s">
        <v>695</v>
      </c>
      <c r="H485" s="819"/>
      <c r="I485" s="819"/>
      <c r="J485" s="819"/>
      <c r="K485" s="820"/>
      <c r="L485" s="815"/>
      <c r="M485" s="815"/>
      <c r="N485" s="815"/>
      <c r="O485" s="821"/>
      <c r="P485" s="818"/>
      <c r="Q485" s="822">
        <f ca="1">$B485*Elec_Rates!$R$199</f>
        <v>0</v>
      </c>
      <c r="R485" s="813">
        <f ca="1">$A485*Q485</f>
        <v>0</v>
      </c>
      <c r="S485" s="822">
        <f ca="1">$B485*Elec_Rates!$T$199</f>
        <v>0</v>
      </c>
      <c r="T485" s="814">
        <f ca="1">$A485*S485</f>
        <v>0</v>
      </c>
      <c r="U485" s="583"/>
    </row>
    <row r="486" spans="1:41" s="602" customFormat="1" ht="12">
      <c r="A486" s="663"/>
      <c r="B486" s="663"/>
      <c r="C486" s="663"/>
      <c r="D486" s="663"/>
      <c r="E486" s="663"/>
      <c r="F486" s="664"/>
      <c r="G486" s="663"/>
      <c r="H486" s="663"/>
      <c r="I486" s="601"/>
      <c r="J486" s="663"/>
      <c r="K486" s="663"/>
      <c r="L486" s="663"/>
      <c r="M486" s="663"/>
      <c r="N486" s="663"/>
      <c r="O486" s="663"/>
      <c r="P486" s="663"/>
      <c r="Q486" s="601"/>
      <c r="R486" s="666">
        <f>$A486*Q486</f>
        <v>0</v>
      </c>
      <c r="S486" s="601"/>
      <c r="T486" s="681">
        <f>$A486*S486*$T$1</f>
        <v>0</v>
      </c>
    </row>
    <row r="487" spans="1:41" s="602" customFormat="1" ht="12.6" thickBot="1">
      <c r="A487" s="682" t="s">
        <v>145</v>
      </c>
      <c r="B487" s="683">
        <f>(R486+T486)</f>
        <v>0</v>
      </c>
      <c r="C487" s="684"/>
      <c r="D487" s="684"/>
      <c r="E487" s="684"/>
      <c r="F487" s="685"/>
      <c r="G487" s="684" t="s">
        <v>146</v>
      </c>
      <c r="H487" s="684"/>
      <c r="I487" s="686"/>
      <c r="J487" s="684"/>
      <c r="K487" s="684" t="s">
        <v>3</v>
      </c>
      <c r="L487" s="687" t="s">
        <v>143</v>
      </c>
      <c r="M487" s="687"/>
      <c r="N487" s="687"/>
      <c r="O487" s="687"/>
      <c r="P487" s="687"/>
      <c r="Q487" s="688"/>
      <c r="R487" s="689">
        <f ca="1">SUM(R483:R486)</f>
        <v>0</v>
      </c>
      <c r="S487" s="684"/>
      <c r="T487" s="689">
        <f ca="1">SUM(T483:T486)</f>
        <v>0</v>
      </c>
      <c r="U487" s="611"/>
      <c r="V487" s="611"/>
      <c r="W487" s="611"/>
      <c r="X487" s="611"/>
      <c r="Y487" s="611"/>
      <c r="Z487" s="611"/>
      <c r="AA487" s="611"/>
      <c r="AB487" s="611"/>
      <c r="AC487" s="611"/>
      <c r="AD487" s="611"/>
      <c r="AE487" s="611"/>
      <c r="AF487" s="611"/>
      <c r="AG487" s="611"/>
      <c r="AH487" s="611"/>
      <c r="AI487" s="611"/>
      <c r="AJ487" s="611"/>
      <c r="AK487" s="611"/>
      <c r="AL487" s="611"/>
      <c r="AM487" s="611"/>
      <c r="AN487" s="611"/>
      <c r="AO487" s="611"/>
    </row>
    <row r="488" spans="1:41" s="602" customFormat="1" ht="12" thickTop="1">
      <c r="A488" s="63"/>
      <c r="B488" s="41"/>
      <c r="C488" s="63"/>
      <c r="E488" s="42" t="s">
        <v>138</v>
      </c>
      <c r="F488" s="42" t="s">
        <v>139</v>
      </c>
      <c r="G488" s="63"/>
      <c r="H488" s="63"/>
      <c r="I488" s="63"/>
      <c r="J488" s="63"/>
      <c r="K488" s="63" t="s">
        <v>140</v>
      </c>
      <c r="L488" s="63"/>
      <c r="M488" s="63"/>
      <c r="N488" s="63"/>
      <c r="O488" s="64"/>
      <c r="P488" s="63"/>
      <c r="Q488" s="63"/>
      <c r="R488" s="63"/>
      <c r="S488" s="63"/>
      <c r="T488" s="41"/>
      <c r="AG488" s="667" t="s">
        <v>278</v>
      </c>
      <c r="AH488" s="667" t="s">
        <v>279</v>
      </c>
      <c r="AI488" s="667" t="s">
        <v>280</v>
      </c>
      <c r="AJ488" s="667" t="s">
        <v>281</v>
      </c>
      <c r="AK488" s="667" t="s">
        <v>282</v>
      </c>
      <c r="AM488" s="668" t="s">
        <v>291</v>
      </c>
      <c r="AN488" s="669" t="s">
        <v>292</v>
      </c>
      <c r="AO488" s="603" t="s">
        <v>288</v>
      </c>
    </row>
    <row r="489" spans="1:41" s="602" customFormat="1" ht="12" customHeight="1">
      <c r="A489" s="670">
        <v>26</v>
      </c>
      <c r="B489" s="671" t="s">
        <v>330</v>
      </c>
      <c r="C489" s="672"/>
      <c r="D489" s="673" t="s">
        <v>489</v>
      </c>
      <c r="E489" s="674">
        <f ca="1">IF(AND($A489=0,$A$1="DIF"),0, ROUND(ROUND(($R494*$S$2+($T494*$T$2))/A489,2)*$C$2,2))</f>
        <v>0</v>
      </c>
      <c r="F489" s="675">
        <f ca="1">ROUND($A489*$E489,2)</f>
        <v>0</v>
      </c>
      <c r="G489" s="676" t="s">
        <v>142</v>
      </c>
      <c r="H489" s="664"/>
      <c r="I489" s="677"/>
      <c r="J489" s="664"/>
      <c r="K489" s="664" t="s">
        <v>3</v>
      </c>
      <c r="L489" s="678" t="s">
        <v>143</v>
      </c>
      <c r="M489" s="678"/>
      <c r="N489" s="678"/>
      <c r="O489" s="678"/>
      <c r="P489" s="678"/>
      <c r="Q489" s="63"/>
      <c r="T489" s="679" t="str">
        <f ca="1">IF(AND($R494=0,$T494=0),"0.00","mu :" &amp; ROUND($F489/$C$2/($R494+$T494*$D$9),2))</f>
        <v>0.00</v>
      </c>
      <c r="W489" s="604"/>
      <c r="AG489" s="549">
        <f ca="1">IF($E489=0,0,ROUND($R494*$S$2*$C$2/$A489,2))</f>
        <v>0</v>
      </c>
      <c r="AH489" s="549">
        <f ca="1">$AG489*$A489</f>
        <v>0</v>
      </c>
      <c r="AI489" s="605">
        <f ca="1">$E489-$AG489</f>
        <v>0</v>
      </c>
      <c r="AJ489" s="605">
        <f ca="1">$A489*$AI489</f>
        <v>0</v>
      </c>
      <c r="AK489" s="606">
        <f ca="1">ROUND(($AG489+$AI489)*$A489,2)</f>
        <v>0</v>
      </c>
      <c r="AM489" s="607">
        <f ca="1">ROUND(R494,2)</f>
        <v>0</v>
      </c>
      <c r="AN489" s="608">
        <f ca="1">ROUND(T494,2)</f>
        <v>0</v>
      </c>
      <c r="AO489" s="609">
        <f ca="1">ROUND(AM489+AN489,2)*A489</f>
        <v>0</v>
      </c>
    </row>
    <row r="490" spans="1:41" s="602" customFormat="1" ht="39.9" customHeight="1">
      <c r="A490" s="672"/>
      <c r="B490"/>
      <c r="C490" s="672"/>
      <c r="D490" s="1368" t="s">
        <v>665</v>
      </c>
      <c r="E490" s="1369"/>
      <c r="F490" s="1369"/>
      <c r="G490" s="1369"/>
      <c r="H490" s="1369"/>
      <c r="I490" s="1369"/>
      <c r="J490" s="1369"/>
      <c r="K490" s="1369"/>
      <c r="L490" s="1369"/>
      <c r="M490" s="1369"/>
      <c r="N490" s="1369"/>
      <c r="O490" s="1369"/>
      <c r="P490" s="1369"/>
      <c r="Q490" s="1369"/>
      <c r="R490" s="1369"/>
      <c r="S490" s="1369"/>
      <c r="T490" s="1369"/>
    </row>
    <row r="491" spans="1:41" s="713" customFormat="1" ht="13.2">
      <c r="A491"/>
      <c r="B491" s="807"/>
      <c r="C491" s="807" t="s">
        <v>692</v>
      </c>
      <c r="D491" s="807" t="str">
        <f ca="1">CELL("Address",Elec_Rates!D$199)</f>
        <v>[E25_0477_IH_Retro_Elec_Est_Rev_A_AW.xlsx]Elec_Rates!$D$199</v>
      </c>
      <c r="E491" s="808"/>
      <c r="F491" s="808"/>
      <c r="G491" s="809" t="s">
        <v>693</v>
      </c>
      <c r="H491" s="809"/>
      <c r="I491" s="809"/>
      <c r="J491" s="809"/>
      <c r="K491" s="810"/>
      <c r="L491" s="808"/>
      <c r="M491" s="808"/>
      <c r="N491" s="808"/>
      <c r="O491" s="811"/>
      <c r="P491" s="808"/>
      <c r="Q491" s="812"/>
      <c r="R491" s="813"/>
      <c r="S491" s="812"/>
      <c r="T491" s="814"/>
      <c r="U491" s="815"/>
    </row>
    <row r="492" spans="1:41" s="713" customFormat="1" ht="11.4">
      <c r="A492" s="816">
        <v>26</v>
      </c>
      <c r="B492" s="817">
        <v>1</v>
      </c>
      <c r="C492" s="817">
        <f>$A492*$B492</f>
        <v>26</v>
      </c>
      <c r="D492" s="818" t="str">
        <f>Elec_Rates!$D$199</f>
        <v>007# 5core x 70sqmm FG16(0)M16 cable</v>
      </c>
      <c r="E492" s="818"/>
      <c r="F492" s="818" t="s">
        <v>694</v>
      </c>
      <c r="G492" s="819" t="s">
        <v>695</v>
      </c>
      <c r="H492" s="819"/>
      <c r="I492" s="819"/>
      <c r="J492" s="819"/>
      <c r="K492" s="820"/>
      <c r="L492" s="815"/>
      <c r="M492" s="815"/>
      <c r="N492" s="815"/>
      <c r="O492" s="821"/>
      <c r="P492" s="818"/>
      <c r="Q492" s="822">
        <f ca="1">$B492*Elec_Rates!$R$199</f>
        <v>0</v>
      </c>
      <c r="R492" s="813">
        <f ca="1">$A492*Q492</f>
        <v>0</v>
      </c>
      <c r="S492" s="822">
        <f ca="1">$B492*Elec_Rates!$T$199</f>
        <v>0</v>
      </c>
      <c r="T492" s="814">
        <f ca="1">$A492*S492</f>
        <v>0</v>
      </c>
      <c r="U492" s="583"/>
    </row>
    <row r="493" spans="1:41" s="602" customFormat="1" ht="12">
      <c r="A493" s="663"/>
      <c r="B493" s="663"/>
      <c r="C493" s="663"/>
      <c r="D493" s="663"/>
      <c r="E493" s="663"/>
      <c r="F493" s="664"/>
      <c r="G493" s="663"/>
      <c r="H493" s="663"/>
      <c r="I493" s="601"/>
      <c r="J493" s="663"/>
      <c r="K493" s="663"/>
      <c r="L493" s="663"/>
      <c r="M493" s="663"/>
      <c r="N493" s="663"/>
      <c r="O493" s="663"/>
      <c r="P493" s="663"/>
      <c r="Q493" s="601"/>
      <c r="R493" s="666">
        <f>$A493*Q493</f>
        <v>0</v>
      </c>
      <c r="S493" s="601"/>
      <c r="T493" s="681">
        <f>$A493*S493*$T$1</f>
        <v>0</v>
      </c>
    </row>
    <row r="494" spans="1:41" s="602" customFormat="1" ht="12.6" thickBot="1">
      <c r="A494" s="682" t="s">
        <v>145</v>
      </c>
      <c r="B494" s="683">
        <f>(R493+T493)</f>
        <v>0</v>
      </c>
      <c r="C494" s="684"/>
      <c r="D494" s="684"/>
      <c r="E494" s="684"/>
      <c r="F494" s="685"/>
      <c r="G494" s="684" t="s">
        <v>146</v>
      </c>
      <c r="H494" s="684"/>
      <c r="I494" s="686"/>
      <c r="J494" s="684"/>
      <c r="K494" s="684" t="s">
        <v>3</v>
      </c>
      <c r="L494" s="687" t="s">
        <v>143</v>
      </c>
      <c r="M494" s="687"/>
      <c r="N494" s="687"/>
      <c r="O494" s="687"/>
      <c r="P494" s="687"/>
      <c r="Q494" s="688"/>
      <c r="R494" s="689">
        <f ca="1">SUM(R490:R493)</f>
        <v>0</v>
      </c>
      <c r="S494" s="684"/>
      <c r="T494" s="689">
        <f ca="1">SUM(T490:T493)</f>
        <v>0</v>
      </c>
      <c r="U494" s="611"/>
      <c r="V494" s="611"/>
      <c r="W494" s="611"/>
      <c r="X494" s="611"/>
      <c r="Y494" s="611"/>
      <c r="Z494" s="611"/>
      <c r="AA494" s="611"/>
      <c r="AB494" s="611"/>
      <c r="AC494" s="611"/>
      <c r="AD494" s="611"/>
      <c r="AE494" s="611"/>
      <c r="AF494" s="611"/>
      <c r="AG494" s="611"/>
      <c r="AH494" s="611"/>
      <c r="AI494" s="611"/>
      <c r="AJ494" s="611"/>
      <c r="AK494" s="611"/>
      <c r="AL494" s="611"/>
      <c r="AM494" s="611"/>
      <c r="AN494" s="611"/>
      <c r="AO494" s="611"/>
    </row>
    <row r="495" spans="1:41" s="602" customFormat="1" ht="12" thickTop="1">
      <c r="A495" s="51" t="s">
        <v>154</v>
      </c>
      <c r="D495" s="13"/>
      <c r="E495" s="42"/>
      <c r="O495" s="698"/>
    </row>
    <row r="496" spans="1:41" s="602" customFormat="1" ht="13.2">
      <c r="B496" s="3"/>
      <c r="O496" s="698"/>
    </row>
    <row r="497" spans="1:41" s="602" customFormat="1" ht="12">
      <c r="B497" s="699">
        <f ca="1">$F497/$C$2-($R497*$S$2+$T497*$T$2)</f>
        <v>0.15003146392677991</v>
      </c>
      <c r="D497" s="700" t="s">
        <v>414</v>
      </c>
      <c r="E497" s="701"/>
      <c r="F497" s="702">
        <f ca="1">SUMIF($L403:$L495,"ITEM",F403:F495)</f>
        <v>1615.59</v>
      </c>
      <c r="G497" s="663"/>
      <c r="H497" s="663"/>
      <c r="I497" s="601"/>
      <c r="J497" s="663"/>
      <c r="K497" s="663"/>
      <c r="L497" s="678" t="s">
        <v>166</v>
      </c>
      <c r="M497" s="678"/>
      <c r="N497" s="678"/>
      <c r="O497" s="678"/>
      <c r="P497" s="678"/>
      <c r="R497" s="702">
        <f ca="1">SUMIF($L403:$L495,"ITEM",R403:R495)</f>
        <v>501.14</v>
      </c>
      <c r="S497" s="71"/>
      <c r="T497" s="702">
        <f ca="1">SUMIF($L403:$L495,"ITEM",T403:T495)</f>
        <v>26.5</v>
      </c>
    </row>
    <row r="498" spans="1:41" s="602" customFormat="1" ht="13.2">
      <c r="A498" s="63"/>
      <c r="B498" s="55" t="s">
        <v>413</v>
      </c>
      <c r="C498" s="63"/>
      <c r="D498" s="3"/>
      <c r="F498" s="703" t="s">
        <v>168</v>
      </c>
      <c r="G498" s="663"/>
      <c r="H498" s="663"/>
      <c r="I498" s="601"/>
      <c r="J498" s="663"/>
      <c r="K498" s="663"/>
      <c r="L498" s="663"/>
      <c r="M498" s="663"/>
      <c r="N498" s="663"/>
      <c r="O498" s="663"/>
      <c r="P498" s="663"/>
      <c r="Q498" s="665"/>
      <c r="R498" s="703" t="s">
        <v>169</v>
      </c>
      <c r="S498" s="38"/>
      <c r="T498" s="703" t="s">
        <v>170</v>
      </c>
    </row>
    <row r="499" spans="1:41" s="602" customFormat="1" ht="13.2">
      <c r="A499" s="663"/>
      <c r="B499" s="3"/>
      <c r="C499" s="663"/>
      <c r="D499" s="3"/>
      <c r="E499" s="3"/>
      <c r="G499" s="3"/>
      <c r="H499" s="3"/>
      <c r="I499" s="3"/>
      <c r="J499" s="3"/>
      <c r="K499" s="3"/>
      <c r="L499" s="3"/>
      <c r="M499" s="3"/>
      <c r="N499" s="3"/>
      <c r="O499" s="158"/>
      <c r="P499" s="3"/>
      <c r="Q499" s="3"/>
      <c r="R499" s="3"/>
      <c r="S499" s="3"/>
      <c r="T499" s="3"/>
    </row>
    <row r="500" spans="1:41" s="602" customFormat="1" ht="12" thickBot="1">
      <c r="A500" s="611"/>
      <c r="B500" s="684"/>
      <c r="C500" s="684"/>
      <c r="D500" s="611"/>
      <c r="E500" s="39"/>
      <c r="F500" s="704"/>
      <c r="G500" s="684"/>
      <c r="H500" s="684"/>
      <c r="I500" s="686"/>
      <c r="J500" s="684"/>
      <c r="K500" s="684"/>
      <c r="L500" s="687"/>
      <c r="M500" s="687"/>
      <c r="N500" s="687"/>
      <c r="O500" s="687"/>
      <c r="P500" s="687"/>
      <c r="Q500" s="688"/>
      <c r="R500" s="704"/>
      <c r="S500" s="705"/>
      <c r="T500" s="704"/>
      <c r="U500" s="611"/>
      <c r="V500" s="611"/>
      <c r="W500" s="611"/>
      <c r="X500" s="611"/>
      <c r="Y500" s="611"/>
      <c r="Z500" s="611"/>
      <c r="AA500" s="611"/>
      <c r="AB500" s="611"/>
      <c r="AC500" s="611"/>
      <c r="AD500" s="611"/>
      <c r="AE500" s="611"/>
      <c r="AF500" s="611"/>
      <c r="AG500" s="611"/>
      <c r="AH500" s="611"/>
      <c r="AI500" s="611"/>
      <c r="AJ500" s="611"/>
      <c r="AK500" s="611"/>
    </row>
    <row r="501" spans="1:41" s="602" customFormat="1" ht="12" thickTop="1">
      <c r="A501" s="63"/>
      <c r="B501" s="41"/>
      <c r="C501" s="63"/>
      <c r="E501" s="42" t="s">
        <v>138</v>
      </c>
      <c r="F501" s="42" t="s">
        <v>139</v>
      </c>
      <c r="G501" s="63"/>
      <c r="H501" s="63"/>
      <c r="I501" s="63"/>
      <c r="J501" s="63"/>
      <c r="K501" s="63" t="s">
        <v>140</v>
      </c>
      <c r="L501" s="63"/>
      <c r="M501" s="63"/>
      <c r="N501" s="63"/>
      <c r="O501" s="64"/>
      <c r="P501" s="63"/>
      <c r="Q501" s="63"/>
      <c r="R501" s="63"/>
      <c r="S501" s="63"/>
      <c r="T501" s="41"/>
      <c r="AG501" s="667" t="s">
        <v>278</v>
      </c>
      <c r="AH501" s="667" t="s">
        <v>279</v>
      </c>
      <c r="AI501" s="667" t="s">
        <v>280</v>
      </c>
      <c r="AJ501" s="667" t="s">
        <v>281</v>
      </c>
      <c r="AK501" s="667" t="s">
        <v>282</v>
      </c>
      <c r="AM501" s="668" t="s">
        <v>291</v>
      </c>
      <c r="AN501" s="669" t="s">
        <v>292</v>
      </c>
      <c r="AO501" s="603" t="s">
        <v>288</v>
      </c>
    </row>
    <row r="502" spans="1:41" s="602" customFormat="1" ht="12" customHeight="1">
      <c r="A502" s="670">
        <v>28</v>
      </c>
      <c r="B502" s="671" t="s">
        <v>330</v>
      </c>
      <c r="C502" s="672"/>
      <c r="D502" s="673" t="s">
        <v>490</v>
      </c>
      <c r="E502" s="674">
        <f ca="1">IF(AND($A502=0,$A$1="DIF"),0, ROUND(ROUND(($R507*$S$2+($T507*$T$2))/A502,2)*$C$2,2))</f>
        <v>0</v>
      </c>
      <c r="F502" s="675">
        <f ca="1">ROUND($A502*$E502,2)</f>
        <v>0</v>
      </c>
      <c r="G502" s="676" t="s">
        <v>142</v>
      </c>
      <c r="H502" s="664"/>
      <c r="I502" s="677"/>
      <c r="J502" s="664"/>
      <c r="K502" s="664" t="s">
        <v>3</v>
      </c>
      <c r="L502" s="678" t="s">
        <v>143</v>
      </c>
      <c r="M502" s="678"/>
      <c r="N502" s="678"/>
      <c r="O502" s="678"/>
      <c r="P502" s="678"/>
      <c r="Q502" s="63"/>
      <c r="T502" s="679" t="str">
        <f ca="1">IF(AND($R507=0,$T507=0),"0.00","mu :" &amp; ROUND($F502/$C$2/($R507+$T507*$D$9),2))</f>
        <v>0.00</v>
      </c>
      <c r="W502" s="604"/>
      <c r="AG502" s="549">
        <f ca="1">IF($E502=0,0,ROUND($R507*$S$2*$C$2/$A502,2))</f>
        <v>0</v>
      </c>
      <c r="AH502" s="549">
        <f ca="1">$AG502*$A502</f>
        <v>0</v>
      </c>
      <c r="AI502" s="605">
        <f ca="1">$E502-$AG502</f>
        <v>0</v>
      </c>
      <c r="AJ502" s="605">
        <f ca="1">$A502*$AI502</f>
        <v>0</v>
      </c>
      <c r="AK502" s="606">
        <f ca="1">ROUND(($AG502+$AI502)*$A502,2)</f>
        <v>0</v>
      </c>
      <c r="AM502" s="607">
        <f ca="1">ROUND(R507,2)</f>
        <v>0</v>
      </c>
      <c r="AN502" s="608">
        <f ca="1">ROUND(T507,2)</f>
        <v>0</v>
      </c>
      <c r="AO502" s="609">
        <f ca="1">ROUND(AM502+AN502,2)*A502</f>
        <v>0</v>
      </c>
    </row>
    <row r="503" spans="1:41" s="602" customFormat="1" ht="39.9" customHeight="1">
      <c r="A503" s="672"/>
      <c r="B503"/>
      <c r="C503" s="672"/>
      <c r="D503" s="1368" t="s">
        <v>664</v>
      </c>
      <c r="E503" s="1369"/>
      <c r="F503" s="1369"/>
      <c r="G503" s="1369"/>
      <c r="H503" s="1369"/>
      <c r="I503" s="1369"/>
      <c r="J503" s="1369"/>
      <c r="K503" s="1369"/>
      <c r="L503" s="1369"/>
      <c r="M503" s="1369"/>
      <c r="N503" s="1369"/>
      <c r="O503" s="1369"/>
      <c r="P503" s="1369"/>
      <c r="Q503" s="1369"/>
      <c r="R503" s="1369"/>
      <c r="S503" s="1369"/>
      <c r="T503" s="1369"/>
    </row>
    <row r="504" spans="1:41" s="713" customFormat="1" ht="13.2">
      <c r="A504"/>
      <c r="B504" s="807"/>
      <c r="C504" s="807" t="s">
        <v>692</v>
      </c>
      <c r="D504" s="807" t="str">
        <f ca="1">CELL("Address",Elec_Rates!D$199)</f>
        <v>[E25_0477_IH_Retro_Elec_Est_Rev_A_AW.xlsx]Elec_Rates!$D$199</v>
      </c>
      <c r="E504" s="808"/>
      <c r="F504" s="808"/>
      <c r="G504" s="809" t="s">
        <v>693</v>
      </c>
      <c r="H504" s="809"/>
      <c r="I504" s="809"/>
      <c r="J504" s="809"/>
      <c r="K504" s="810"/>
      <c r="L504" s="808"/>
      <c r="M504" s="808"/>
      <c r="N504" s="808"/>
      <c r="O504" s="811"/>
      <c r="P504" s="808"/>
      <c r="Q504" s="812"/>
      <c r="R504" s="813"/>
      <c r="S504" s="812"/>
      <c r="T504" s="814"/>
      <c r="U504" s="815"/>
    </row>
    <row r="505" spans="1:41" s="713" customFormat="1" ht="11.4">
      <c r="A505" s="816">
        <v>28</v>
      </c>
      <c r="B505" s="817">
        <v>1</v>
      </c>
      <c r="C505" s="817">
        <f>$A505*$B505</f>
        <v>28</v>
      </c>
      <c r="D505" s="818" t="str">
        <f>Elec_Rates!$D$199</f>
        <v>007# 5core x 70sqmm FG16(0)M16 cable</v>
      </c>
      <c r="E505" s="818"/>
      <c r="F505" s="818" t="s">
        <v>694</v>
      </c>
      <c r="G505" s="819" t="s">
        <v>695</v>
      </c>
      <c r="H505" s="819"/>
      <c r="I505" s="819"/>
      <c r="J505" s="819"/>
      <c r="K505" s="820"/>
      <c r="L505" s="815"/>
      <c r="M505" s="815"/>
      <c r="N505" s="815"/>
      <c r="O505" s="821"/>
      <c r="P505" s="818"/>
      <c r="Q505" s="822">
        <f ca="1">$B505*Elec_Rates!$R$199</f>
        <v>0</v>
      </c>
      <c r="R505" s="813">
        <f ca="1">$A505*Q505</f>
        <v>0</v>
      </c>
      <c r="S505" s="822">
        <f ca="1">$B505*Elec_Rates!$T$199</f>
        <v>0</v>
      </c>
      <c r="T505" s="814">
        <f ca="1">$A505*S505</f>
        <v>0</v>
      </c>
      <c r="U505" s="583"/>
    </row>
    <row r="506" spans="1:41" s="602" customFormat="1" ht="12">
      <c r="A506" s="663"/>
      <c r="B506" s="663"/>
      <c r="C506" s="663"/>
      <c r="D506" s="663"/>
      <c r="E506" s="663"/>
      <c r="F506" s="664"/>
      <c r="G506" s="663"/>
      <c r="H506" s="663"/>
      <c r="I506" s="601"/>
      <c r="J506" s="663"/>
      <c r="K506" s="663"/>
      <c r="L506" s="663"/>
      <c r="M506" s="663"/>
      <c r="N506" s="663"/>
      <c r="O506" s="663"/>
      <c r="P506" s="663"/>
      <c r="Q506" s="601"/>
      <c r="R506" s="666">
        <f>$A506*Q506</f>
        <v>0</v>
      </c>
      <c r="S506" s="601"/>
      <c r="T506" s="681">
        <f>$A506*S506*$T$1</f>
        <v>0</v>
      </c>
    </row>
    <row r="507" spans="1:41" s="602" customFormat="1" ht="12.6" thickBot="1">
      <c r="A507" s="682" t="s">
        <v>145</v>
      </c>
      <c r="B507" s="683">
        <f>(R506+T506)</f>
        <v>0</v>
      </c>
      <c r="C507" s="684"/>
      <c r="D507" s="684"/>
      <c r="E507" s="684"/>
      <c r="F507" s="685"/>
      <c r="G507" s="684" t="s">
        <v>146</v>
      </c>
      <c r="H507" s="684"/>
      <c r="I507" s="686"/>
      <c r="J507" s="684"/>
      <c r="K507" s="684" t="s">
        <v>3</v>
      </c>
      <c r="L507" s="687" t="s">
        <v>143</v>
      </c>
      <c r="M507" s="687"/>
      <c r="N507" s="687"/>
      <c r="O507" s="687"/>
      <c r="P507" s="687"/>
      <c r="Q507" s="688"/>
      <c r="R507" s="689">
        <f ca="1">SUM(R503:R506)</f>
        <v>0</v>
      </c>
      <c r="S507" s="684"/>
      <c r="T507" s="689">
        <f ca="1">SUM(T503:T506)</f>
        <v>0</v>
      </c>
      <c r="U507" s="611"/>
      <c r="V507" s="611"/>
      <c r="W507" s="611"/>
      <c r="X507" s="611"/>
      <c r="Y507" s="611"/>
      <c r="Z507" s="611"/>
      <c r="AA507" s="611"/>
      <c r="AB507" s="611"/>
      <c r="AC507" s="611"/>
      <c r="AD507" s="611"/>
      <c r="AE507" s="611"/>
      <c r="AF507" s="611"/>
      <c r="AG507" s="611"/>
      <c r="AH507" s="611"/>
      <c r="AI507" s="611"/>
      <c r="AJ507" s="611"/>
      <c r="AK507" s="611"/>
      <c r="AL507" s="611"/>
      <c r="AM507" s="611"/>
      <c r="AN507" s="611"/>
      <c r="AO507" s="611"/>
    </row>
    <row r="508" spans="1:41" s="602" customFormat="1" ht="12" thickTop="1">
      <c r="A508" s="63"/>
      <c r="B508" s="41"/>
      <c r="C508" s="63"/>
      <c r="E508" s="42" t="s">
        <v>138</v>
      </c>
      <c r="F508" s="42" t="s">
        <v>139</v>
      </c>
      <c r="G508" s="63"/>
      <c r="H508" s="63"/>
      <c r="I508" s="63"/>
      <c r="J508" s="63"/>
      <c r="K508" s="63" t="s">
        <v>140</v>
      </c>
      <c r="L508" s="63"/>
      <c r="M508" s="63"/>
      <c r="N508" s="63"/>
      <c r="O508" s="64"/>
      <c r="P508" s="63"/>
      <c r="Q508" s="63"/>
      <c r="R508" s="63"/>
      <c r="S508" s="63"/>
      <c r="T508" s="41"/>
      <c r="AG508" s="667" t="s">
        <v>278</v>
      </c>
      <c r="AH508" s="667" t="s">
        <v>279</v>
      </c>
      <c r="AI508" s="667" t="s">
        <v>280</v>
      </c>
      <c r="AJ508" s="667" t="s">
        <v>281</v>
      </c>
      <c r="AK508" s="667" t="s">
        <v>282</v>
      </c>
      <c r="AM508" s="668" t="s">
        <v>291</v>
      </c>
      <c r="AN508" s="669" t="s">
        <v>292</v>
      </c>
      <c r="AO508" s="603" t="s">
        <v>288</v>
      </c>
    </row>
    <row r="509" spans="1:41" s="602" customFormat="1" ht="12" customHeight="1">
      <c r="A509" s="670">
        <v>8</v>
      </c>
      <c r="B509" s="671" t="s">
        <v>330</v>
      </c>
      <c r="C509" s="672"/>
      <c r="D509" s="673" t="s">
        <v>491</v>
      </c>
      <c r="E509" s="674">
        <f ca="1">IF(AND($A509=0,$A$1="DIF"),0, ROUND(ROUND(($R514*$S$2+($T514*$T$2))/A509,2)*$C$2,2))</f>
        <v>0</v>
      </c>
      <c r="F509" s="675">
        <f ca="1">ROUND($A509*$E509,2)</f>
        <v>0</v>
      </c>
      <c r="G509" s="676" t="s">
        <v>142</v>
      </c>
      <c r="H509" s="664"/>
      <c r="I509" s="677"/>
      <c r="J509" s="664"/>
      <c r="K509" s="664" t="s">
        <v>3</v>
      </c>
      <c r="L509" s="678" t="s">
        <v>143</v>
      </c>
      <c r="M509" s="678"/>
      <c r="N509" s="678"/>
      <c r="O509" s="678"/>
      <c r="P509" s="678"/>
      <c r="Q509" s="63"/>
      <c r="T509" s="679" t="str">
        <f ca="1">IF(AND($R514=0,$T514=0),"0.00","mu :" &amp; ROUND($F509/$C$2/($R514+$T514*$D$9),2))</f>
        <v>0.00</v>
      </c>
      <c r="W509" s="604"/>
      <c r="AG509" s="549">
        <f ca="1">IF($E509=0,0,ROUND($R514*$S$2*$C$2/$A509,2))</f>
        <v>0</v>
      </c>
      <c r="AH509" s="549">
        <f ca="1">$AG509*$A509</f>
        <v>0</v>
      </c>
      <c r="AI509" s="605">
        <f ca="1">$E509-$AG509</f>
        <v>0</v>
      </c>
      <c r="AJ509" s="605">
        <f ca="1">$A509*$AI509</f>
        <v>0</v>
      </c>
      <c r="AK509" s="606">
        <f ca="1">ROUND(($AG509+$AI509)*$A509,2)</f>
        <v>0</v>
      </c>
      <c r="AM509" s="607">
        <f ca="1">ROUND(R514,2)</f>
        <v>0</v>
      </c>
      <c r="AN509" s="608">
        <f ca="1">ROUND(T514,2)</f>
        <v>0</v>
      </c>
      <c r="AO509" s="609">
        <f ca="1">ROUND(AM509+AN509,2)*A509</f>
        <v>0</v>
      </c>
    </row>
    <row r="510" spans="1:41" s="602" customFormat="1" ht="39.9" customHeight="1">
      <c r="A510" s="672"/>
      <c r="B510"/>
      <c r="C510" s="672"/>
      <c r="D510" s="1368" t="s">
        <v>397</v>
      </c>
      <c r="E510" s="1369"/>
      <c r="F510" s="1369"/>
      <c r="G510" s="1369"/>
      <c r="H510" s="1369"/>
      <c r="I510" s="1369"/>
      <c r="J510" s="1369"/>
      <c r="K510" s="1369"/>
      <c r="L510" s="1369"/>
      <c r="M510" s="1369"/>
      <c r="N510" s="1369"/>
      <c r="O510" s="1369"/>
      <c r="P510" s="1369"/>
      <c r="Q510" s="1369"/>
      <c r="R510" s="1369"/>
      <c r="S510" s="1369"/>
      <c r="T510" s="1369"/>
    </row>
    <row r="511" spans="1:41" s="713" customFormat="1" ht="13.2">
      <c r="A511"/>
      <c r="B511" s="807"/>
      <c r="C511" s="807" t="s">
        <v>692</v>
      </c>
      <c r="D511" s="807" t="str">
        <f ca="1">CELL("Address",Elec_Rates!D$220)</f>
        <v>[E25_0477_IH_Retro_Elec_Est_Rev_A_AW.xlsx]Elec_Rates!$D$220</v>
      </c>
      <c r="E511" s="808"/>
      <c r="F511" s="808"/>
      <c r="G511" s="809" t="s">
        <v>693</v>
      </c>
      <c r="H511" s="809"/>
      <c r="I511" s="809"/>
      <c r="J511" s="809"/>
      <c r="K511" s="810"/>
      <c r="L511" s="808"/>
      <c r="M511" s="808"/>
      <c r="N511" s="808"/>
      <c r="O511" s="811"/>
      <c r="P511" s="808"/>
      <c r="Q511" s="812"/>
      <c r="R511" s="813"/>
      <c r="S511" s="812"/>
      <c r="T511" s="814"/>
      <c r="U511" s="815"/>
    </row>
    <row r="512" spans="1:41" s="713" customFormat="1" ht="11.4">
      <c r="A512" s="816">
        <v>8</v>
      </c>
      <c r="B512" s="817">
        <v>1</v>
      </c>
      <c r="C512" s="817">
        <f>$A512*$B512</f>
        <v>8</v>
      </c>
      <c r="D512" s="818" t="str">
        <f>Elec_Rates!$D$220</f>
        <v>009# 5core x 35sqmm FG16(0)M16 cable</v>
      </c>
      <c r="E512" s="818"/>
      <c r="F512" s="818" t="s">
        <v>694</v>
      </c>
      <c r="G512" s="819" t="s">
        <v>696</v>
      </c>
      <c r="H512" s="819"/>
      <c r="I512" s="819"/>
      <c r="J512" s="819"/>
      <c r="K512" s="820"/>
      <c r="L512" s="815"/>
      <c r="M512" s="815"/>
      <c r="N512" s="815"/>
      <c r="O512" s="821"/>
      <c r="P512" s="818"/>
      <c r="Q512" s="822">
        <f ca="1">$B512*Elec_Rates!$R$220</f>
        <v>0</v>
      </c>
      <c r="R512" s="813">
        <f ca="1">$A512*Q512</f>
        <v>0</v>
      </c>
      <c r="S512" s="822">
        <f ca="1">$B512*Elec_Rates!$T$220</f>
        <v>0</v>
      </c>
      <c r="T512" s="814">
        <f ca="1">$A512*S512</f>
        <v>0</v>
      </c>
      <c r="U512" s="583"/>
    </row>
    <row r="513" spans="1:41" s="602" customFormat="1" ht="12">
      <c r="A513" s="663"/>
      <c r="B513" s="663"/>
      <c r="C513" s="663"/>
      <c r="D513" s="663"/>
      <c r="E513" s="663"/>
      <c r="F513" s="664"/>
      <c r="G513" s="663"/>
      <c r="H513" s="663"/>
      <c r="I513" s="601"/>
      <c r="J513" s="663"/>
      <c r="K513" s="663"/>
      <c r="L513" s="663"/>
      <c r="M513" s="663"/>
      <c r="N513" s="663"/>
      <c r="O513" s="663"/>
      <c r="P513" s="663"/>
      <c r="Q513" s="601"/>
      <c r="R513" s="666">
        <f>$A513*Q513</f>
        <v>0</v>
      </c>
      <c r="S513" s="601"/>
      <c r="T513" s="681">
        <f>$A513*S513*$T$1</f>
        <v>0</v>
      </c>
    </row>
    <row r="514" spans="1:41" s="602" customFormat="1" ht="12.6" thickBot="1">
      <c r="A514" s="682" t="s">
        <v>145</v>
      </c>
      <c r="B514" s="683">
        <f>(R513+T513)</f>
        <v>0</v>
      </c>
      <c r="C514" s="684"/>
      <c r="D514" s="684"/>
      <c r="E514" s="684"/>
      <c r="F514" s="685"/>
      <c r="G514" s="684" t="s">
        <v>146</v>
      </c>
      <c r="H514" s="684"/>
      <c r="I514" s="686"/>
      <c r="J514" s="684"/>
      <c r="K514" s="684" t="s">
        <v>3</v>
      </c>
      <c r="L514" s="687" t="s">
        <v>143</v>
      </c>
      <c r="M514" s="687"/>
      <c r="N514" s="687"/>
      <c r="O514" s="687"/>
      <c r="P514" s="687"/>
      <c r="Q514" s="688"/>
      <c r="R514" s="689">
        <f ca="1">SUM(R510:R513)</f>
        <v>0</v>
      </c>
      <c r="S514" s="684"/>
      <c r="T514" s="689">
        <f ca="1">SUM(T510:T513)</f>
        <v>0</v>
      </c>
      <c r="U514" s="611"/>
      <c r="V514" s="611"/>
      <c r="W514" s="611"/>
      <c r="X514" s="611"/>
      <c r="Y514" s="611"/>
      <c r="Z514" s="611"/>
      <c r="AA514" s="611"/>
      <c r="AB514" s="611"/>
      <c r="AC514" s="611"/>
      <c r="AD514" s="611"/>
      <c r="AE514" s="611"/>
      <c r="AF514" s="611"/>
      <c r="AG514" s="611"/>
      <c r="AH514" s="611"/>
      <c r="AI514" s="611"/>
      <c r="AJ514" s="611"/>
      <c r="AK514" s="611"/>
      <c r="AL514" s="611"/>
      <c r="AM514" s="611"/>
      <c r="AN514" s="611"/>
      <c r="AO514" s="611"/>
    </row>
    <row r="515" spans="1:41" s="602" customFormat="1" thickTop="1">
      <c r="A515" s="63"/>
      <c r="B515" s="63"/>
      <c r="C515" s="3"/>
      <c r="D515" s="3"/>
      <c r="E515" s="63"/>
      <c r="F515" s="63"/>
      <c r="G515" s="63"/>
      <c r="H515" s="63"/>
      <c r="I515" s="63"/>
      <c r="J515" s="63"/>
      <c r="K515" s="63" t="s">
        <v>134</v>
      </c>
      <c r="L515" s="63"/>
      <c r="M515" s="63"/>
      <c r="N515" s="63"/>
      <c r="O515" s="64"/>
      <c r="P515" s="63"/>
      <c r="Q515" s="63"/>
      <c r="R515" s="63"/>
      <c r="S515" s="63"/>
      <c r="T515" s="63"/>
    </row>
    <row r="516" spans="1:41" s="602" customFormat="1" ht="12">
      <c r="A516" s="63"/>
      <c r="B516" s="63"/>
      <c r="C516" s="63" t="s">
        <v>135</v>
      </c>
      <c r="D516" s="37"/>
      <c r="E516" s="63"/>
      <c r="F516" s="63"/>
      <c r="G516" s="63"/>
      <c r="H516" s="63"/>
      <c r="I516" s="63"/>
      <c r="J516" s="63"/>
      <c r="K516" s="63"/>
      <c r="L516" s="63"/>
      <c r="M516" s="63"/>
      <c r="N516" s="63"/>
      <c r="O516" s="64"/>
      <c r="P516" s="63"/>
      <c r="Q516" s="63"/>
      <c r="R516" s="63"/>
      <c r="S516" s="63"/>
      <c r="T516" s="63"/>
    </row>
    <row r="517" spans="1:41" s="602" customFormat="1" ht="12">
      <c r="A517" s="63"/>
      <c r="B517" s="63"/>
      <c r="C517" s="63"/>
      <c r="D517" s="37" t="s">
        <v>346</v>
      </c>
      <c r="E517" s="63"/>
      <c r="F517" s="63"/>
      <c r="G517" s="63"/>
      <c r="H517" s="63"/>
      <c r="I517" s="63"/>
      <c r="J517" s="63"/>
      <c r="K517" s="63"/>
      <c r="L517" s="63"/>
      <c r="M517" s="63"/>
      <c r="N517" s="63"/>
      <c r="O517" s="64"/>
      <c r="P517" s="63"/>
      <c r="Q517" s="63"/>
      <c r="R517" s="63"/>
      <c r="S517" s="38"/>
      <c r="T517" s="38"/>
    </row>
    <row r="518" spans="1:41" s="3" customFormat="1" thickBot="1">
      <c r="A518" s="611"/>
      <c r="O518" s="158"/>
    </row>
    <row r="519" spans="1:41" s="602" customFormat="1" thickTop="1">
      <c r="A519" s="63"/>
      <c r="B519" s="63"/>
      <c r="C519" s="3"/>
      <c r="D519" s="3"/>
      <c r="E519" s="63"/>
      <c r="F519" s="63"/>
      <c r="G519" s="63"/>
      <c r="H519" s="63"/>
      <c r="I519" s="63"/>
      <c r="J519" s="63"/>
      <c r="K519" s="63" t="s">
        <v>134</v>
      </c>
      <c r="L519" s="63"/>
      <c r="M519" s="63"/>
      <c r="N519" s="63"/>
      <c r="O519" s="64"/>
      <c r="P519" s="63"/>
      <c r="Q519" s="63"/>
      <c r="R519" s="63"/>
      <c r="S519" s="63"/>
      <c r="T519" s="63"/>
    </row>
    <row r="520" spans="1:41" s="602" customFormat="1" ht="12">
      <c r="A520" s="63"/>
      <c r="B520" s="63"/>
      <c r="C520" s="63" t="s">
        <v>135</v>
      </c>
      <c r="D520" s="37" t="s">
        <v>492</v>
      </c>
      <c r="E520" s="63"/>
      <c r="F520" s="63"/>
      <c r="G520" s="63"/>
      <c r="H520" s="63"/>
      <c r="I520" s="63"/>
      <c r="J520" s="63"/>
      <c r="K520" s="63"/>
      <c r="L520" s="63"/>
      <c r="M520" s="63"/>
      <c r="N520" s="63"/>
      <c r="O520" s="64"/>
      <c r="P520" s="63"/>
      <c r="Q520" s="63"/>
      <c r="R520" s="63"/>
      <c r="S520" s="63"/>
      <c r="T520" s="63"/>
    </row>
    <row r="521" spans="1:41" s="602" customFormat="1" ht="39.9" customHeight="1">
      <c r="A521" s="63"/>
      <c r="B521" s="63"/>
      <c r="C521" s="63"/>
      <c r="D521" s="1371" t="s">
        <v>347</v>
      </c>
      <c r="E521" s="1369"/>
      <c r="F521" s="1369"/>
      <c r="G521" s="1369"/>
      <c r="H521" s="1369"/>
      <c r="I521" s="1369"/>
      <c r="J521" s="1369"/>
      <c r="K521" s="1369"/>
      <c r="L521" s="1369"/>
      <c r="M521" s="1369"/>
      <c r="N521" s="1369"/>
      <c r="O521" s="1369"/>
      <c r="P521" s="1369"/>
      <c r="Q521" s="1369"/>
      <c r="R521" s="1369"/>
      <c r="S521" s="1369"/>
      <c r="T521" s="1369"/>
    </row>
    <row r="522" spans="1:41" s="3" customFormat="1" thickBot="1">
      <c r="A522" s="611"/>
      <c r="O522" s="158"/>
    </row>
    <row r="523" spans="1:41" s="602" customFormat="1" thickTop="1">
      <c r="A523" s="63"/>
      <c r="B523" s="63"/>
      <c r="C523" s="3"/>
      <c r="D523" s="3"/>
      <c r="E523" s="63"/>
      <c r="F523" s="63"/>
      <c r="G523" s="63"/>
      <c r="H523" s="63"/>
      <c r="I523" s="63"/>
      <c r="J523" s="63"/>
      <c r="K523" s="63" t="s">
        <v>134</v>
      </c>
      <c r="L523" s="63"/>
      <c r="M523" s="63"/>
      <c r="N523" s="63"/>
      <c r="O523" s="64"/>
      <c r="P523" s="63"/>
      <c r="Q523" s="63"/>
      <c r="R523" s="63"/>
      <c r="S523" s="63"/>
      <c r="T523" s="63"/>
    </row>
    <row r="524" spans="1:41" s="602" customFormat="1" ht="12">
      <c r="A524" s="63"/>
      <c r="B524" s="63"/>
      <c r="C524" s="63" t="s">
        <v>135</v>
      </c>
      <c r="D524" s="673" t="s">
        <v>493</v>
      </c>
      <c r="E524" s="63"/>
      <c r="F524" s="63"/>
      <c r="G524" s="63"/>
      <c r="H524" s="63"/>
      <c r="I524" s="63"/>
      <c r="J524" s="63"/>
      <c r="K524" s="63"/>
      <c r="L524" s="63"/>
      <c r="M524" s="63"/>
      <c r="N524" s="63"/>
      <c r="O524" s="64"/>
      <c r="P524" s="63"/>
      <c r="Q524" s="63"/>
      <c r="R524" s="63"/>
      <c r="S524" s="63"/>
      <c r="T524" s="63"/>
    </row>
    <row r="525" spans="1:41" s="602" customFormat="1" ht="39.9" customHeight="1">
      <c r="A525" s="63"/>
      <c r="B525" s="63"/>
      <c r="C525" s="63"/>
      <c r="D525" s="1368" t="s">
        <v>494</v>
      </c>
      <c r="E525" s="1369"/>
      <c r="F525" s="1369"/>
      <c r="G525" s="1369"/>
      <c r="H525" s="1369"/>
      <c r="I525" s="1369"/>
      <c r="J525" s="1369"/>
      <c r="K525" s="1369"/>
      <c r="L525" s="1369"/>
      <c r="M525" s="1369"/>
      <c r="N525" s="1369"/>
      <c r="O525" s="1369"/>
      <c r="P525" s="1369"/>
      <c r="Q525" s="1369"/>
      <c r="R525" s="1369"/>
      <c r="S525" s="1369"/>
      <c r="T525" s="1369"/>
    </row>
    <row r="526" spans="1:41" s="3" customFormat="1" thickBot="1">
      <c r="A526" s="611"/>
      <c r="O526" s="158"/>
    </row>
    <row r="527" spans="1:41" s="602" customFormat="1" ht="12" thickTop="1">
      <c r="A527" s="63"/>
      <c r="B527" s="41"/>
      <c r="C527" s="63"/>
      <c r="E527" s="42" t="s">
        <v>138</v>
      </c>
      <c r="F527" s="42" t="s">
        <v>139</v>
      </c>
      <c r="G527" s="63"/>
      <c r="H527" s="63"/>
      <c r="I527" s="63"/>
      <c r="J527" s="63"/>
      <c r="K527" s="63" t="s">
        <v>140</v>
      </c>
      <c r="L527" s="63"/>
      <c r="M527" s="63"/>
      <c r="N527" s="63"/>
      <c r="O527" s="64"/>
      <c r="P527" s="63"/>
      <c r="Q527" s="63"/>
      <c r="R527" s="63"/>
      <c r="S527" s="63"/>
      <c r="T527" s="41"/>
      <c r="AG527" s="667" t="s">
        <v>278</v>
      </c>
      <c r="AH527" s="667" t="s">
        <v>279</v>
      </c>
      <c r="AI527" s="667" t="s">
        <v>280</v>
      </c>
      <c r="AJ527" s="667" t="s">
        <v>281</v>
      </c>
      <c r="AK527" s="667" t="s">
        <v>282</v>
      </c>
      <c r="AM527" s="668" t="s">
        <v>291</v>
      </c>
      <c r="AN527" s="669" t="s">
        <v>292</v>
      </c>
      <c r="AO527" s="603" t="s">
        <v>288</v>
      </c>
    </row>
    <row r="528" spans="1:41" s="602" customFormat="1" ht="12" customHeight="1">
      <c r="A528" s="670">
        <v>1</v>
      </c>
      <c r="B528" s="671" t="s">
        <v>312</v>
      </c>
      <c r="C528" s="672"/>
      <c r="D528" s="673" t="s">
        <v>493</v>
      </c>
      <c r="E528" s="674">
        <f ca="1">IF(AND($A528=0,$A$1="DIF"),0, ROUND(ROUND(($R627*$S$2+($T627*$T$2))/A528,2)*$C$2,2))</f>
        <v>8735.27</v>
      </c>
      <c r="F528" s="675">
        <f ca="1">ROUND($A528*$E528,2)</f>
        <v>8735.27</v>
      </c>
      <c r="G528" s="676" t="s">
        <v>142</v>
      </c>
      <c r="H528" s="664"/>
      <c r="I528" s="677"/>
      <c r="J528" s="664"/>
      <c r="K528" s="664" t="s">
        <v>3</v>
      </c>
      <c r="L528" s="678" t="s">
        <v>143</v>
      </c>
      <c r="M528" s="678"/>
      <c r="N528" s="678"/>
      <c r="O528" s="678"/>
      <c r="P528" s="678"/>
      <c r="Q528" s="63"/>
      <c r="T528" s="679" t="str">
        <f ca="1">IF(AND($R627=0,$T627=0),"0.00","mu :" &amp; ROUND($F528/$C$2/($R627+$T627*$D$9),2))</f>
        <v>mu :1.35</v>
      </c>
      <c r="W528" s="604"/>
      <c r="AG528" s="549">
        <f ca="1">IF($E528=0,0,ROUND($R627*$S$2*$C$2/$A528,2))</f>
        <v>5775.11</v>
      </c>
      <c r="AH528" s="549">
        <f ca="1">$AG528*$A528</f>
        <v>5775.11</v>
      </c>
      <c r="AI528" s="605">
        <f ca="1">$E528-$AG528</f>
        <v>2960.1600000000008</v>
      </c>
      <c r="AJ528" s="605">
        <f ca="1">$A528*$AI528</f>
        <v>2960.1600000000008</v>
      </c>
      <c r="AK528" s="606">
        <f ca="1">ROUND(($AG528+$AI528)*$A528,2)</f>
        <v>8735.27</v>
      </c>
      <c r="AM528" s="607">
        <f ca="1">ROUND(R627,2)</f>
        <v>4392.99</v>
      </c>
      <c r="AN528" s="608">
        <f ca="1">ROUND(T627,2)</f>
        <v>82</v>
      </c>
      <c r="AO528" s="609">
        <f ca="1">ROUND(AM528+AN528,2)*A528</f>
        <v>4474.99</v>
      </c>
    </row>
    <row r="529" spans="1:20" s="602" customFormat="1" ht="13.2">
      <c r="A529" s="672"/>
      <c r="B529"/>
      <c r="C529" s="672"/>
      <c r="D529" s="673" t="s">
        <v>348</v>
      </c>
      <c r="F529" s="664"/>
      <c r="G529" s="3"/>
      <c r="H529" s="664"/>
      <c r="I529" s="677"/>
      <c r="J529" s="664"/>
      <c r="K529" s="664" t="s">
        <v>144</v>
      </c>
      <c r="L529" s="664"/>
      <c r="M529" s="664"/>
      <c r="N529" s="664"/>
      <c r="O529" s="664"/>
      <c r="P529" s="664"/>
      <c r="Q529" s="63"/>
      <c r="R529" s="610"/>
      <c r="S529" s="680"/>
      <c r="T529" s="664"/>
    </row>
    <row r="530" spans="1:20" s="602" customFormat="1" ht="12">
      <c r="A530" s="63"/>
      <c r="B530" s="663"/>
      <c r="C530" s="663"/>
      <c r="D530" s="864" t="s">
        <v>971</v>
      </c>
      <c r="E530" s="663"/>
      <c r="F530" s="664"/>
      <c r="G530" s="663"/>
      <c r="H530" s="663"/>
      <c r="I530" s="601"/>
      <c r="J530" s="663"/>
      <c r="K530" s="663"/>
      <c r="L530" s="663"/>
      <c r="M530" s="663"/>
      <c r="N530" s="663"/>
      <c r="O530" s="663"/>
      <c r="P530" s="663"/>
      <c r="Q530" s="601"/>
      <c r="R530" s="666">
        <f t="shared" ref="R530:R561" si="7">$A530*Q530</f>
        <v>0</v>
      </c>
      <c r="S530" s="601"/>
      <c r="T530" s="681">
        <f t="shared" ref="T530:T561" si="8">$A530*S530*$T$1</f>
        <v>0</v>
      </c>
    </row>
    <row r="531" spans="1:20" s="730" customFormat="1" ht="13.2">
      <c r="A531">
        <v>50</v>
      </c>
      <c r="B531" s="730" t="s">
        <v>326</v>
      </c>
      <c r="D531" s="730" t="s">
        <v>972</v>
      </c>
      <c r="F531" s="730" t="s">
        <v>1240</v>
      </c>
      <c r="G531" s="731" t="s">
        <v>973</v>
      </c>
      <c r="H531" s="732">
        <v>616</v>
      </c>
      <c r="I531" s="730" t="s">
        <v>561</v>
      </c>
      <c r="J531" s="730" t="s">
        <v>974</v>
      </c>
      <c r="O531" s="733">
        <v>2</v>
      </c>
      <c r="P531" s="734">
        <v>40767</v>
      </c>
      <c r="Q531" s="735">
        <v>10.5</v>
      </c>
      <c r="R531" s="736">
        <f t="shared" si="7"/>
        <v>525</v>
      </c>
      <c r="S531" s="735">
        <v>0.1</v>
      </c>
      <c r="T531" s="737">
        <f t="shared" si="8"/>
        <v>5</v>
      </c>
    </row>
    <row r="532" spans="1:20" s="730" customFormat="1" ht="13.2">
      <c r="A532" s="167">
        <v>50</v>
      </c>
      <c r="B532" s="730" t="s">
        <v>141</v>
      </c>
      <c r="D532" s="730" t="s">
        <v>815</v>
      </c>
      <c r="G532" s="731" t="s">
        <v>816</v>
      </c>
      <c r="H532" s="732">
        <v>875</v>
      </c>
      <c r="I532" s="730" t="s">
        <v>674</v>
      </c>
      <c r="K532" s="730" t="s">
        <v>817</v>
      </c>
      <c r="O532" s="733">
        <v>1</v>
      </c>
      <c r="P532" s="734">
        <v>34669</v>
      </c>
      <c r="Q532" s="735">
        <v>0.05</v>
      </c>
      <c r="R532" s="736">
        <f t="shared" si="7"/>
        <v>2.5</v>
      </c>
      <c r="S532" s="735"/>
      <c r="T532" s="737">
        <f t="shared" si="8"/>
        <v>0</v>
      </c>
    </row>
    <row r="533" spans="1:20" s="730" customFormat="1" ht="13.2">
      <c r="A533">
        <v>2</v>
      </c>
      <c r="B533" s="730" t="s">
        <v>141</v>
      </c>
      <c r="D533" s="730" t="s">
        <v>848</v>
      </c>
      <c r="G533" s="731" t="s">
        <v>849</v>
      </c>
      <c r="H533" s="732">
        <v>620</v>
      </c>
      <c r="I533" s="730" t="s">
        <v>741</v>
      </c>
      <c r="O533" s="733">
        <v>2</v>
      </c>
      <c r="P533" s="734">
        <v>35431</v>
      </c>
      <c r="Q533" s="735">
        <v>7.66</v>
      </c>
      <c r="R533" s="736">
        <f t="shared" si="7"/>
        <v>15.32</v>
      </c>
      <c r="S533" s="735">
        <v>0.4</v>
      </c>
      <c r="T533" s="737">
        <f t="shared" si="8"/>
        <v>0.8</v>
      </c>
    </row>
    <row r="534" spans="1:20" s="730" customFormat="1" ht="13.2">
      <c r="A534">
        <v>2</v>
      </c>
      <c r="B534" s="730" t="s">
        <v>326</v>
      </c>
      <c r="D534" s="730" t="s">
        <v>703</v>
      </c>
      <c r="G534" s="731" t="s">
        <v>704</v>
      </c>
      <c r="H534" s="732">
        <v>620</v>
      </c>
      <c r="I534" s="730" t="s">
        <v>674</v>
      </c>
      <c r="O534" s="733">
        <v>2</v>
      </c>
      <c r="P534" s="734">
        <v>38148</v>
      </c>
      <c r="Q534" s="735">
        <v>1.5</v>
      </c>
      <c r="R534" s="736">
        <f t="shared" si="7"/>
        <v>3</v>
      </c>
      <c r="S534" s="735">
        <v>0.08</v>
      </c>
      <c r="T534" s="737">
        <f t="shared" si="8"/>
        <v>0.16</v>
      </c>
    </row>
    <row r="535" spans="1:20" s="730" customFormat="1" ht="13.2">
      <c r="A535">
        <v>10</v>
      </c>
      <c r="B535" s="730" t="s">
        <v>141</v>
      </c>
      <c r="D535" s="730" t="s">
        <v>975</v>
      </c>
      <c r="G535" s="731" t="s">
        <v>976</v>
      </c>
      <c r="H535" s="732">
        <v>620</v>
      </c>
      <c r="I535" s="730" t="s">
        <v>702</v>
      </c>
      <c r="O535" s="733">
        <v>2</v>
      </c>
      <c r="P535" s="734">
        <v>34669</v>
      </c>
      <c r="Q535" s="735">
        <v>0.14000000000000001</v>
      </c>
      <c r="R535" s="736">
        <f t="shared" si="7"/>
        <v>1.4000000000000001</v>
      </c>
      <c r="S535" s="735">
        <v>0.06</v>
      </c>
      <c r="T535" s="737">
        <f t="shared" si="8"/>
        <v>0.6</v>
      </c>
    </row>
    <row r="536" spans="1:20" s="730" customFormat="1" ht="13.2">
      <c r="A536">
        <v>1</v>
      </c>
      <c r="B536" s="730" t="s">
        <v>141</v>
      </c>
      <c r="D536" s="730" t="s">
        <v>977</v>
      </c>
      <c r="G536" s="731" t="s">
        <v>978</v>
      </c>
      <c r="H536" s="732">
        <v>510</v>
      </c>
      <c r="I536" s="730" t="s">
        <v>979</v>
      </c>
      <c r="J536" s="730" t="s">
        <v>980</v>
      </c>
      <c r="K536" s="730" t="s">
        <v>981</v>
      </c>
      <c r="O536" s="733">
        <v>2</v>
      </c>
      <c r="P536" s="734">
        <v>36880</v>
      </c>
      <c r="Q536" s="735">
        <v>63.82</v>
      </c>
      <c r="R536" s="736">
        <f t="shared" si="7"/>
        <v>63.82</v>
      </c>
      <c r="S536" s="735">
        <v>1</v>
      </c>
      <c r="T536" s="737">
        <f t="shared" si="8"/>
        <v>1</v>
      </c>
    </row>
    <row r="537" spans="1:20" s="730" customFormat="1" ht="13.2">
      <c r="A537">
        <v>1</v>
      </c>
      <c r="B537" s="730" t="s">
        <v>141</v>
      </c>
      <c r="D537" s="730" t="s">
        <v>731</v>
      </c>
      <c r="G537" s="731" t="s">
        <v>732</v>
      </c>
      <c r="H537" s="732">
        <v>875</v>
      </c>
      <c r="I537" s="730" t="s">
        <v>674</v>
      </c>
      <c r="K537" s="730" t="s">
        <v>733</v>
      </c>
      <c r="O537" s="733">
        <v>3</v>
      </c>
      <c r="P537" s="734">
        <v>34820</v>
      </c>
      <c r="Q537" s="735">
        <v>3.49</v>
      </c>
      <c r="R537" s="736">
        <f t="shared" si="7"/>
        <v>3.49</v>
      </c>
      <c r="S537" s="735">
        <v>0.05</v>
      </c>
      <c r="T537" s="737">
        <f t="shared" si="8"/>
        <v>0.05</v>
      </c>
    </row>
    <row r="538" spans="1:20" s="730" customFormat="1" ht="13.2">
      <c r="A538">
        <v>1</v>
      </c>
      <c r="B538" s="730" t="s">
        <v>141</v>
      </c>
      <c r="D538" s="730" t="s">
        <v>982</v>
      </c>
      <c r="G538" s="731" t="s">
        <v>983</v>
      </c>
      <c r="H538" s="732">
        <v>501</v>
      </c>
      <c r="I538" s="730" t="s">
        <v>674</v>
      </c>
      <c r="K538" s="730" t="s">
        <v>984</v>
      </c>
      <c r="O538" s="733">
        <v>1</v>
      </c>
      <c r="P538" s="734">
        <v>38136</v>
      </c>
      <c r="Q538" s="735">
        <v>10</v>
      </c>
      <c r="R538" s="736">
        <f t="shared" si="7"/>
        <v>10</v>
      </c>
      <c r="S538" s="735">
        <v>0.25</v>
      </c>
      <c r="T538" s="737">
        <f t="shared" si="8"/>
        <v>0.25</v>
      </c>
    </row>
    <row r="539" spans="1:20" s="602" customFormat="1" ht="12">
      <c r="A539" s="63"/>
      <c r="B539" s="663"/>
      <c r="C539" s="663"/>
      <c r="D539" s="864" t="s">
        <v>985</v>
      </c>
      <c r="E539" s="663"/>
      <c r="F539" s="664"/>
      <c r="G539" s="663"/>
      <c r="H539" s="663"/>
      <c r="I539" s="601"/>
      <c r="J539" s="663"/>
      <c r="K539" s="663"/>
      <c r="L539" s="663"/>
      <c r="M539" s="663"/>
      <c r="N539" s="663"/>
      <c r="O539" s="663"/>
      <c r="P539" s="663"/>
      <c r="Q539" s="601"/>
      <c r="R539" s="666">
        <f t="shared" si="7"/>
        <v>0</v>
      </c>
      <c r="S539" s="601"/>
      <c r="T539" s="681">
        <f t="shared" si="8"/>
        <v>0</v>
      </c>
    </row>
    <row r="540" spans="1:20" s="730" customFormat="1" ht="13.2">
      <c r="A540">
        <v>50</v>
      </c>
      <c r="B540" s="730" t="s">
        <v>326</v>
      </c>
      <c r="D540" s="730" t="s">
        <v>972</v>
      </c>
      <c r="F540" s="730" t="s">
        <v>1240</v>
      </c>
      <c r="G540" s="731" t="s">
        <v>973</v>
      </c>
      <c r="H540" s="732">
        <v>616</v>
      </c>
      <c r="I540" s="730" t="s">
        <v>561</v>
      </c>
      <c r="J540" s="730" t="s">
        <v>974</v>
      </c>
      <c r="O540" s="733">
        <v>2</v>
      </c>
      <c r="P540" s="734">
        <v>40767</v>
      </c>
      <c r="Q540" s="735">
        <v>10.5</v>
      </c>
      <c r="R540" s="736">
        <f t="shared" si="7"/>
        <v>525</v>
      </c>
      <c r="S540" s="735">
        <v>0.1</v>
      </c>
      <c r="T540" s="737">
        <f t="shared" si="8"/>
        <v>5</v>
      </c>
    </row>
    <row r="541" spans="1:20" s="730" customFormat="1" ht="13.2">
      <c r="A541" s="167">
        <v>50</v>
      </c>
      <c r="B541" s="730" t="s">
        <v>141</v>
      </c>
      <c r="D541" s="730" t="s">
        <v>815</v>
      </c>
      <c r="G541" s="731" t="s">
        <v>816</v>
      </c>
      <c r="H541" s="732">
        <v>875</v>
      </c>
      <c r="I541" s="730" t="s">
        <v>674</v>
      </c>
      <c r="K541" s="730" t="s">
        <v>817</v>
      </c>
      <c r="O541" s="733">
        <v>1</v>
      </c>
      <c r="P541" s="734">
        <v>34669</v>
      </c>
      <c r="Q541" s="735">
        <v>0.05</v>
      </c>
      <c r="R541" s="736">
        <f t="shared" si="7"/>
        <v>2.5</v>
      </c>
      <c r="S541" s="735"/>
      <c r="T541" s="737">
        <f t="shared" si="8"/>
        <v>0</v>
      </c>
    </row>
    <row r="542" spans="1:20" s="730" customFormat="1" ht="13.2">
      <c r="A542">
        <v>2</v>
      </c>
      <c r="B542" s="730" t="s">
        <v>141</v>
      </c>
      <c r="D542" s="730" t="s">
        <v>848</v>
      </c>
      <c r="G542" s="731" t="s">
        <v>849</v>
      </c>
      <c r="H542" s="732">
        <v>620</v>
      </c>
      <c r="I542" s="730" t="s">
        <v>741</v>
      </c>
      <c r="O542" s="733">
        <v>2</v>
      </c>
      <c r="P542" s="734">
        <v>35431</v>
      </c>
      <c r="Q542" s="735">
        <v>7.66</v>
      </c>
      <c r="R542" s="736">
        <f t="shared" si="7"/>
        <v>15.32</v>
      </c>
      <c r="S542" s="735">
        <v>0.4</v>
      </c>
      <c r="T542" s="737">
        <f t="shared" si="8"/>
        <v>0.8</v>
      </c>
    </row>
    <row r="543" spans="1:20" s="730" customFormat="1" ht="13.2">
      <c r="A543">
        <v>2</v>
      </c>
      <c r="B543" s="730" t="s">
        <v>326</v>
      </c>
      <c r="D543" s="730" t="s">
        <v>703</v>
      </c>
      <c r="G543" s="731" t="s">
        <v>704</v>
      </c>
      <c r="H543" s="732">
        <v>620</v>
      </c>
      <c r="I543" s="730" t="s">
        <v>674</v>
      </c>
      <c r="O543" s="733">
        <v>2</v>
      </c>
      <c r="P543" s="734">
        <v>38148</v>
      </c>
      <c r="Q543" s="735">
        <v>1.5</v>
      </c>
      <c r="R543" s="736">
        <f t="shared" si="7"/>
        <v>3</v>
      </c>
      <c r="S543" s="735">
        <v>0.08</v>
      </c>
      <c r="T543" s="737">
        <f t="shared" si="8"/>
        <v>0.16</v>
      </c>
    </row>
    <row r="544" spans="1:20" s="730" customFormat="1" ht="13.2">
      <c r="A544">
        <v>10</v>
      </c>
      <c r="B544" s="730" t="s">
        <v>141</v>
      </c>
      <c r="D544" s="730" t="s">
        <v>975</v>
      </c>
      <c r="G544" s="731" t="s">
        <v>976</v>
      </c>
      <c r="H544" s="732">
        <v>620</v>
      </c>
      <c r="I544" s="730" t="s">
        <v>702</v>
      </c>
      <c r="O544" s="733">
        <v>2</v>
      </c>
      <c r="P544" s="734">
        <v>34669</v>
      </c>
      <c r="Q544" s="735">
        <v>0.14000000000000001</v>
      </c>
      <c r="R544" s="736">
        <f t="shared" si="7"/>
        <v>1.4000000000000001</v>
      </c>
      <c r="S544" s="735">
        <v>0.06</v>
      </c>
      <c r="T544" s="737">
        <f t="shared" si="8"/>
        <v>0.6</v>
      </c>
    </row>
    <row r="545" spans="1:20" s="730" customFormat="1" ht="13.2">
      <c r="A545">
        <v>1</v>
      </c>
      <c r="B545" s="730" t="s">
        <v>141</v>
      </c>
      <c r="D545" s="730" t="s">
        <v>977</v>
      </c>
      <c r="G545" s="731" t="s">
        <v>978</v>
      </c>
      <c r="H545" s="732">
        <v>510</v>
      </c>
      <c r="I545" s="730" t="s">
        <v>979</v>
      </c>
      <c r="J545" s="730" t="s">
        <v>980</v>
      </c>
      <c r="K545" s="730" t="s">
        <v>981</v>
      </c>
      <c r="O545" s="733">
        <v>2</v>
      </c>
      <c r="P545" s="734">
        <v>36880</v>
      </c>
      <c r="Q545" s="735">
        <v>63.82</v>
      </c>
      <c r="R545" s="736">
        <f t="shared" si="7"/>
        <v>63.82</v>
      </c>
      <c r="S545" s="735">
        <v>1</v>
      </c>
      <c r="T545" s="737">
        <f t="shared" si="8"/>
        <v>1</v>
      </c>
    </row>
    <row r="546" spans="1:20" s="730" customFormat="1" ht="13.2">
      <c r="A546">
        <v>1</v>
      </c>
      <c r="B546" s="730" t="s">
        <v>141</v>
      </c>
      <c r="D546" s="730" t="s">
        <v>731</v>
      </c>
      <c r="G546" s="731" t="s">
        <v>732</v>
      </c>
      <c r="H546" s="732">
        <v>875</v>
      </c>
      <c r="I546" s="730" t="s">
        <v>674</v>
      </c>
      <c r="K546" s="730" t="s">
        <v>733</v>
      </c>
      <c r="O546" s="733">
        <v>3</v>
      </c>
      <c r="P546" s="734">
        <v>34820</v>
      </c>
      <c r="Q546" s="735">
        <v>3.49</v>
      </c>
      <c r="R546" s="736">
        <f t="shared" si="7"/>
        <v>3.49</v>
      </c>
      <c r="S546" s="735">
        <v>0.05</v>
      </c>
      <c r="T546" s="737">
        <f t="shared" si="8"/>
        <v>0.05</v>
      </c>
    </row>
    <row r="547" spans="1:20" s="730" customFormat="1" ht="13.2">
      <c r="A547">
        <v>1</v>
      </c>
      <c r="B547" s="730" t="s">
        <v>141</v>
      </c>
      <c r="D547" s="730" t="s">
        <v>982</v>
      </c>
      <c r="G547" s="731" t="s">
        <v>983</v>
      </c>
      <c r="H547" s="732">
        <v>501</v>
      </c>
      <c r="I547" s="730" t="s">
        <v>674</v>
      </c>
      <c r="K547" s="730" t="s">
        <v>984</v>
      </c>
      <c r="O547" s="733">
        <v>1</v>
      </c>
      <c r="P547" s="734">
        <v>38136</v>
      </c>
      <c r="Q547" s="735">
        <v>10</v>
      </c>
      <c r="R547" s="736">
        <f t="shared" si="7"/>
        <v>10</v>
      </c>
      <c r="S547" s="735">
        <v>0.25</v>
      </c>
      <c r="T547" s="737">
        <f t="shared" si="8"/>
        <v>0.25</v>
      </c>
    </row>
    <row r="548" spans="1:20" s="602" customFormat="1" ht="12">
      <c r="A548" s="63"/>
      <c r="B548" s="663"/>
      <c r="C548" s="663"/>
      <c r="D548" s="864" t="s">
        <v>1066</v>
      </c>
      <c r="E548" s="663"/>
      <c r="F548" s="664"/>
      <c r="G548" s="663"/>
      <c r="H548" s="663"/>
      <c r="I548" s="601"/>
      <c r="J548" s="663"/>
      <c r="K548" s="663"/>
      <c r="L548" s="663"/>
      <c r="M548" s="663"/>
      <c r="N548" s="663"/>
      <c r="O548" s="663"/>
      <c r="P548" s="663"/>
      <c r="Q548" s="601"/>
      <c r="R548" s="666">
        <f t="shared" si="7"/>
        <v>0</v>
      </c>
      <c r="S548" s="601"/>
      <c r="T548" s="681">
        <f t="shared" si="8"/>
        <v>0</v>
      </c>
    </row>
    <row r="549" spans="1:20" s="730" customFormat="1" ht="13.2">
      <c r="A549">
        <v>50</v>
      </c>
      <c r="B549" s="730" t="s">
        <v>326</v>
      </c>
      <c r="D549" s="730" t="s">
        <v>972</v>
      </c>
      <c r="F549" s="730" t="s">
        <v>1240</v>
      </c>
      <c r="G549" s="731" t="s">
        <v>973</v>
      </c>
      <c r="H549" s="732">
        <v>616</v>
      </c>
      <c r="I549" s="730" t="s">
        <v>561</v>
      </c>
      <c r="J549" s="730" t="s">
        <v>974</v>
      </c>
      <c r="O549" s="733">
        <v>2</v>
      </c>
      <c r="P549" s="734">
        <v>40767</v>
      </c>
      <c r="Q549" s="735">
        <v>10.5</v>
      </c>
      <c r="R549" s="736">
        <f t="shared" si="7"/>
        <v>525</v>
      </c>
      <c r="S549" s="735">
        <v>0.1</v>
      </c>
      <c r="T549" s="737">
        <f t="shared" si="8"/>
        <v>5</v>
      </c>
    </row>
    <row r="550" spans="1:20" s="730" customFormat="1" ht="13.2">
      <c r="A550" s="167">
        <v>50</v>
      </c>
      <c r="B550" s="730" t="s">
        <v>141</v>
      </c>
      <c r="D550" s="730" t="s">
        <v>815</v>
      </c>
      <c r="G550" s="731" t="s">
        <v>816</v>
      </c>
      <c r="H550" s="732">
        <v>875</v>
      </c>
      <c r="I550" s="730" t="s">
        <v>674</v>
      </c>
      <c r="K550" s="730" t="s">
        <v>817</v>
      </c>
      <c r="O550" s="733">
        <v>1</v>
      </c>
      <c r="P550" s="734">
        <v>34669</v>
      </c>
      <c r="Q550" s="735">
        <v>0.05</v>
      </c>
      <c r="R550" s="736">
        <f t="shared" si="7"/>
        <v>2.5</v>
      </c>
      <c r="S550" s="735"/>
      <c r="T550" s="737">
        <f t="shared" si="8"/>
        <v>0</v>
      </c>
    </row>
    <row r="551" spans="1:20" s="730" customFormat="1" ht="13.2">
      <c r="A551">
        <v>2</v>
      </c>
      <c r="B551" s="730" t="s">
        <v>141</v>
      </c>
      <c r="D551" s="730" t="s">
        <v>848</v>
      </c>
      <c r="G551" s="731" t="s">
        <v>849</v>
      </c>
      <c r="H551" s="732">
        <v>620</v>
      </c>
      <c r="I551" s="730" t="s">
        <v>741</v>
      </c>
      <c r="O551" s="733">
        <v>2</v>
      </c>
      <c r="P551" s="734">
        <v>35431</v>
      </c>
      <c r="Q551" s="735">
        <v>7.66</v>
      </c>
      <c r="R551" s="736">
        <f t="shared" si="7"/>
        <v>15.32</v>
      </c>
      <c r="S551" s="735">
        <v>0.4</v>
      </c>
      <c r="T551" s="737">
        <f t="shared" si="8"/>
        <v>0.8</v>
      </c>
    </row>
    <row r="552" spans="1:20" s="730" customFormat="1" ht="13.2">
      <c r="A552">
        <v>2</v>
      </c>
      <c r="B552" s="730" t="s">
        <v>326</v>
      </c>
      <c r="D552" s="730" t="s">
        <v>703</v>
      </c>
      <c r="G552" s="731" t="s">
        <v>704</v>
      </c>
      <c r="H552" s="732">
        <v>620</v>
      </c>
      <c r="I552" s="730" t="s">
        <v>674</v>
      </c>
      <c r="O552" s="733">
        <v>2</v>
      </c>
      <c r="P552" s="734">
        <v>38148</v>
      </c>
      <c r="Q552" s="735">
        <v>1.5</v>
      </c>
      <c r="R552" s="736">
        <f t="shared" si="7"/>
        <v>3</v>
      </c>
      <c r="S552" s="735">
        <v>0.08</v>
      </c>
      <c r="T552" s="737">
        <f t="shared" si="8"/>
        <v>0.16</v>
      </c>
    </row>
    <row r="553" spans="1:20" s="730" customFormat="1" ht="13.2">
      <c r="A553">
        <v>10</v>
      </c>
      <c r="B553" s="730" t="s">
        <v>141</v>
      </c>
      <c r="D553" s="730" t="s">
        <v>975</v>
      </c>
      <c r="G553" s="731" t="s">
        <v>976</v>
      </c>
      <c r="H553" s="732">
        <v>620</v>
      </c>
      <c r="I553" s="730" t="s">
        <v>702</v>
      </c>
      <c r="O553" s="733">
        <v>2</v>
      </c>
      <c r="P553" s="734">
        <v>34669</v>
      </c>
      <c r="Q553" s="735">
        <v>0.14000000000000001</v>
      </c>
      <c r="R553" s="736">
        <f t="shared" si="7"/>
        <v>1.4000000000000001</v>
      </c>
      <c r="S553" s="735">
        <v>0.06</v>
      </c>
      <c r="T553" s="737">
        <f t="shared" si="8"/>
        <v>0.6</v>
      </c>
    </row>
    <row r="554" spans="1:20" s="730" customFormat="1" ht="13.2">
      <c r="A554">
        <v>1</v>
      </c>
      <c r="B554" s="730" t="s">
        <v>141</v>
      </c>
      <c r="D554" s="730" t="s">
        <v>977</v>
      </c>
      <c r="G554" s="731" t="s">
        <v>978</v>
      </c>
      <c r="H554" s="732">
        <v>510</v>
      </c>
      <c r="I554" s="730" t="s">
        <v>979</v>
      </c>
      <c r="J554" s="730" t="s">
        <v>980</v>
      </c>
      <c r="K554" s="730" t="s">
        <v>981</v>
      </c>
      <c r="O554" s="733">
        <v>2</v>
      </c>
      <c r="P554" s="734">
        <v>36880</v>
      </c>
      <c r="Q554" s="735">
        <v>63.82</v>
      </c>
      <c r="R554" s="736">
        <f t="shared" si="7"/>
        <v>63.82</v>
      </c>
      <c r="S554" s="735">
        <v>1</v>
      </c>
      <c r="T554" s="737">
        <f t="shared" si="8"/>
        <v>1</v>
      </c>
    </row>
    <row r="555" spans="1:20" s="730" customFormat="1" ht="13.2">
      <c r="A555">
        <v>1</v>
      </c>
      <c r="B555" s="730" t="s">
        <v>141</v>
      </c>
      <c r="D555" s="730" t="s">
        <v>731</v>
      </c>
      <c r="G555" s="731" t="s">
        <v>732</v>
      </c>
      <c r="H555" s="732">
        <v>875</v>
      </c>
      <c r="I555" s="730" t="s">
        <v>674</v>
      </c>
      <c r="K555" s="730" t="s">
        <v>733</v>
      </c>
      <c r="O555" s="733">
        <v>3</v>
      </c>
      <c r="P555" s="734">
        <v>34820</v>
      </c>
      <c r="Q555" s="735">
        <v>3.49</v>
      </c>
      <c r="R555" s="736">
        <f t="shared" si="7"/>
        <v>3.49</v>
      </c>
      <c r="S555" s="735">
        <v>0.05</v>
      </c>
      <c r="T555" s="737">
        <f t="shared" si="8"/>
        <v>0.05</v>
      </c>
    </row>
    <row r="556" spans="1:20" s="730" customFormat="1" ht="13.2">
      <c r="A556">
        <v>1</v>
      </c>
      <c r="B556" s="730" t="s">
        <v>141</v>
      </c>
      <c r="D556" s="730" t="s">
        <v>982</v>
      </c>
      <c r="G556" s="731" t="s">
        <v>983</v>
      </c>
      <c r="H556" s="732">
        <v>501</v>
      </c>
      <c r="I556" s="730" t="s">
        <v>674</v>
      </c>
      <c r="K556" s="730" t="s">
        <v>984</v>
      </c>
      <c r="O556" s="733">
        <v>1</v>
      </c>
      <c r="P556" s="734">
        <v>38136</v>
      </c>
      <c r="Q556" s="735">
        <v>10</v>
      </c>
      <c r="R556" s="736">
        <f t="shared" si="7"/>
        <v>10</v>
      </c>
      <c r="S556" s="735">
        <v>0.25</v>
      </c>
      <c r="T556" s="737">
        <f t="shared" si="8"/>
        <v>0.25</v>
      </c>
    </row>
    <row r="557" spans="1:20" s="602" customFormat="1" ht="12">
      <c r="A557" s="63"/>
      <c r="B557" s="663"/>
      <c r="C557" s="663"/>
      <c r="D557" s="864" t="s">
        <v>986</v>
      </c>
      <c r="E557" s="663"/>
      <c r="F557" s="664"/>
      <c r="G557" s="663"/>
      <c r="H557" s="663"/>
      <c r="I557" s="601"/>
      <c r="J557" s="663"/>
      <c r="K557" s="663"/>
      <c r="L557" s="663"/>
      <c r="M557" s="663"/>
      <c r="N557" s="663"/>
      <c r="O557" s="663"/>
      <c r="P557" s="663"/>
      <c r="Q557" s="601"/>
      <c r="R557" s="666">
        <f t="shared" si="7"/>
        <v>0</v>
      </c>
      <c r="S557" s="601"/>
      <c r="T557" s="681">
        <f t="shared" si="8"/>
        <v>0</v>
      </c>
    </row>
    <row r="558" spans="1:20" s="730" customFormat="1" ht="13.2">
      <c r="A558">
        <v>65</v>
      </c>
      <c r="B558" s="730" t="s">
        <v>326</v>
      </c>
      <c r="D558" s="730" t="s">
        <v>972</v>
      </c>
      <c r="F558" s="730" t="s">
        <v>1240</v>
      </c>
      <c r="G558" s="731" t="s">
        <v>973</v>
      </c>
      <c r="H558" s="732">
        <v>616</v>
      </c>
      <c r="I558" s="730" t="s">
        <v>561</v>
      </c>
      <c r="J558" s="730" t="s">
        <v>974</v>
      </c>
      <c r="O558" s="733">
        <v>2</v>
      </c>
      <c r="P558" s="734">
        <v>40767</v>
      </c>
      <c r="Q558" s="735">
        <v>10.5</v>
      </c>
      <c r="R558" s="736">
        <f t="shared" si="7"/>
        <v>682.5</v>
      </c>
      <c r="S558" s="735">
        <v>0.1</v>
      </c>
      <c r="T558" s="737">
        <f t="shared" si="8"/>
        <v>6.5</v>
      </c>
    </row>
    <row r="559" spans="1:20" s="730" customFormat="1" ht="13.2">
      <c r="A559" s="167">
        <v>65</v>
      </c>
      <c r="B559" s="730" t="s">
        <v>141</v>
      </c>
      <c r="D559" s="730" t="s">
        <v>815</v>
      </c>
      <c r="G559" s="731" t="s">
        <v>816</v>
      </c>
      <c r="H559" s="732">
        <v>875</v>
      </c>
      <c r="I559" s="730" t="s">
        <v>674</v>
      </c>
      <c r="K559" s="730" t="s">
        <v>817</v>
      </c>
      <c r="O559" s="733">
        <v>1</v>
      </c>
      <c r="P559" s="734">
        <v>34669</v>
      </c>
      <c r="Q559" s="735">
        <v>0.05</v>
      </c>
      <c r="R559" s="736">
        <f t="shared" si="7"/>
        <v>3.25</v>
      </c>
      <c r="S559" s="735"/>
      <c r="T559" s="737">
        <f t="shared" si="8"/>
        <v>0</v>
      </c>
    </row>
    <row r="560" spans="1:20" s="730" customFormat="1" ht="13.2">
      <c r="A560">
        <v>2</v>
      </c>
      <c r="B560" s="730" t="s">
        <v>141</v>
      </c>
      <c r="D560" s="730" t="s">
        <v>848</v>
      </c>
      <c r="G560" s="731" t="s">
        <v>849</v>
      </c>
      <c r="H560" s="732">
        <v>620</v>
      </c>
      <c r="I560" s="730" t="s">
        <v>741</v>
      </c>
      <c r="O560" s="733">
        <v>2</v>
      </c>
      <c r="P560" s="734">
        <v>35431</v>
      </c>
      <c r="Q560" s="735">
        <v>7.66</v>
      </c>
      <c r="R560" s="736">
        <f t="shared" si="7"/>
        <v>15.32</v>
      </c>
      <c r="S560" s="735">
        <v>0.4</v>
      </c>
      <c r="T560" s="737">
        <f t="shared" si="8"/>
        <v>0.8</v>
      </c>
    </row>
    <row r="561" spans="1:20" s="730" customFormat="1" ht="13.2">
      <c r="A561">
        <v>2</v>
      </c>
      <c r="B561" s="730" t="s">
        <v>326</v>
      </c>
      <c r="D561" s="730" t="s">
        <v>703</v>
      </c>
      <c r="G561" s="731" t="s">
        <v>704</v>
      </c>
      <c r="H561" s="732">
        <v>620</v>
      </c>
      <c r="I561" s="730" t="s">
        <v>674</v>
      </c>
      <c r="O561" s="733">
        <v>2</v>
      </c>
      <c r="P561" s="734">
        <v>38148</v>
      </c>
      <c r="Q561" s="735">
        <v>1.5</v>
      </c>
      <c r="R561" s="736">
        <f t="shared" si="7"/>
        <v>3</v>
      </c>
      <c r="S561" s="735">
        <v>0.08</v>
      </c>
      <c r="T561" s="737">
        <f t="shared" si="8"/>
        <v>0.16</v>
      </c>
    </row>
    <row r="562" spans="1:20" s="730" customFormat="1" ht="13.2">
      <c r="A562">
        <v>10</v>
      </c>
      <c r="B562" s="730" t="s">
        <v>141</v>
      </c>
      <c r="D562" s="730" t="s">
        <v>975</v>
      </c>
      <c r="G562" s="731" t="s">
        <v>976</v>
      </c>
      <c r="H562" s="732">
        <v>620</v>
      </c>
      <c r="I562" s="730" t="s">
        <v>702</v>
      </c>
      <c r="O562" s="733">
        <v>2</v>
      </c>
      <c r="P562" s="734">
        <v>34669</v>
      </c>
      <c r="Q562" s="735">
        <v>0.14000000000000001</v>
      </c>
      <c r="R562" s="736">
        <f t="shared" ref="R562:R593" si="9">$A562*Q562</f>
        <v>1.4000000000000001</v>
      </c>
      <c r="S562" s="735">
        <v>0.06</v>
      </c>
      <c r="T562" s="737">
        <f t="shared" ref="T562:T593" si="10">$A562*S562*$T$1</f>
        <v>0.6</v>
      </c>
    </row>
    <row r="563" spans="1:20" s="730" customFormat="1" ht="13.2">
      <c r="A563">
        <v>1</v>
      </c>
      <c r="B563" s="730" t="s">
        <v>141</v>
      </c>
      <c r="D563" s="730" t="s">
        <v>977</v>
      </c>
      <c r="G563" s="731" t="s">
        <v>978</v>
      </c>
      <c r="H563" s="732">
        <v>510</v>
      </c>
      <c r="I563" s="730" t="s">
        <v>979</v>
      </c>
      <c r="J563" s="730" t="s">
        <v>980</v>
      </c>
      <c r="K563" s="730" t="s">
        <v>981</v>
      </c>
      <c r="O563" s="733">
        <v>2</v>
      </c>
      <c r="P563" s="734">
        <v>36880</v>
      </c>
      <c r="Q563" s="735">
        <v>63.82</v>
      </c>
      <c r="R563" s="736">
        <f t="shared" si="9"/>
        <v>63.82</v>
      </c>
      <c r="S563" s="735">
        <v>1</v>
      </c>
      <c r="T563" s="737">
        <f t="shared" si="10"/>
        <v>1</v>
      </c>
    </row>
    <row r="564" spans="1:20" s="730" customFormat="1" ht="13.2">
      <c r="A564">
        <v>1</v>
      </c>
      <c r="B564" s="730" t="s">
        <v>141</v>
      </c>
      <c r="D564" s="730" t="s">
        <v>731</v>
      </c>
      <c r="G564" s="731" t="s">
        <v>732</v>
      </c>
      <c r="H564" s="732">
        <v>875</v>
      </c>
      <c r="I564" s="730" t="s">
        <v>674</v>
      </c>
      <c r="K564" s="730" t="s">
        <v>733</v>
      </c>
      <c r="O564" s="733">
        <v>3</v>
      </c>
      <c r="P564" s="734">
        <v>34820</v>
      </c>
      <c r="Q564" s="735">
        <v>3.49</v>
      </c>
      <c r="R564" s="736">
        <f t="shared" si="9"/>
        <v>3.49</v>
      </c>
      <c r="S564" s="735">
        <v>0.05</v>
      </c>
      <c r="T564" s="737">
        <f t="shared" si="10"/>
        <v>0.05</v>
      </c>
    </row>
    <row r="565" spans="1:20" s="730" customFormat="1" ht="13.2">
      <c r="A565">
        <v>1</v>
      </c>
      <c r="B565" s="730" t="s">
        <v>141</v>
      </c>
      <c r="D565" s="730" t="s">
        <v>982</v>
      </c>
      <c r="G565" s="731" t="s">
        <v>983</v>
      </c>
      <c r="H565" s="732">
        <v>501</v>
      </c>
      <c r="I565" s="730" t="s">
        <v>674</v>
      </c>
      <c r="K565" s="730" t="s">
        <v>984</v>
      </c>
      <c r="O565" s="733">
        <v>1</v>
      </c>
      <c r="P565" s="734">
        <v>38136</v>
      </c>
      <c r="Q565" s="735">
        <v>10</v>
      </c>
      <c r="R565" s="736">
        <f t="shared" si="9"/>
        <v>10</v>
      </c>
      <c r="S565" s="735">
        <v>0.25</v>
      </c>
      <c r="T565" s="737">
        <f t="shared" si="10"/>
        <v>0.25</v>
      </c>
    </row>
    <row r="566" spans="1:20" s="602" customFormat="1" ht="12">
      <c r="A566" s="63"/>
      <c r="B566" s="663"/>
      <c r="C566" s="663"/>
      <c r="D566" s="864" t="s">
        <v>987</v>
      </c>
      <c r="E566" s="663"/>
      <c r="F566" s="664"/>
      <c r="G566" s="663"/>
      <c r="H566" s="663"/>
      <c r="I566" s="601"/>
      <c r="J566" s="663"/>
      <c r="K566" s="663"/>
      <c r="L566" s="663"/>
      <c r="M566" s="663"/>
      <c r="N566" s="663"/>
      <c r="O566" s="663"/>
      <c r="P566" s="663"/>
      <c r="Q566" s="601"/>
      <c r="R566" s="666">
        <f t="shared" si="9"/>
        <v>0</v>
      </c>
      <c r="S566" s="601"/>
      <c r="T566" s="681">
        <f t="shared" si="10"/>
        <v>0</v>
      </c>
    </row>
    <row r="567" spans="1:20" s="730" customFormat="1" ht="13.2">
      <c r="A567">
        <v>65</v>
      </c>
      <c r="B567" s="730" t="s">
        <v>326</v>
      </c>
      <c r="D567" s="730" t="s">
        <v>972</v>
      </c>
      <c r="F567" s="730" t="s">
        <v>1240</v>
      </c>
      <c r="G567" s="731" t="s">
        <v>973</v>
      </c>
      <c r="H567" s="732">
        <v>616</v>
      </c>
      <c r="I567" s="730" t="s">
        <v>561</v>
      </c>
      <c r="J567" s="730" t="s">
        <v>974</v>
      </c>
      <c r="O567" s="733">
        <v>2</v>
      </c>
      <c r="P567" s="734">
        <v>40767</v>
      </c>
      <c r="Q567" s="735">
        <v>10.5</v>
      </c>
      <c r="R567" s="736">
        <f t="shared" si="9"/>
        <v>682.5</v>
      </c>
      <c r="S567" s="735">
        <v>0.1</v>
      </c>
      <c r="T567" s="737">
        <f t="shared" si="10"/>
        <v>6.5</v>
      </c>
    </row>
    <row r="568" spans="1:20" s="730" customFormat="1" ht="13.2">
      <c r="A568" s="167">
        <v>65</v>
      </c>
      <c r="B568" s="730" t="s">
        <v>141</v>
      </c>
      <c r="D568" s="730" t="s">
        <v>815</v>
      </c>
      <c r="G568" s="731" t="s">
        <v>816</v>
      </c>
      <c r="H568" s="732">
        <v>875</v>
      </c>
      <c r="I568" s="730" t="s">
        <v>674</v>
      </c>
      <c r="K568" s="730" t="s">
        <v>817</v>
      </c>
      <c r="O568" s="733">
        <v>1</v>
      </c>
      <c r="P568" s="734">
        <v>34669</v>
      </c>
      <c r="Q568" s="735">
        <v>0.05</v>
      </c>
      <c r="R568" s="736">
        <f t="shared" si="9"/>
        <v>3.25</v>
      </c>
      <c r="S568" s="735"/>
      <c r="T568" s="737">
        <f t="shared" si="10"/>
        <v>0</v>
      </c>
    </row>
    <row r="569" spans="1:20" s="730" customFormat="1" ht="13.2">
      <c r="A569">
        <v>2</v>
      </c>
      <c r="B569" s="730" t="s">
        <v>141</v>
      </c>
      <c r="D569" s="730" t="s">
        <v>848</v>
      </c>
      <c r="G569" s="731" t="s">
        <v>849</v>
      </c>
      <c r="H569" s="732">
        <v>620</v>
      </c>
      <c r="I569" s="730" t="s">
        <v>741</v>
      </c>
      <c r="O569" s="733">
        <v>2</v>
      </c>
      <c r="P569" s="734">
        <v>35431</v>
      </c>
      <c r="Q569" s="735">
        <v>7.66</v>
      </c>
      <c r="R569" s="736">
        <f t="shared" si="9"/>
        <v>15.32</v>
      </c>
      <c r="S569" s="735">
        <v>0.4</v>
      </c>
      <c r="T569" s="737">
        <f t="shared" si="10"/>
        <v>0.8</v>
      </c>
    </row>
    <row r="570" spans="1:20" s="730" customFormat="1" ht="13.2">
      <c r="A570">
        <v>2</v>
      </c>
      <c r="B570" s="730" t="s">
        <v>326</v>
      </c>
      <c r="D570" s="730" t="s">
        <v>703</v>
      </c>
      <c r="G570" s="731" t="s">
        <v>704</v>
      </c>
      <c r="H570" s="732">
        <v>620</v>
      </c>
      <c r="I570" s="730" t="s">
        <v>674</v>
      </c>
      <c r="O570" s="733">
        <v>2</v>
      </c>
      <c r="P570" s="734">
        <v>38148</v>
      </c>
      <c r="Q570" s="735">
        <v>1.5</v>
      </c>
      <c r="R570" s="736">
        <f t="shared" si="9"/>
        <v>3</v>
      </c>
      <c r="S570" s="735">
        <v>0.08</v>
      </c>
      <c r="T570" s="737">
        <f t="shared" si="10"/>
        <v>0.16</v>
      </c>
    </row>
    <row r="571" spans="1:20" s="730" customFormat="1" ht="13.2">
      <c r="A571">
        <v>10</v>
      </c>
      <c r="B571" s="730" t="s">
        <v>141</v>
      </c>
      <c r="D571" s="730" t="s">
        <v>975</v>
      </c>
      <c r="G571" s="731" t="s">
        <v>976</v>
      </c>
      <c r="H571" s="732">
        <v>620</v>
      </c>
      <c r="I571" s="730" t="s">
        <v>702</v>
      </c>
      <c r="O571" s="733">
        <v>2</v>
      </c>
      <c r="P571" s="734">
        <v>34669</v>
      </c>
      <c r="Q571" s="735">
        <v>0.14000000000000001</v>
      </c>
      <c r="R571" s="736">
        <f t="shared" si="9"/>
        <v>1.4000000000000001</v>
      </c>
      <c r="S571" s="735">
        <v>0.06</v>
      </c>
      <c r="T571" s="737">
        <f t="shared" si="10"/>
        <v>0.6</v>
      </c>
    </row>
    <row r="572" spans="1:20" s="730" customFormat="1" ht="13.2">
      <c r="A572">
        <v>1</v>
      </c>
      <c r="B572" s="730" t="s">
        <v>141</v>
      </c>
      <c r="D572" s="730" t="s">
        <v>977</v>
      </c>
      <c r="G572" s="731" t="s">
        <v>978</v>
      </c>
      <c r="H572" s="732">
        <v>510</v>
      </c>
      <c r="I572" s="730" t="s">
        <v>979</v>
      </c>
      <c r="J572" s="730" t="s">
        <v>980</v>
      </c>
      <c r="K572" s="730" t="s">
        <v>981</v>
      </c>
      <c r="O572" s="733">
        <v>2</v>
      </c>
      <c r="P572" s="734">
        <v>36880</v>
      </c>
      <c r="Q572" s="735">
        <v>63.82</v>
      </c>
      <c r="R572" s="736">
        <f t="shared" si="9"/>
        <v>63.82</v>
      </c>
      <c r="S572" s="735">
        <v>1</v>
      </c>
      <c r="T572" s="737">
        <f t="shared" si="10"/>
        <v>1</v>
      </c>
    </row>
    <row r="573" spans="1:20" s="730" customFormat="1" ht="13.2">
      <c r="A573">
        <v>1</v>
      </c>
      <c r="B573" s="730" t="s">
        <v>141</v>
      </c>
      <c r="D573" s="730" t="s">
        <v>731</v>
      </c>
      <c r="G573" s="731" t="s">
        <v>732</v>
      </c>
      <c r="H573" s="732">
        <v>875</v>
      </c>
      <c r="I573" s="730" t="s">
        <v>674</v>
      </c>
      <c r="K573" s="730" t="s">
        <v>733</v>
      </c>
      <c r="O573" s="733">
        <v>3</v>
      </c>
      <c r="P573" s="734">
        <v>34820</v>
      </c>
      <c r="Q573" s="735">
        <v>3.49</v>
      </c>
      <c r="R573" s="736">
        <f t="shared" si="9"/>
        <v>3.49</v>
      </c>
      <c r="S573" s="735">
        <v>0.05</v>
      </c>
      <c r="T573" s="737">
        <f t="shared" si="10"/>
        <v>0.05</v>
      </c>
    </row>
    <row r="574" spans="1:20" s="730" customFormat="1" ht="13.2">
      <c r="A574">
        <v>1</v>
      </c>
      <c r="B574" s="730" t="s">
        <v>141</v>
      </c>
      <c r="D574" s="730" t="s">
        <v>982</v>
      </c>
      <c r="G574" s="731" t="s">
        <v>983</v>
      </c>
      <c r="H574" s="732">
        <v>501</v>
      </c>
      <c r="I574" s="730" t="s">
        <v>674</v>
      </c>
      <c r="K574" s="730" t="s">
        <v>984</v>
      </c>
      <c r="O574" s="733">
        <v>1</v>
      </c>
      <c r="P574" s="734">
        <v>38136</v>
      </c>
      <c r="Q574" s="735">
        <v>10</v>
      </c>
      <c r="R574" s="736">
        <f t="shared" si="9"/>
        <v>10</v>
      </c>
      <c r="S574" s="735">
        <v>0.25</v>
      </c>
      <c r="T574" s="737">
        <f t="shared" si="10"/>
        <v>0.25</v>
      </c>
    </row>
    <row r="575" spans="1:20" s="730" customFormat="1" ht="13.2">
      <c r="A575"/>
      <c r="D575" s="864" t="s">
        <v>988</v>
      </c>
      <c r="G575" s="731"/>
      <c r="H575" s="732"/>
      <c r="O575" s="733"/>
      <c r="P575" s="734"/>
      <c r="Q575" s="735"/>
      <c r="R575" s="736">
        <f t="shared" si="9"/>
        <v>0</v>
      </c>
      <c r="S575" s="735"/>
      <c r="T575" s="737">
        <f t="shared" si="10"/>
        <v>0</v>
      </c>
    </row>
    <row r="576" spans="1:20" s="730" customFormat="1" ht="13.2">
      <c r="A576">
        <v>20</v>
      </c>
      <c r="B576" s="730" t="s">
        <v>326</v>
      </c>
      <c r="D576" s="730" t="s">
        <v>989</v>
      </c>
      <c r="F576" s="730" t="s">
        <v>1240</v>
      </c>
      <c r="G576" s="731" t="s">
        <v>990</v>
      </c>
      <c r="H576" s="732">
        <v>616</v>
      </c>
      <c r="I576" s="730" t="s">
        <v>561</v>
      </c>
      <c r="J576" s="730" t="s">
        <v>991</v>
      </c>
      <c r="O576" s="733">
        <v>2</v>
      </c>
      <c r="P576" s="734"/>
      <c r="Q576" s="735">
        <v>1.5</v>
      </c>
      <c r="R576" s="736">
        <f t="shared" si="9"/>
        <v>30</v>
      </c>
      <c r="S576" s="735">
        <v>0.05</v>
      </c>
      <c r="T576" s="737">
        <f t="shared" si="10"/>
        <v>1</v>
      </c>
    </row>
    <row r="577" spans="1:20" s="730" customFormat="1" ht="13.2">
      <c r="A577" s="167">
        <v>20</v>
      </c>
      <c r="B577" s="730" t="s">
        <v>141</v>
      </c>
      <c r="D577" s="730" t="s">
        <v>815</v>
      </c>
      <c r="G577" s="731" t="s">
        <v>816</v>
      </c>
      <c r="H577" s="732">
        <v>875</v>
      </c>
      <c r="I577" s="730" t="s">
        <v>674</v>
      </c>
      <c r="K577" s="730" t="s">
        <v>817</v>
      </c>
      <c r="O577" s="733">
        <v>1</v>
      </c>
      <c r="P577" s="734">
        <v>34669</v>
      </c>
      <c r="Q577" s="735">
        <v>0.05</v>
      </c>
      <c r="R577" s="736">
        <f t="shared" si="9"/>
        <v>1</v>
      </c>
      <c r="S577" s="735"/>
      <c r="T577" s="737">
        <f t="shared" si="10"/>
        <v>0</v>
      </c>
    </row>
    <row r="578" spans="1:20" s="730" customFormat="1" ht="13.2">
      <c r="A578">
        <v>2</v>
      </c>
      <c r="B578" s="730" t="s">
        <v>141</v>
      </c>
      <c r="D578" s="730" t="s">
        <v>992</v>
      </c>
      <c r="G578" s="731" t="s">
        <v>993</v>
      </c>
      <c r="H578" s="732">
        <v>620</v>
      </c>
      <c r="I578" s="730" t="s">
        <v>741</v>
      </c>
      <c r="O578" s="733">
        <v>2</v>
      </c>
      <c r="P578" s="734">
        <v>35431</v>
      </c>
      <c r="Q578" s="735">
        <v>3.8</v>
      </c>
      <c r="R578" s="736">
        <f t="shared" si="9"/>
        <v>7.6</v>
      </c>
      <c r="S578" s="735">
        <v>0.3</v>
      </c>
      <c r="T578" s="737">
        <f t="shared" si="10"/>
        <v>0.6</v>
      </c>
    </row>
    <row r="579" spans="1:20" s="730" customFormat="1" ht="13.2">
      <c r="A579">
        <v>1</v>
      </c>
      <c r="B579" s="730" t="s">
        <v>141</v>
      </c>
      <c r="D579" s="730" t="s">
        <v>994</v>
      </c>
      <c r="G579" s="731" t="s">
        <v>995</v>
      </c>
      <c r="H579" s="732">
        <v>510</v>
      </c>
      <c r="I579" s="730" t="s">
        <v>979</v>
      </c>
      <c r="J579" s="730" t="s">
        <v>996</v>
      </c>
      <c r="K579" s="730" t="s">
        <v>997</v>
      </c>
      <c r="O579" s="733">
        <v>2</v>
      </c>
      <c r="P579" s="734">
        <v>36880</v>
      </c>
      <c r="Q579" s="735">
        <v>20</v>
      </c>
      <c r="R579" s="736">
        <f t="shared" si="9"/>
        <v>20</v>
      </c>
      <c r="S579" s="735">
        <v>0.5</v>
      </c>
      <c r="T579" s="737">
        <f t="shared" si="10"/>
        <v>0.5</v>
      </c>
    </row>
    <row r="580" spans="1:20" s="730" customFormat="1" ht="13.2">
      <c r="A580">
        <v>1</v>
      </c>
      <c r="B580" s="730" t="s">
        <v>141</v>
      </c>
      <c r="D580" s="730" t="s">
        <v>731</v>
      </c>
      <c r="G580" s="731" t="s">
        <v>732</v>
      </c>
      <c r="H580" s="732">
        <v>875</v>
      </c>
      <c r="I580" s="730" t="s">
        <v>674</v>
      </c>
      <c r="K580" s="730" t="s">
        <v>733</v>
      </c>
      <c r="O580" s="733">
        <v>3</v>
      </c>
      <c r="P580" s="734">
        <v>34820</v>
      </c>
      <c r="Q580" s="735">
        <v>3.49</v>
      </c>
      <c r="R580" s="736">
        <f t="shared" si="9"/>
        <v>3.49</v>
      </c>
      <c r="S580" s="735">
        <v>0.05</v>
      </c>
      <c r="T580" s="737">
        <f t="shared" si="10"/>
        <v>0.05</v>
      </c>
    </row>
    <row r="581" spans="1:20" s="730" customFormat="1" ht="13.2">
      <c r="A581">
        <v>1</v>
      </c>
      <c r="B581" s="730" t="s">
        <v>141</v>
      </c>
      <c r="D581" s="730" t="s">
        <v>982</v>
      </c>
      <c r="G581" s="731" t="s">
        <v>983</v>
      </c>
      <c r="H581" s="732">
        <v>501</v>
      </c>
      <c r="I581" s="730" t="s">
        <v>674</v>
      </c>
      <c r="K581" s="730" t="s">
        <v>984</v>
      </c>
      <c r="O581" s="733">
        <v>1</v>
      </c>
      <c r="P581" s="734">
        <v>38136</v>
      </c>
      <c r="Q581" s="735">
        <v>10</v>
      </c>
      <c r="R581" s="736">
        <f t="shared" si="9"/>
        <v>10</v>
      </c>
      <c r="S581" s="735">
        <v>0.25</v>
      </c>
      <c r="T581" s="737">
        <f t="shared" si="10"/>
        <v>0.25</v>
      </c>
    </row>
    <row r="582" spans="1:20" s="730" customFormat="1" ht="13.2">
      <c r="A582"/>
      <c r="D582" s="864" t="s">
        <v>998</v>
      </c>
      <c r="G582" s="731"/>
      <c r="H582" s="732"/>
      <c r="O582" s="733"/>
      <c r="P582" s="734"/>
      <c r="Q582" s="735"/>
      <c r="R582" s="736">
        <f t="shared" si="9"/>
        <v>0</v>
      </c>
      <c r="S582" s="735"/>
      <c r="T582" s="737">
        <f t="shared" si="10"/>
        <v>0</v>
      </c>
    </row>
    <row r="583" spans="1:20" s="730" customFormat="1" ht="13.2">
      <c r="A583">
        <v>20</v>
      </c>
      <c r="B583" s="730" t="s">
        <v>326</v>
      </c>
      <c r="D583" s="730" t="s">
        <v>989</v>
      </c>
      <c r="F583" s="730" t="s">
        <v>1240</v>
      </c>
      <c r="G583" s="731" t="s">
        <v>990</v>
      </c>
      <c r="H583" s="732">
        <v>616</v>
      </c>
      <c r="I583" s="730" t="s">
        <v>561</v>
      </c>
      <c r="J583" s="730" t="s">
        <v>991</v>
      </c>
      <c r="O583" s="733">
        <v>2</v>
      </c>
      <c r="P583" s="734"/>
      <c r="Q583" s="735">
        <v>1.5</v>
      </c>
      <c r="R583" s="736">
        <f t="shared" si="9"/>
        <v>30</v>
      </c>
      <c r="S583" s="735">
        <v>0.05</v>
      </c>
      <c r="T583" s="737">
        <f t="shared" si="10"/>
        <v>1</v>
      </c>
    </row>
    <row r="584" spans="1:20" s="730" customFormat="1" ht="13.2">
      <c r="A584" s="167">
        <v>20</v>
      </c>
      <c r="B584" s="730" t="s">
        <v>141</v>
      </c>
      <c r="D584" s="730" t="s">
        <v>815</v>
      </c>
      <c r="G584" s="731" t="s">
        <v>816</v>
      </c>
      <c r="H584" s="732">
        <v>875</v>
      </c>
      <c r="I584" s="730" t="s">
        <v>674</v>
      </c>
      <c r="K584" s="730" t="s">
        <v>817</v>
      </c>
      <c r="O584" s="733">
        <v>1</v>
      </c>
      <c r="P584" s="734">
        <v>34669</v>
      </c>
      <c r="Q584" s="735">
        <v>0.05</v>
      </c>
      <c r="R584" s="736">
        <f t="shared" si="9"/>
        <v>1</v>
      </c>
      <c r="S584" s="735"/>
      <c r="T584" s="737">
        <f t="shared" si="10"/>
        <v>0</v>
      </c>
    </row>
    <row r="585" spans="1:20" s="730" customFormat="1" ht="13.2">
      <c r="A585">
        <v>2</v>
      </c>
      <c r="B585" s="730" t="s">
        <v>141</v>
      </c>
      <c r="D585" s="730" t="s">
        <v>992</v>
      </c>
      <c r="G585" s="731" t="s">
        <v>993</v>
      </c>
      <c r="H585" s="732">
        <v>620</v>
      </c>
      <c r="I585" s="730" t="s">
        <v>741</v>
      </c>
      <c r="O585" s="733">
        <v>2</v>
      </c>
      <c r="P585" s="734">
        <v>35431</v>
      </c>
      <c r="Q585" s="735">
        <v>3.8</v>
      </c>
      <c r="R585" s="736">
        <f t="shared" si="9"/>
        <v>7.6</v>
      </c>
      <c r="S585" s="735">
        <v>0.3</v>
      </c>
      <c r="T585" s="737">
        <f t="shared" si="10"/>
        <v>0.6</v>
      </c>
    </row>
    <row r="586" spans="1:20" s="730" customFormat="1" ht="13.2">
      <c r="A586">
        <v>1</v>
      </c>
      <c r="B586" s="730" t="s">
        <v>141</v>
      </c>
      <c r="D586" s="730" t="s">
        <v>994</v>
      </c>
      <c r="G586" s="731" t="s">
        <v>995</v>
      </c>
      <c r="H586" s="732">
        <v>510</v>
      </c>
      <c r="I586" s="730" t="s">
        <v>979</v>
      </c>
      <c r="J586" s="730" t="s">
        <v>996</v>
      </c>
      <c r="K586" s="730" t="s">
        <v>997</v>
      </c>
      <c r="O586" s="733">
        <v>2</v>
      </c>
      <c r="P586" s="734">
        <v>36880</v>
      </c>
      <c r="Q586" s="735">
        <v>20</v>
      </c>
      <c r="R586" s="736">
        <f t="shared" si="9"/>
        <v>20</v>
      </c>
      <c r="S586" s="735">
        <v>0.5</v>
      </c>
      <c r="T586" s="737">
        <f t="shared" si="10"/>
        <v>0.5</v>
      </c>
    </row>
    <row r="587" spans="1:20" s="730" customFormat="1" ht="13.2">
      <c r="A587">
        <v>1</v>
      </c>
      <c r="B587" s="730" t="s">
        <v>141</v>
      </c>
      <c r="D587" s="730" t="s">
        <v>731</v>
      </c>
      <c r="G587" s="731" t="s">
        <v>732</v>
      </c>
      <c r="H587" s="732">
        <v>875</v>
      </c>
      <c r="I587" s="730" t="s">
        <v>674</v>
      </c>
      <c r="K587" s="730" t="s">
        <v>733</v>
      </c>
      <c r="O587" s="733">
        <v>3</v>
      </c>
      <c r="P587" s="734">
        <v>34820</v>
      </c>
      <c r="Q587" s="735">
        <v>3.49</v>
      </c>
      <c r="R587" s="736">
        <f t="shared" si="9"/>
        <v>3.49</v>
      </c>
      <c r="S587" s="735">
        <v>0.05</v>
      </c>
      <c r="T587" s="737">
        <f t="shared" si="10"/>
        <v>0.05</v>
      </c>
    </row>
    <row r="588" spans="1:20" s="730" customFormat="1" ht="13.2">
      <c r="A588">
        <v>1</v>
      </c>
      <c r="B588" s="730" t="s">
        <v>141</v>
      </c>
      <c r="D588" s="730" t="s">
        <v>982</v>
      </c>
      <c r="G588" s="731" t="s">
        <v>983</v>
      </c>
      <c r="H588" s="732">
        <v>501</v>
      </c>
      <c r="I588" s="730" t="s">
        <v>674</v>
      </c>
      <c r="K588" s="730" t="s">
        <v>984</v>
      </c>
      <c r="O588" s="733">
        <v>1</v>
      </c>
      <c r="P588" s="734">
        <v>38136</v>
      </c>
      <c r="Q588" s="735">
        <v>10</v>
      </c>
      <c r="R588" s="736">
        <f t="shared" si="9"/>
        <v>10</v>
      </c>
      <c r="S588" s="735">
        <v>0.25</v>
      </c>
      <c r="T588" s="737">
        <f t="shared" si="10"/>
        <v>0.25</v>
      </c>
    </row>
    <row r="589" spans="1:20" s="730" customFormat="1" ht="13.2">
      <c r="A589"/>
      <c r="D589" s="864" t="s">
        <v>999</v>
      </c>
      <c r="G589" s="731"/>
      <c r="H589" s="732"/>
      <c r="O589" s="733"/>
      <c r="P589" s="734"/>
      <c r="Q589" s="735"/>
      <c r="R589" s="736">
        <f t="shared" si="9"/>
        <v>0</v>
      </c>
      <c r="S589" s="735"/>
      <c r="T589" s="737">
        <f t="shared" si="10"/>
        <v>0</v>
      </c>
    </row>
    <row r="590" spans="1:20" s="730" customFormat="1" ht="13.2">
      <c r="A590">
        <v>20</v>
      </c>
      <c r="B590" s="730" t="s">
        <v>326</v>
      </c>
      <c r="D590" s="730" t="s">
        <v>989</v>
      </c>
      <c r="F590" s="730" t="s">
        <v>1240</v>
      </c>
      <c r="G590" s="731" t="s">
        <v>990</v>
      </c>
      <c r="H590" s="732">
        <v>616</v>
      </c>
      <c r="I590" s="730" t="s">
        <v>561</v>
      </c>
      <c r="J590" s="730" t="s">
        <v>991</v>
      </c>
      <c r="O590" s="733">
        <v>2</v>
      </c>
      <c r="P590" s="734"/>
      <c r="Q590" s="735">
        <v>1.5</v>
      </c>
      <c r="R590" s="736">
        <f t="shared" si="9"/>
        <v>30</v>
      </c>
      <c r="S590" s="735">
        <v>0.05</v>
      </c>
      <c r="T590" s="737">
        <f t="shared" si="10"/>
        <v>1</v>
      </c>
    </row>
    <row r="591" spans="1:20" s="730" customFormat="1" ht="13.2">
      <c r="A591" s="167">
        <v>20</v>
      </c>
      <c r="B591" s="730" t="s">
        <v>141</v>
      </c>
      <c r="D591" s="730" t="s">
        <v>815</v>
      </c>
      <c r="G591" s="731" t="s">
        <v>816</v>
      </c>
      <c r="H591" s="732">
        <v>875</v>
      </c>
      <c r="I591" s="730" t="s">
        <v>674</v>
      </c>
      <c r="K591" s="730" t="s">
        <v>817</v>
      </c>
      <c r="O591" s="733">
        <v>1</v>
      </c>
      <c r="P591" s="734">
        <v>34669</v>
      </c>
      <c r="Q591" s="735">
        <v>0.05</v>
      </c>
      <c r="R591" s="736">
        <f t="shared" si="9"/>
        <v>1</v>
      </c>
      <c r="S591" s="735"/>
      <c r="T591" s="737">
        <f t="shared" si="10"/>
        <v>0</v>
      </c>
    </row>
    <row r="592" spans="1:20" s="730" customFormat="1" ht="13.2">
      <c r="A592">
        <v>2</v>
      </c>
      <c r="B592" s="730" t="s">
        <v>141</v>
      </c>
      <c r="D592" s="730" t="s">
        <v>992</v>
      </c>
      <c r="G592" s="731" t="s">
        <v>993</v>
      </c>
      <c r="H592" s="732">
        <v>620</v>
      </c>
      <c r="I592" s="730" t="s">
        <v>741</v>
      </c>
      <c r="O592" s="733">
        <v>2</v>
      </c>
      <c r="P592" s="734">
        <v>35431</v>
      </c>
      <c r="Q592" s="735">
        <v>3.8</v>
      </c>
      <c r="R592" s="736">
        <f t="shared" si="9"/>
        <v>7.6</v>
      </c>
      <c r="S592" s="735">
        <v>0.3</v>
      </c>
      <c r="T592" s="737">
        <f t="shared" si="10"/>
        <v>0.6</v>
      </c>
    </row>
    <row r="593" spans="1:20" s="730" customFormat="1" ht="13.2">
      <c r="A593">
        <v>1</v>
      </c>
      <c r="B593" s="730" t="s">
        <v>141</v>
      </c>
      <c r="D593" s="730" t="s">
        <v>994</v>
      </c>
      <c r="G593" s="731" t="s">
        <v>995</v>
      </c>
      <c r="H593" s="732">
        <v>510</v>
      </c>
      <c r="I593" s="730" t="s">
        <v>979</v>
      </c>
      <c r="J593" s="730" t="s">
        <v>996</v>
      </c>
      <c r="K593" s="730" t="s">
        <v>997</v>
      </c>
      <c r="O593" s="733">
        <v>2</v>
      </c>
      <c r="P593" s="734">
        <v>36880</v>
      </c>
      <c r="Q593" s="735">
        <v>20</v>
      </c>
      <c r="R593" s="736">
        <f t="shared" si="9"/>
        <v>20</v>
      </c>
      <c r="S593" s="735">
        <v>0.5</v>
      </c>
      <c r="T593" s="737">
        <f t="shared" si="10"/>
        <v>0.5</v>
      </c>
    </row>
    <row r="594" spans="1:20" s="730" customFormat="1" ht="13.2">
      <c r="A594">
        <v>1</v>
      </c>
      <c r="B594" s="730" t="s">
        <v>141</v>
      </c>
      <c r="D594" s="730" t="s">
        <v>731</v>
      </c>
      <c r="G594" s="731" t="s">
        <v>732</v>
      </c>
      <c r="H594" s="732">
        <v>875</v>
      </c>
      <c r="I594" s="730" t="s">
        <v>674</v>
      </c>
      <c r="K594" s="730" t="s">
        <v>733</v>
      </c>
      <c r="O594" s="733">
        <v>3</v>
      </c>
      <c r="P594" s="734">
        <v>34820</v>
      </c>
      <c r="Q594" s="735">
        <v>3.49</v>
      </c>
      <c r="R594" s="736">
        <f t="shared" ref="R594:R623" si="11">$A594*Q594</f>
        <v>3.49</v>
      </c>
      <c r="S594" s="735">
        <v>0.05</v>
      </c>
      <c r="T594" s="737">
        <f t="shared" ref="T594:T623" si="12">$A594*S594*$T$1</f>
        <v>0.05</v>
      </c>
    </row>
    <row r="595" spans="1:20" s="730" customFormat="1" ht="13.2">
      <c r="A595">
        <v>1</v>
      </c>
      <c r="B595" s="730" t="s">
        <v>141</v>
      </c>
      <c r="D595" s="730" t="s">
        <v>982</v>
      </c>
      <c r="G595" s="731" t="s">
        <v>983</v>
      </c>
      <c r="H595" s="732">
        <v>501</v>
      </c>
      <c r="I595" s="730" t="s">
        <v>674</v>
      </c>
      <c r="K595" s="730" t="s">
        <v>984</v>
      </c>
      <c r="O595" s="733">
        <v>1</v>
      </c>
      <c r="P595" s="734">
        <v>38136</v>
      </c>
      <c r="Q595" s="735">
        <v>10</v>
      </c>
      <c r="R595" s="736">
        <f t="shared" si="11"/>
        <v>10</v>
      </c>
      <c r="S595" s="735">
        <v>0.25</v>
      </c>
      <c r="T595" s="737">
        <f t="shared" si="12"/>
        <v>0.25</v>
      </c>
    </row>
    <row r="596" spans="1:20" s="730" customFormat="1" ht="13.2">
      <c r="A596"/>
      <c r="D596" s="864" t="s">
        <v>1041</v>
      </c>
      <c r="G596" s="731"/>
      <c r="H596" s="732"/>
      <c r="O596" s="733"/>
      <c r="P596" s="734"/>
      <c r="Q596" s="735"/>
      <c r="R596" s="736">
        <f t="shared" si="11"/>
        <v>0</v>
      </c>
      <c r="S596" s="735"/>
      <c r="T596" s="737">
        <f t="shared" si="12"/>
        <v>0</v>
      </c>
    </row>
    <row r="597" spans="1:20" s="730" customFormat="1" ht="13.2">
      <c r="A597">
        <v>25</v>
      </c>
      <c r="B597" s="730" t="s">
        <v>326</v>
      </c>
      <c r="D597" s="730" t="s">
        <v>1005</v>
      </c>
      <c r="F597" s="730" t="s">
        <v>1240</v>
      </c>
      <c r="G597" s="731" t="s">
        <v>1000</v>
      </c>
      <c r="H597" s="732">
        <v>616</v>
      </c>
      <c r="I597" s="730" t="s">
        <v>561</v>
      </c>
      <c r="J597" s="730" t="s">
        <v>991</v>
      </c>
      <c r="O597" s="733">
        <v>2</v>
      </c>
      <c r="P597" s="734">
        <v>40767</v>
      </c>
      <c r="Q597" s="735">
        <v>2.2000000000000002</v>
      </c>
      <c r="R597" s="736">
        <f t="shared" si="11"/>
        <v>55.000000000000007</v>
      </c>
      <c r="S597" s="735">
        <v>0.06</v>
      </c>
      <c r="T597" s="737">
        <f t="shared" si="12"/>
        <v>1.5</v>
      </c>
    </row>
    <row r="598" spans="1:20" s="730" customFormat="1" ht="13.2">
      <c r="A598" s="167">
        <v>25</v>
      </c>
      <c r="B598" s="730" t="s">
        <v>141</v>
      </c>
      <c r="D598" s="730" t="s">
        <v>815</v>
      </c>
      <c r="G598" s="731" t="s">
        <v>816</v>
      </c>
      <c r="H598" s="732">
        <v>875</v>
      </c>
      <c r="I598" s="730" t="s">
        <v>674</v>
      </c>
      <c r="K598" s="730" t="s">
        <v>817</v>
      </c>
      <c r="O598" s="733">
        <v>1</v>
      </c>
      <c r="P598" s="734">
        <v>34669</v>
      </c>
      <c r="Q598" s="735">
        <v>0.05</v>
      </c>
      <c r="R598" s="736">
        <f t="shared" si="11"/>
        <v>1.25</v>
      </c>
      <c r="S598" s="735"/>
      <c r="T598" s="737">
        <f t="shared" si="12"/>
        <v>0</v>
      </c>
    </row>
    <row r="599" spans="1:20" s="730" customFormat="1" ht="13.2">
      <c r="A599">
        <v>2</v>
      </c>
      <c r="B599" s="730" t="s">
        <v>141</v>
      </c>
      <c r="D599" s="730" t="s">
        <v>992</v>
      </c>
      <c r="G599" s="731" t="s">
        <v>993</v>
      </c>
      <c r="H599" s="732">
        <v>620</v>
      </c>
      <c r="I599" s="730" t="s">
        <v>741</v>
      </c>
      <c r="O599" s="733">
        <v>2</v>
      </c>
      <c r="P599" s="734">
        <v>35431</v>
      </c>
      <c r="Q599" s="735">
        <v>3.8</v>
      </c>
      <c r="R599" s="736">
        <f t="shared" si="11"/>
        <v>7.6</v>
      </c>
      <c r="S599" s="735">
        <v>0.3</v>
      </c>
      <c r="T599" s="737">
        <f t="shared" si="12"/>
        <v>0.6</v>
      </c>
    </row>
    <row r="600" spans="1:20" s="730" customFormat="1" ht="13.2">
      <c r="A600">
        <v>1</v>
      </c>
      <c r="B600" s="730" t="s">
        <v>141</v>
      </c>
      <c r="D600" s="730" t="s">
        <v>994</v>
      </c>
      <c r="G600" s="731" t="s">
        <v>995</v>
      </c>
      <c r="H600" s="732">
        <v>510</v>
      </c>
      <c r="I600" s="730" t="s">
        <v>979</v>
      </c>
      <c r="J600" s="730" t="s">
        <v>996</v>
      </c>
      <c r="K600" s="730" t="s">
        <v>997</v>
      </c>
      <c r="O600" s="733">
        <v>2</v>
      </c>
      <c r="P600" s="734">
        <v>36880</v>
      </c>
      <c r="Q600" s="735">
        <v>20</v>
      </c>
      <c r="R600" s="736">
        <f t="shared" si="11"/>
        <v>20</v>
      </c>
      <c r="S600" s="735">
        <v>0.5</v>
      </c>
      <c r="T600" s="737">
        <f t="shared" si="12"/>
        <v>0.5</v>
      </c>
    </row>
    <row r="601" spans="1:20" s="730" customFormat="1" ht="13.2">
      <c r="A601">
        <v>1</v>
      </c>
      <c r="B601" s="730" t="s">
        <v>141</v>
      </c>
      <c r="D601" s="730" t="s">
        <v>731</v>
      </c>
      <c r="G601" s="731" t="s">
        <v>732</v>
      </c>
      <c r="H601" s="732">
        <v>875</v>
      </c>
      <c r="I601" s="730" t="s">
        <v>674</v>
      </c>
      <c r="K601" s="730" t="s">
        <v>733</v>
      </c>
      <c r="O601" s="733">
        <v>3</v>
      </c>
      <c r="P601" s="734">
        <v>34820</v>
      </c>
      <c r="Q601" s="735">
        <v>3.49</v>
      </c>
      <c r="R601" s="736">
        <f t="shared" si="11"/>
        <v>3.49</v>
      </c>
      <c r="S601" s="735">
        <v>0.05</v>
      </c>
      <c r="T601" s="737">
        <f t="shared" si="12"/>
        <v>0.05</v>
      </c>
    </row>
    <row r="602" spans="1:20" s="730" customFormat="1" ht="13.2">
      <c r="A602">
        <v>1</v>
      </c>
      <c r="B602" s="730" t="s">
        <v>141</v>
      </c>
      <c r="D602" s="730" t="s">
        <v>982</v>
      </c>
      <c r="G602" s="731" t="s">
        <v>983</v>
      </c>
      <c r="H602" s="732">
        <v>501</v>
      </c>
      <c r="I602" s="730" t="s">
        <v>674</v>
      </c>
      <c r="K602" s="730" t="s">
        <v>984</v>
      </c>
      <c r="O602" s="733">
        <v>1</v>
      </c>
      <c r="P602" s="734">
        <v>38136</v>
      </c>
      <c r="Q602" s="735">
        <v>10</v>
      </c>
      <c r="R602" s="736">
        <f t="shared" si="11"/>
        <v>10</v>
      </c>
      <c r="S602" s="735">
        <v>0.25</v>
      </c>
      <c r="T602" s="737">
        <f t="shared" si="12"/>
        <v>0.25</v>
      </c>
    </row>
    <row r="603" spans="1:20" s="730" customFormat="1" ht="13.2">
      <c r="A603"/>
      <c r="D603" s="864" t="s">
        <v>1043</v>
      </c>
      <c r="G603" s="731"/>
      <c r="H603" s="732"/>
      <c r="O603" s="733"/>
      <c r="P603" s="734"/>
      <c r="Q603" s="735"/>
      <c r="R603" s="736">
        <f t="shared" si="11"/>
        <v>0</v>
      </c>
      <c r="S603" s="735"/>
      <c r="T603" s="737">
        <f t="shared" si="12"/>
        <v>0</v>
      </c>
    </row>
    <row r="604" spans="1:20" s="730" customFormat="1" ht="13.2">
      <c r="A604">
        <v>15</v>
      </c>
      <c r="B604" s="730" t="s">
        <v>326</v>
      </c>
      <c r="D604" s="730" t="s">
        <v>1004</v>
      </c>
      <c r="F604" s="730" t="s">
        <v>1240</v>
      </c>
      <c r="G604" s="731" t="s">
        <v>1000</v>
      </c>
      <c r="H604" s="732">
        <v>616</v>
      </c>
      <c r="I604" s="730" t="s">
        <v>561</v>
      </c>
      <c r="J604" s="730" t="s">
        <v>991</v>
      </c>
      <c r="O604" s="733">
        <v>2</v>
      </c>
      <c r="P604" s="734">
        <v>40767</v>
      </c>
      <c r="Q604" s="735">
        <v>2.2000000000000002</v>
      </c>
      <c r="R604" s="736">
        <f t="shared" si="11"/>
        <v>33</v>
      </c>
      <c r="S604" s="735">
        <v>0.06</v>
      </c>
      <c r="T604" s="737">
        <f t="shared" si="12"/>
        <v>0.89999999999999991</v>
      </c>
    </row>
    <row r="605" spans="1:20" s="730" customFormat="1" ht="13.2">
      <c r="A605" s="167">
        <v>15</v>
      </c>
      <c r="B605" s="730" t="s">
        <v>141</v>
      </c>
      <c r="D605" s="730" t="s">
        <v>815</v>
      </c>
      <c r="G605" s="731" t="s">
        <v>816</v>
      </c>
      <c r="H605" s="732">
        <v>875</v>
      </c>
      <c r="I605" s="730" t="s">
        <v>674</v>
      </c>
      <c r="K605" s="730" t="s">
        <v>817</v>
      </c>
      <c r="O605" s="733">
        <v>1</v>
      </c>
      <c r="P605" s="734">
        <v>34669</v>
      </c>
      <c r="Q605" s="735">
        <v>0.05</v>
      </c>
      <c r="R605" s="736">
        <f t="shared" si="11"/>
        <v>0.75</v>
      </c>
      <c r="S605" s="735"/>
      <c r="T605" s="737">
        <f t="shared" si="12"/>
        <v>0</v>
      </c>
    </row>
    <row r="606" spans="1:20" s="730" customFormat="1" ht="13.2">
      <c r="A606">
        <v>2</v>
      </c>
      <c r="B606" s="730" t="s">
        <v>141</v>
      </c>
      <c r="D606" s="730" t="s">
        <v>992</v>
      </c>
      <c r="G606" s="731" t="s">
        <v>993</v>
      </c>
      <c r="H606" s="732">
        <v>620</v>
      </c>
      <c r="I606" s="730" t="s">
        <v>741</v>
      </c>
      <c r="O606" s="733">
        <v>2</v>
      </c>
      <c r="P606" s="734">
        <v>35431</v>
      </c>
      <c r="Q606" s="735">
        <v>3.8</v>
      </c>
      <c r="R606" s="736">
        <f t="shared" si="11"/>
        <v>7.6</v>
      </c>
      <c r="S606" s="735">
        <v>0.3</v>
      </c>
      <c r="T606" s="737">
        <f t="shared" si="12"/>
        <v>0.6</v>
      </c>
    </row>
    <row r="607" spans="1:20" s="730" customFormat="1" ht="13.2">
      <c r="A607">
        <v>1</v>
      </c>
      <c r="B607" s="730" t="s">
        <v>141</v>
      </c>
      <c r="D607" s="730" t="s">
        <v>994</v>
      </c>
      <c r="G607" s="731" t="s">
        <v>995</v>
      </c>
      <c r="H607" s="732">
        <v>510</v>
      </c>
      <c r="I607" s="730" t="s">
        <v>979</v>
      </c>
      <c r="J607" s="730" t="s">
        <v>996</v>
      </c>
      <c r="K607" s="730" t="s">
        <v>997</v>
      </c>
      <c r="O607" s="733">
        <v>2</v>
      </c>
      <c r="P607" s="734">
        <v>36880</v>
      </c>
      <c r="Q607" s="735">
        <v>20</v>
      </c>
      <c r="R607" s="736">
        <f t="shared" si="11"/>
        <v>20</v>
      </c>
      <c r="S607" s="735">
        <v>0.5</v>
      </c>
      <c r="T607" s="737">
        <f t="shared" si="12"/>
        <v>0.5</v>
      </c>
    </row>
    <row r="608" spans="1:20" s="730" customFormat="1" ht="13.2">
      <c r="A608">
        <v>1</v>
      </c>
      <c r="B608" s="730" t="s">
        <v>141</v>
      </c>
      <c r="D608" s="730" t="s">
        <v>731</v>
      </c>
      <c r="G608" s="731" t="s">
        <v>732</v>
      </c>
      <c r="H608" s="732">
        <v>875</v>
      </c>
      <c r="I608" s="730" t="s">
        <v>674</v>
      </c>
      <c r="K608" s="730" t="s">
        <v>733</v>
      </c>
      <c r="O608" s="733">
        <v>3</v>
      </c>
      <c r="P608" s="734">
        <v>34820</v>
      </c>
      <c r="Q608" s="735">
        <v>3.49</v>
      </c>
      <c r="R608" s="736">
        <f t="shared" si="11"/>
        <v>3.49</v>
      </c>
      <c r="S608" s="735">
        <v>0.05</v>
      </c>
      <c r="T608" s="737">
        <f t="shared" si="12"/>
        <v>0.05</v>
      </c>
    </row>
    <row r="609" spans="1:21" s="730" customFormat="1" ht="13.2">
      <c r="A609">
        <v>1</v>
      </c>
      <c r="B609" s="730" t="s">
        <v>141</v>
      </c>
      <c r="D609" s="730" t="s">
        <v>982</v>
      </c>
      <c r="G609" s="731" t="s">
        <v>983</v>
      </c>
      <c r="H609" s="732">
        <v>501</v>
      </c>
      <c r="I609" s="730" t="s">
        <v>674</v>
      </c>
      <c r="K609" s="730" t="s">
        <v>984</v>
      </c>
      <c r="O609" s="733">
        <v>1</v>
      </c>
      <c r="P609" s="734">
        <v>38136</v>
      </c>
      <c r="Q609" s="735">
        <v>10</v>
      </c>
      <c r="R609" s="736">
        <f t="shared" si="11"/>
        <v>10</v>
      </c>
      <c r="S609" s="735">
        <v>0.25</v>
      </c>
      <c r="T609" s="737">
        <f t="shared" si="12"/>
        <v>0.25</v>
      </c>
    </row>
    <row r="610" spans="1:21" s="730" customFormat="1" ht="13.2">
      <c r="A610"/>
      <c r="D610" s="864" t="s">
        <v>1042</v>
      </c>
      <c r="G610" s="731"/>
      <c r="H610" s="732"/>
      <c r="O610" s="733"/>
      <c r="P610" s="734"/>
      <c r="Q610" s="735"/>
      <c r="R610" s="736">
        <f t="shared" si="11"/>
        <v>0</v>
      </c>
      <c r="S610" s="735"/>
      <c r="T610" s="737">
        <f t="shared" si="12"/>
        <v>0</v>
      </c>
    </row>
    <row r="611" spans="1:21" s="730" customFormat="1" ht="13.2">
      <c r="A611">
        <v>15</v>
      </c>
      <c r="B611" s="730" t="s">
        <v>326</v>
      </c>
      <c r="D611" s="730" t="s">
        <v>1004</v>
      </c>
      <c r="F611" s="730" t="s">
        <v>1240</v>
      </c>
      <c r="G611" s="731" t="s">
        <v>1000</v>
      </c>
      <c r="H611" s="732">
        <v>616</v>
      </c>
      <c r="I611" s="730" t="s">
        <v>561</v>
      </c>
      <c r="J611" s="730" t="s">
        <v>991</v>
      </c>
      <c r="O611" s="733">
        <v>2</v>
      </c>
      <c r="P611" s="734">
        <v>40767</v>
      </c>
      <c r="Q611" s="735">
        <v>2.2000000000000002</v>
      </c>
      <c r="R611" s="736">
        <f t="shared" si="11"/>
        <v>33</v>
      </c>
      <c r="S611" s="735">
        <v>0.06</v>
      </c>
      <c r="T611" s="737">
        <f t="shared" si="12"/>
        <v>0.89999999999999991</v>
      </c>
    </row>
    <row r="612" spans="1:21" s="730" customFormat="1" ht="13.2">
      <c r="A612" s="167">
        <v>15</v>
      </c>
      <c r="B612" s="730" t="s">
        <v>141</v>
      </c>
      <c r="D612" s="730" t="s">
        <v>815</v>
      </c>
      <c r="G612" s="731" t="s">
        <v>816</v>
      </c>
      <c r="H612" s="732">
        <v>875</v>
      </c>
      <c r="I612" s="730" t="s">
        <v>674</v>
      </c>
      <c r="K612" s="730" t="s">
        <v>817</v>
      </c>
      <c r="O612" s="733">
        <v>1</v>
      </c>
      <c r="P612" s="734">
        <v>34669</v>
      </c>
      <c r="Q612" s="735">
        <v>0.05</v>
      </c>
      <c r="R612" s="736">
        <f t="shared" si="11"/>
        <v>0.75</v>
      </c>
      <c r="S612" s="735"/>
      <c r="T612" s="737">
        <f t="shared" si="12"/>
        <v>0</v>
      </c>
    </row>
    <row r="613" spans="1:21" s="730" customFormat="1" ht="13.2">
      <c r="A613">
        <v>2</v>
      </c>
      <c r="B613" s="730" t="s">
        <v>141</v>
      </c>
      <c r="D613" s="730" t="s">
        <v>992</v>
      </c>
      <c r="G613" s="731" t="s">
        <v>993</v>
      </c>
      <c r="H613" s="732">
        <v>620</v>
      </c>
      <c r="I613" s="730" t="s">
        <v>741</v>
      </c>
      <c r="O613" s="733">
        <v>2</v>
      </c>
      <c r="P613" s="734">
        <v>35431</v>
      </c>
      <c r="Q613" s="735">
        <v>3.8</v>
      </c>
      <c r="R613" s="736">
        <f t="shared" si="11"/>
        <v>7.6</v>
      </c>
      <c r="S613" s="735">
        <v>0.3</v>
      </c>
      <c r="T613" s="737">
        <f t="shared" si="12"/>
        <v>0.6</v>
      </c>
    </row>
    <row r="614" spans="1:21" s="730" customFormat="1" ht="13.2">
      <c r="A614">
        <v>1</v>
      </c>
      <c r="B614" s="730" t="s">
        <v>141</v>
      </c>
      <c r="D614" s="730" t="s">
        <v>994</v>
      </c>
      <c r="G614" s="731" t="s">
        <v>995</v>
      </c>
      <c r="H614" s="732">
        <v>510</v>
      </c>
      <c r="I614" s="730" t="s">
        <v>979</v>
      </c>
      <c r="J614" s="730" t="s">
        <v>996</v>
      </c>
      <c r="K614" s="730" t="s">
        <v>997</v>
      </c>
      <c r="O614" s="733">
        <v>2</v>
      </c>
      <c r="P614" s="734">
        <v>36880</v>
      </c>
      <c r="Q614" s="735">
        <v>20</v>
      </c>
      <c r="R614" s="736">
        <f t="shared" si="11"/>
        <v>20</v>
      </c>
      <c r="S614" s="735">
        <v>0.5</v>
      </c>
      <c r="T614" s="737">
        <f t="shared" si="12"/>
        <v>0.5</v>
      </c>
    </row>
    <row r="615" spans="1:21" s="730" customFormat="1" ht="13.2">
      <c r="A615">
        <v>1</v>
      </c>
      <c r="B615" s="730" t="s">
        <v>141</v>
      </c>
      <c r="D615" s="730" t="s">
        <v>731</v>
      </c>
      <c r="G615" s="731" t="s">
        <v>732</v>
      </c>
      <c r="H615" s="732">
        <v>875</v>
      </c>
      <c r="I615" s="730" t="s">
        <v>674</v>
      </c>
      <c r="K615" s="730" t="s">
        <v>733</v>
      </c>
      <c r="O615" s="733">
        <v>3</v>
      </c>
      <c r="P615" s="734">
        <v>34820</v>
      </c>
      <c r="Q615" s="735">
        <v>3.49</v>
      </c>
      <c r="R615" s="736">
        <f t="shared" si="11"/>
        <v>3.49</v>
      </c>
      <c r="S615" s="735">
        <v>0.05</v>
      </c>
      <c r="T615" s="737">
        <f t="shared" si="12"/>
        <v>0.05</v>
      </c>
    </row>
    <row r="616" spans="1:21" s="730" customFormat="1" ht="13.2">
      <c r="A616">
        <v>1</v>
      </c>
      <c r="B616" s="730" t="s">
        <v>141</v>
      </c>
      <c r="D616" s="730" t="s">
        <v>982</v>
      </c>
      <c r="G616" s="731" t="s">
        <v>983</v>
      </c>
      <c r="H616" s="732">
        <v>501</v>
      </c>
      <c r="I616" s="730" t="s">
        <v>674</v>
      </c>
      <c r="K616" s="730" t="s">
        <v>984</v>
      </c>
      <c r="O616" s="733">
        <v>1</v>
      </c>
      <c r="P616" s="734">
        <v>38136</v>
      </c>
      <c r="Q616" s="735">
        <v>10</v>
      </c>
      <c r="R616" s="736">
        <f t="shared" si="11"/>
        <v>10</v>
      </c>
      <c r="S616" s="735">
        <v>0.25</v>
      </c>
      <c r="T616" s="737">
        <f t="shared" si="12"/>
        <v>0.25</v>
      </c>
    </row>
    <row r="617" spans="1:21" s="730" customFormat="1" ht="13.2">
      <c r="A617"/>
      <c r="D617" s="864" t="s">
        <v>1001</v>
      </c>
      <c r="G617" s="731"/>
      <c r="H617" s="732"/>
      <c r="O617" s="733"/>
      <c r="P617" s="734"/>
      <c r="Q617" s="735"/>
      <c r="R617" s="736">
        <f t="shared" si="11"/>
        <v>0</v>
      </c>
      <c r="S617" s="735"/>
      <c r="T617" s="737">
        <f t="shared" si="12"/>
        <v>0</v>
      </c>
    </row>
    <row r="618" spans="1:21" s="730" customFormat="1" ht="13.2">
      <c r="A618">
        <v>50</v>
      </c>
      <c r="B618" s="730" t="s">
        <v>326</v>
      </c>
      <c r="D618" s="730" t="s">
        <v>1002</v>
      </c>
      <c r="G618" s="731" t="s">
        <v>1003</v>
      </c>
      <c r="H618" s="732">
        <v>650</v>
      </c>
      <c r="I618" s="730" t="s">
        <v>674</v>
      </c>
      <c r="O618" s="733">
        <v>1</v>
      </c>
      <c r="P618" s="734">
        <v>36897</v>
      </c>
      <c r="Q618" s="735">
        <v>5</v>
      </c>
      <c r="R618" s="736">
        <f t="shared" si="11"/>
        <v>250</v>
      </c>
      <c r="S618" s="735">
        <v>0.25</v>
      </c>
      <c r="T618" s="737">
        <f t="shared" si="12"/>
        <v>12.5</v>
      </c>
    </row>
    <row r="619" spans="1:21" s="730" customFormat="1" ht="13.2">
      <c r="A619">
        <f>ROUNDUP(50/3,0)</f>
        <v>17</v>
      </c>
      <c r="B619" s="730" t="s">
        <v>326</v>
      </c>
      <c r="D619" s="730" t="s">
        <v>868</v>
      </c>
      <c r="E619" s="730" t="s">
        <v>866</v>
      </c>
      <c r="G619" s="731" t="s">
        <v>869</v>
      </c>
      <c r="H619" s="732">
        <v>650</v>
      </c>
      <c r="I619" s="730" t="s">
        <v>674</v>
      </c>
      <c r="O619" s="733">
        <v>1</v>
      </c>
      <c r="P619" s="734">
        <v>35705</v>
      </c>
      <c r="Q619" s="735">
        <f>ROUNDUP(0.22*2*1.145,2)</f>
        <v>0.51</v>
      </c>
      <c r="R619" s="736">
        <f t="shared" si="11"/>
        <v>8.67</v>
      </c>
      <c r="S619" s="735"/>
      <c r="T619" s="737">
        <f t="shared" si="12"/>
        <v>0</v>
      </c>
    </row>
    <row r="620" spans="1:21" s="730" customFormat="1" ht="13.2">
      <c r="A620">
        <f>ROUNDUP(50/3*8,0)</f>
        <v>134</v>
      </c>
      <c r="B620" s="730" t="s">
        <v>141</v>
      </c>
      <c r="D620" s="730" t="s">
        <v>870</v>
      </c>
      <c r="G620" s="731" t="s">
        <v>871</v>
      </c>
      <c r="H620" s="732">
        <v>875</v>
      </c>
      <c r="I620" s="730" t="s">
        <v>674</v>
      </c>
      <c r="K620" s="730" t="s">
        <v>872</v>
      </c>
      <c r="O620" s="733">
        <v>1</v>
      </c>
      <c r="P620" s="734">
        <v>34669</v>
      </c>
      <c r="Q620" s="735">
        <v>7.0000000000000007E-2</v>
      </c>
      <c r="R620" s="736">
        <f t="shared" si="11"/>
        <v>9.3800000000000008</v>
      </c>
      <c r="S620" s="735"/>
      <c r="T620" s="737">
        <f t="shared" si="12"/>
        <v>0</v>
      </c>
    </row>
    <row r="621" spans="1:21" s="730" customFormat="1" ht="13.2">
      <c r="A621">
        <v>50</v>
      </c>
      <c r="B621" s="730" t="s">
        <v>141</v>
      </c>
      <c r="D621" s="730" t="s">
        <v>873</v>
      </c>
      <c r="G621" s="731" t="s">
        <v>874</v>
      </c>
      <c r="H621" s="732">
        <v>501</v>
      </c>
      <c r="I621" s="730" t="s">
        <v>875</v>
      </c>
      <c r="J621" s="730" t="s">
        <v>876</v>
      </c>
      <c r="K621" s="730" t="s">
        <v>877</v>
      </c>
      <c r="O621" s="733">
        <v>1</v>
      </c>
      <c r="P621" s="734">
        <v>36175</v>
      </c>
      <c r="Q621" s="735">
        <v>0.51</v>
      </c>
      <c r="R621" s="736">
        <f t="shared" si="11"/>
        <v>25.5</v>
      </c>
      <c r="S621" s="735"/>
      <c r="T621" s="737">
        <f t="shared" si="12"/>
        <v>0</v>
      </c>
    </row>
    <row r="622" spans="1:21" s="730" customFormat="1" ht="13.2">
      <c r="A622">
        <v>50</v>
      </c>
      <c r="B622" s="730" t="s">
        <v>141</v>
      </c>
      <c r="D622" s="730" t="s">
        <v>878</v>
      </c>
      <c r="G622" s="731" t="s">
        <v>879</v>
      </c>
      <c r="H622" s="732">
        <v>501</v>
      </c>
      <c r="I622" s="730" t="s">
        <v>674</v>
      </c>
      <c r="K622" s="730" t="s">
        <v>733</v>
      </c>
      <c r="O622" s="733">
        <v>1</v>
      </c>
      <c r="P622" s="734"/>
      <c r="Q622" s="735">
        <v>0.05</v>
      </c>
      <c r="R622" s="736">
        <f t="shared" si="11"/>
        <v>2.5</v>
      </c>
      <c r="S622" s="735"/>
      <c r="T622" s="737">
        <f t="shared" si="12"/>
        <v>0</v>
      </c>
    </row>
    <row r="623" spans="1:21" s="730" customFormat="1" ht="13.2">
      <c r="A623">
        <f>ROUNDUP(50/3,0)</f>
        <v>17</v>
      </c>
      <c r="B623" s="730" t="s">
        <v>141</v>
      </c>
      <c r="D623" s="730" t="s">
        <v>880</v>
      </c>
      <c r="G623" s="731" t="s">
        <v>881</v>
      </c>
      <c r="H623" s="732">
        <v>875</v>
      </c>
      <c r="I623" s="730" t="s">
        <v>674</v>
      </c>
      <c r="K623" s="730" t="s">
        <v>882</v>
      </c>
      <c r="O623" s="733">
        <v>1</v>
      </c>
      <c r="P623" s="734">
        <v>34669</v>
      </c>
      <c r="Q623" s="735">
        <v>0.5</v>
      </c>
      <c r="R623" s="736">
        <f t="shared" si="11"/>
        <v>8.5</v>
      </c>
      <c r="S623" s="735">
        <v>0</v>
      </c>
      <c r="T623" s="737">
        <f t="shared" si="12"/>
        <v>0</v>
      </c>
    </row>
    <row r="624" spans="1:21" s="713" customFormat="1" ht="13.2">
      <c r="A624"/>
      <c r="B624" s="807"/>
      <c r="C624" s="807" t="s">
        <v>692</v>
      </c>
      <c r="D624" s="807" t="str">
        <f ca="1">CELL("Address",Elec_Rates!D$321)</f>
        <v>[E25_0477_IH_Retro_Elec_Est_Rev_A_AW.xlsx]Elec_Rates!$D$321</v>
      </c>
      <c r="E624" s="808"/>
      <c r="F624" s="808"/>
      <c r="G624" s="809" t="s">
        <v>693</v>
      </c>
      <c r="H624" s="809"/>
      <c r="I624" s="809"/>
      <c r="J624" s="809"/>
      <c r="K624" s="810"/>
      <c r="L624" s="808"/>
      <c r="M624" s="808"/>
      <c r="N624" s="808"/>
      <c r="O624" s="811"/>
      <c r="P624" s="808"/>
      <c r="Q624" s="812"/>
      <c r="R624" s="813"/>
      <c r="S624" s="812"/>
      <c r="T624" s="814"/>
      <c r="U624" s="815"/>
    </row>
    <row r="625" spans="1:41" s="713" customFormat="1" ht="11.4">
      <c r="A625" s="816">
        <v>50</v>
      </c>
      <c r="B625" s="817">
        <v>1</v>
      </c>
      <c r="C625" s="817">
        <f>$A625*$B625</f>
        <v>50</v>
      </c>
      <c r="D625" s="818" t="str">
        <f>Elec_Rates!$D$321</f>
        <v>026# Bracket for 200-300mm cable tray</v>
      </c>
      <c r="E625" s="818"/>
      <c r="F625" s="818" t="s">
        <v>694</v>
      </c>
      <c r="G625" s="819" t="s">
        <v>695</v>
      </c>
      <c r="H625" s="819"/>
      <c r="I625" s="819"/>
      <c r="J625" s="819"/>
      <c r="K625" s="820"/>
      <c r="L625" s="815"/>
      <c r="M625" s="815"/>
      <c r="N625" s="815"/>
      <c r="O625" s="821"/>
      <c r="P625" s="818"/>
      <c r="Q625" s="822">
        <f ca="1">$B625*Elec_Rates!$R$321</f>
        <v>3.72</v>
      </c>
      <c r="R625" s="813">
        <f ca="1">$A625*Q625</f>
        <v>186</v>
      </c>
      <c r="S625" s="822">
        <f ca="1">$B625*Elec_Rates!$T$321</f>
        <v>0.25</v>
      </c>
      <c r="T625" s="814">
        <f ca="1">$A625*S625</f>
        <v>12.5</v>
      </c>
      <c r="U625" s="583"/>
    </row>
    <row r="626" spans="1:41" s="602" customFormat="1" ht="12">
      <c r="A626" s="663"/>
      <c r="B626" s="663"/>
      <c r="C626" s="663"/>
      <c r="D626" s="663"/>
      <c r="E626" s="663"/>
      <c r="F626" s="664"/>
      <c r="G626" s="663"/>
      <c r="H626" s="663"/>
      <c r="I626" s="601"/>
      <c r="J626" s="663"/>
      <c r="K626" s="663"/>
      <c r="L626" s="663"/>
      <c r="M626" s="663"/>
      <c r="N626" s="663"/>
      <c r="O626" s="663"/>
      <c r="P626" s="663"/>
      <c r="Q626" s="601"/>
      <c r="R626" s="666">
        <f>$A626*Q626</f>
        <v>0</v>
      </c>
      <c r="S626" s="601"/>
      <c r="T626" s="681">
        <f>$A626*S626*$T$1</f>
        <v>0</v>
      </c>
    </row>
    <row r="627" spans="1:41" s="602" customFormat="1" ht="12.6" thickBot="1">
      <c r="A627" s="682" t="s">
        <v>145</v>
      </c>
      <c r="B627" s="683">
        <f>(R626+T626)</f>
        <v>0</v>
      </c>
      <c r="C627" s="684"/>
      <c r="D627" s="684"/>
      <c r="E627" s="684"/>
      <c r="F627" s="685"/>
      <c r="G627" s="684" t="s">
        <v>146</v>
      </c>
      <c r="H627" s="684"/>
      <c r="I627" s="686"/>
      <c r="J627" s="684"/>
      <c r="K627" s="684" t="s">
        <v>3</v>
      </c>
      <c r="L627" s="687" t="s">
        <v>143</v>
      </c>
      <c r="M627" s="687"/>
      <c r="N627" s="687"/>
      <c r="O627" s="687"/>
      <c r="P627" s="687"/>
      <c r="Q627" s="688"/>
      <c r="R627" s="689">
        <f ca="1">SUM(R529:R626)</f>
        <v>4392.9899999999989</v>
      </c>
      <c r="S627" s="684"/>
      <c r="T627" s="689">
        <f ca="1">SUM(T529:T626)</f>
        <v>81.999999999999972</v>
      </c>
      <c r="U627" s="611"/>
      <c r="V627" s="611"/>
      <c r="W627" s="611"/>
      <c r="X627" s="611"/>
      <c r="Y627" s="611"/>
      <c r="Z627" s="611"/>
      <c r="AA627" s="611"/>
      <c r="AB627" s="611"/>
      <c r="AC627" s="611"/>
      <c r="AD627" s="611"/>
      <c r="AE627" s="611"/>
      <c r="AF627" s="611"/>
      <c r="AG627" s="611"/>
      <c r="AH627" s="611"/>
      <c r="AI627" s="611"/>
      <c r="AJ627" s="611"/>
      <c r="AK627" s="611"/>
      <c r="AL627" s="611"/>
      <c r="AM627" s="611"/>
      <c r="AN627" s="611"/>
      <c r="AO627" s="611"/>
    </row>
    <row r="628" spans="1:41" s="602" customFormat="1" thickTop="1">
      <c r="A628" s="63"/>
      <c r="B628" s="63"/>
      <c r="C628" s="3"/>
      <c r="D628" s="3"/>
      <c r="E628" s="63"/>
      <c r="F628" s="63"/>
      <c r="G628" s="63"/>
      <c r="H628" s="63"/>
      <c r="I628" s="63"/>
      <c r="J628" s="63"/>
      <c r="K628" s="63" t="s">
        <v>134</v>
      </c>
      <c r="L628" s="63"/>
      <c r="M628" s="63"/>
      <c r="N628" s="63"/>
      <c r="O628" s="64"/>
      <c r="P628" s="63"/>
      <c r="Q628" s="63"/>
      <c r="R628" s="63"/>
      <c r="S628" s="63"/>
      <c r="T628" s="63"/>
    </row>
    <row r="629" spans="1:41" s="602" customFormat="1" ht="12">
      <c r="A629" s="63"/>
      <c r="B629" s="63"/>
      <c r="C629" s="63" t="s">
        <v>135</v>
      </c>
      <c r="D629" s="673" t="s">
        <v>495</v>
      </c>
      <c r="E629" s="63"/>
      <c r="F629" s="63"/>
      <c r="G629" s="63"/>
      <c r="H629" s="63"/>
      <c r="I629" s="63"/>
      <c r="J629" s="63"/>
      <c r="K629" s="63"/>
      <c r="L629" s="63"/>
      <c r="M629" s="63"/>
      <c r="N629" s="63"/>
      <c r="O629" s="64"/>
      <c r="P629" s="63"/>
      <c r="Q629" s="63"/>
      <c r="R629" s="63"/>
      <c r="S629" s="63"/>
      <c r="T629" s="63"/>
    </row>
    <row r="630" spans="1:41" s="602" customFormat="1" ht="13.2">
      <c r="A630" s="63"/>
      <c r="B630" s="63"/>
      <c r="C630" s="63"/>
      <c r="D630" s="1368" t="s">
        <v>349</v>
      </c>
      <c r="E630" s="1369"/>
      <c r="F630" s="1369"/>
      <c r="G630" s="1369"/>
      <c r="H630" s="1369"/>
      <c r="I630" s="1369"/>
      <c r="J630" s="1369"/>
      <c r="K630" s="1369"/>
      <c r="L630" s="1369"/>
      <c r="M630" s="1369"/>
      <c r="N630" s="1369"/>
      <c r="O630" s="1369"/>
      <c r="P630" s="1369"/>
      <c r="Q630" s="1369"/>
      <c r="R630" s="1369"/>
      <c r="S630" s="1369"/>
      <c r="T630" s="1369"/>
    </row>
    <row r="631" spans="1:41" s="3" customFormat="1" thickBot="1">
      <c r="A631" s="611"/>
      <c r="O631" s="158"/>
    </row>
    <row r="632" spans="1:41" s="602" customFormat="1" ht="12" thickTop="1">
      <c r="A632" s="63"/>
      <c r="B632" s="41"/>
      <c r="C632" s="63"/>
      <c r="E632" s="42" t="s">
        <v>138</v>
      </c>
      <c r="F632" s="42" t="s">
        <v>139</v>
      </c>
      <c r="G632" s="63"/>
      <c r="H632" s="63"/>
      <c r="I632" s="63"/>
      <c r="J632" s="63"/>
      <c r="K632" s="63" t="s">
        <v>140</v>
      </c>
      <c r="L632" s="63"/>
      <c r="M632" s="63"/>
      <c r="N632" s="63"/>
      <c r="O632" s="64"/>
      <c r="P632" s="63"/>
      <c r="Q632" s="63"/>
      <c r="R632" s="63"/>
      <c r="S632" s="63"/>
      <c r="T632" s="41"/>
      <c r="AG632" s="667" t="s">
        <v>278</v>
      </c>
      <c r="AH632" s="667" t="s">
        <v>279</v>
      </c>
      <c r="AI632" s="667" t="s">
        <v>280</v>
      </c>
      <c r="AJ632" s="667" t="s">
        <v>281</v>
      </c>
      <c r="AK632" s="667" t="s">
        <v>282</v>
      </c>
      <c r="AM632" s="668" t="s">
        <v>291</v>
      </c>
      <c r="AN632" s="669" t="s">
        <v>292</v>
      </c>
      <c r="AO632" s="603" t="s">
        <v>288</v>
      </c>
    </row>
    <row r="633" spans="1:41" s="602" customFormat="1" ht="12" customHeight="1">
      <c r="A633" s="670">
        <v>1</v>
      </c>
      <c r="B633" s="671" t="s">
        <v>312</v>
      </c>
      <c r="C633" s="672"/>
      <c r="D633" s="673" t="s">
        <v>495</v>
      </c>
      <c r="E633" s="674">
        <f>IF(AND($A633=0,$A$1="DIF"),0, ROUND(ROUND(($R659*$S$2+($T659*$T$2))/A633,2)*$C$2,2))</f>
        <v>0</v>
      </c>
      <c r="F633" s="675">
        <f>ROUND($A633*$E633,2)</f>
        <v>0</v>
      </c>
      <c r="G633" s="676" t="s">
        <v>142</v>
      </c>
      <c r="H633" s="664"/>
      <c r="I633" s="677"/>
      <c r="J633" s="664"/>
      <c r="K633" s="664" t="s">
        <v>3</v>
      </c>
      <c r="L633" s="678" t="s">
        <v>143</v>
      </c>
      <c r="M633" s="678"/>
      <c r="N633" s="678"/>
      <c r="O633" s="678"/>
      <c r="P633" s="678"/>
      <c r="Q633" s="839" t="s">
        <v>1067</v>
      </c>
      <c r="T633" s="679" t="str">
        <f>IF(AND($R659=0,$T659=0),"0.00","mu :" &amp; ROUND($F633/$C$2/($R659+$T659*$D$9),2))</f>
        <v>0.00</v>
      </c>
      <c r="W633" s="604"/>
      <c r="AG633" s="549">
        <f>IF($E633=0,0,ROUND($R659*$S$2*$C$2/$A633,2))</f>
        <v>0</v>
      </c>
      <c r="AH633" s="549">
        <f>$AG633*$A633</f>
        <v>0</v>
      </c>
      <c r="AI633" s="605">
        <f>$E633-$AG633</f>
        <v>0</v>
      </c>
      <c r="AJ633" s="605">
        <f>$A633*$AI633</f>
        <v>0</v>
      </c>
      <c r="AK633" s="606">
        <f>ROUND(($AG633+$AI633)*$A633,2)</f>
        <v>0</v>
      </c>
      <c r="AM633" s="607">
        <f>ROUND(R659,2)</f>
        <v>0</v>
      </c>
      <c r="AN633" s="608">
        <f>ROUND(T659,2)</f>
        <v>0</v>
      </c>
      <c r="AO633" s="609">
        <f>ROUND(AM633+AN633,2)*A633</f>
        <v>0</v>
      </c>
    </row>
    <row r="634" spans="1:41" s="602" customFormat="1" ht="13.2">
      <c r="A634" s="672"/>
      <c r="B634"/>
      <c r="C634" s="672"/>
      <c r="D634" s="673" t="s">
        <v>350</v>
      </c>
      <c r="F634" s="664"/>
      <c r="G634" s="3"/>
      <c r="H634" s="664"/>
      <c r="I634" s="677"/>
      <c r="J634" s="664"/>
      <c r="K634" s="664" t="s">
        <v>144</v>
      </c>
      <c r="L634" s="664"/>
      <c r="M634" s="664"/>
      <c r="N634" s="664"/>
      <c r="O634" s="664"/>
      <c r="P634" s="664"/>
      <c r="Q634" s="63"/>
      <c r="R634" s="610"/>
      <c r="S634" s="680"/>
      <c r="T634" s="664"/>
    </row>
    <row r="635" spans="1:41" s="602" customFormat="1" ht="13.2">
      <c r="A635" s="672"/>
      <c r="B635"/>
      <c r="C635" s="672"/>
      <c r="D635" s="869" t="s">
        <v>1061</v>
      </c>
      <c r="F635" s="664"/>
      <c r="G635" s="3"/>
      <c r="H635" s="664"/>
      <c r="I635" s="677"/>
      <c r="J635" s="664"/>
      <c r="K635" s="664"/>
      <c r="L635" s="664"/>
      <c r="M635" s="664"/>
      <c r="N635" s="664"/>
      <c r="O635" s="664"/>
      <c r="P635" s="664"/>
      <c r="Q635" s="63"/>
      <c r="R635" s="610"/>
      <c r="S635" s="680"/>
      <c r="T635" s="664"/>
    </row>
    <row r="636" spans="1:41" s="730" customFormat="1" ht="11.4">
      <c r="A636" s="672"/>
      <c r="B636" s="730" t="s">
        <v>326</v>
      </c>
      <c r="D636" s="730" t="s">
        <v>1044</v>
      </c>
      <c r="G636" s="731" t="s">
        <v>1045</v>
      </c>
      <c r="H636" s="732">
        <v>690</v>
      </c>
      <c r="I636" s="730" t="s">
        <v>765</v>
      </c>
      <c r="J636" s="730" t="s">
        <v>766</v>
      </c>
      <c r="O636" s="733">
        <v>1</v>
      </c>
      <c r="P636" s="734">
        <v>34669</v>
      </c>
      <c r="Q636" s="735">
        <v>0.98</v>
      </c>
      <c r="R636" s="736">
        <f t="shared" ref="R636:R644" si="13">$A636*Q636</f>
        <v>0</v>
      </c>
      <c r="S636" s="735"/>
      <c r="T636" s="737">
        <f t="shared" ref="T636:T644" si="14">$A636*S636*$T$1</f>
        <v>0</v>
      </c>
    </row>
    <row r="637" spans="1:41" s="730" customFormat="1" ht="11.4">
      <c r="A637" s="672"/>
      <c r="B637" s="730" t="s">
        <v>326</v>
      </c>
      <c r="D637" s="730" t="s">
        <v>763</v>
      </c>
      <c r="G637" s="731" t="s">
        <v>764</v>
      </c>
      <c r="H637" s="732">
        <v>690</v>
      </c>
      <c r="I637" s="730" t="s">
        <v>765</v>
      </c>
      <c r="J637" s="730" t="s">
        <v>766</v>
      </c>
      <c r="O637" s="733">
        <v>1</v>
      </c>
      <c r="P637" s="734">
        <v>34669</v>
      </c>
      <c r="Q637" s="735">
        <v>3.66</v>
      </c>
      <c r="R637" s="736">
        <f t="shared" si="13"/>
        <v>0</v>
      </c>
      <c r="S637" s="735">
        <v>0.2</v>
      </c>
      <c r="T637" s="737">
        <f t="shared" si="14"/>
        <v>0</v>
      </c>
    </row>
    <row r="638" spans="1:41" s="730" customFormat="1" ht="11.4">
      <c r="A638" s="672"/>
      <c r="B638" s="730" t="s">
        <v>326</v>
      </c>
      <c r="D638" s="730" t="s">
        <v>1046</v>
      </c>
      <c r="G638" s="731" t="s">
        <v>1047</v>
      </c>
      <c r="H638" s="732">
        <v>690</v>
      </c>
      <c r="I638" s="730" t="s">
        <v>765</v>
      </c>
      <c r="J638" s="730" t="s">
        <v>766</v>
      </c>
      <c r="O638" s="733">
        <v>1</v>
      </c>
      <c r="P638" s="734">
        <v>34669</v>
      </c>
      <c r="Q638" s="735">
        <v>1.86</v>
      </c>
      <c r="R638" s="736">
        <f t="shared" si="13"/>
        <v>0</v>
      </c>
      <c r="S638" s="735">
        <v>0.2</v>
      </c>
      <c r="T638" s="737">
        <f t="shared" si="14"/>
        <v>0</v>
      </c>
    </row>
    <row r="639" spans="1:41" s="730" customFormat="1" ht="11.4">
      <c r="A639" s="672"/>
      <c r="B639" s="730" t="s">
        <v>326</v>
      </c>
      <c r="D639" s="730" t="s">
        <v>1048</v>
      </c>
      <c r="F639" s="730" t="s">
        <v>1049</v>
      </c>
      <c r="G639" s="731" t="s">
        <v>1050</v>
      </c>
      <c r="H639" s="732">
        <v>617</v>
      </c>
      <c r="I639" s="730" t="s">
        <v>1051</v>
      </c>
      <c r="J639" s="730" t="s">
        <v>1052</v>
      </c>
      <c r="O639" s="733">
        <v>2</v>
      </c>
      <c r="P639" s="734">
        <v>38433</v>
      </c>
      <c r="Q639" s="735">
        <v>1.4524999999999999</v>
      </c>
      <c r="R639" s="736">
        <f t="shared" si="13"/>
        <v>0</v>
      </c>
      <c r="S639" s="735">
        <v>0.03</v>
      </c>
      <c r="T639" s="737">
        <f t="shared" si="14"/>
        <v>0</v>
      </c>
    </row>
    <row r="640" spans="1:41" s="730" customFormat="1" ht="11.4">
      <c r="A640" s="672"/>
      <c r="B640" s="730" t="s">
        <v>326</v>
      </c>
      <c r="D640" s="730" t="s">
        <v>1048</v>
      </c>
      <c r="F640" s="730" t="s">
        <v>1053</v>
      </c>
      <c r="G640" s="731" t="s">
        <v>1050</v>
      </c>
      <c r="H640" s="732">
        <v>617</v>
      </c>
      <c r="I640" s="730" t="s">
        <v>1051</v>
      </c>
      <c r="J640" s="730" t="s">
        <v>1052</v>
      </c>
      <c r="O640" s="733">
        <v>2</v>
      </c>
      <c r="P640" s="734">
        <v>38433</v>
      </c>
      <c r="Q640" s="735">
        <v>1.4524999999999999</v>
      </c>
      <c r="R640" s="736">
        <f t="shared" si="13"/>
        <v>0</v>
      </c>
      <c r="S640" s="735"/>
      <c r="T640" s="737">
        <f t="shared" si="14"/>
        <v>0</v>
      </c>
    </row>
    <row r="641" spans="1:256" s="730" customFormat="1" ht="11.4">
      <c r="A641" s="672"/>
      <c r="B641" s="730" t="s">
        <v>141</v>
      </c>
      <c r="D641" s="730" t="s">
        <v>1054</v>
      </c>
      <c r="G641" s="731" t="s">
        <v>1055</v>
      </c>
      <c r="H641" s="732">
        <v>620</v>
      </c>
      <c r="I641" s="730" t="s">
        <v>674</v>
      </c>
      <c r="O641" s="733">
        <v>2</v>
      </c>
      <c r="P641" s="734"/>
      <c r="Q641" s="735">
        <v>0.2</v>
      </c>
      <c r="R641" s="736">
        <f t="shared" si="13"/>
        <v>0</v>
      </c>
      <c r="S641" s="735"/>
      <c r="T641" s="737">
        <f t="shared" si="14"/>
        <v>0</v>
      </c>
    </row>
    <row r="642" spans="1:256" s="730" customFormat="1" ht="11.4">
      <c r="A642" s="672"/>
      <c r="B642" s="730" t="s">
        <v>141</v>
      </c>
      <c r="D642" s="730" t="s">
        <v>1056</v>
      </c>
      <c r="G642" s="731" t="s">
        <v>1057</v>
      </c>
      <c r="H642" s="732">
        <v>620</v>
      </c>
      <c r="I642" s="730" t="s">
        <v>674</v>
      </c>
      <c r="O642" s="733">
        <v>2</v>
      </c>
      <c r="P642" s="734">
        <v>35431</v>
      </c>
      <c r="Q642" s="735">
        <v>0.5</v>
      </c>
      <c r="R642" s="736">
        <f t="shared" si="13"/>
        <v>0</v>
      </c>
      <c r="S642" s="735">
        <v>0.1</v>
      </c>
      <c r="T642" s="737">
        <f t="shared" si="14"/>
        <v>0</v>
      </c>
    </row>
    <row r="643" spans="1:256" s="730" customFormat="1" ht="11.4">
      <c r="A643" s="672"/>
      <c r="B643" s="730" t="s">
        <v>141</v>
      </c>
      <c r="D643" s="730" t="s">
        <v>1058</v>
      </c>
      <c r="G643" s="731" t="s">
        <v>1059</v>
      </c>
      <c r="H643" s="732">
        <v>620</v>
      </c>
      <c r="I643" s="730" t="s">
        <v>702</v>
      </c>
      <c r="O643" s="733">
        <v>2</v>
      </c>
      <c r="P643" s="734">
        <v>34669</v>
      </c>
      <c r="Q643" s="735">
        <v>0.05</v>
      </c>
      <c r="R643" s="736">
        <f t="shared" si="13"/>
        <v>0</v>
      </c>
      <c r="S643" s="735">
        <v>0.02</v>
      </c>
      <c r="T643" s="737">
        <f t="shared" si="14"/>
        <v>0</v>
      </c>
    </row>
    <row r="644" spans="1:256" s="730" customFormat="1" ht="11.4">
      <c r="A644" s="672"/>
      <c r="B644" s="730" t="s">
        <v>141</v>
      </c>
      <c r="D644" s="730" t="s">
        <v>1039</v>
      </c>
      <c r="G644" s="731" t="s">
        <v>1040</v>
      </c>
      <c r="H644" s="732">
        <v>900</v>
      </c>
      <c r="I644" s="730" t="s">
        <v>686</v>
      </c>
      <c r="O644" s="733">
        <v>1</v>
      </c>
      <c r="P644" s="734"/>
      <c r="Q644" s="735"/>
      <c r="R644" s="736">
        <f t="shared" si="13"/>
        <v>0</v>
      </c>
      <c r="S644" s="735">
        <v>0.75</v>
      </c>
      <c r="T644" s="737">
        <f t="shared" si="14"/>
        <v>0</v>
      </c>
    </row>
    <row r="645" spans="1:256" s="602" customFormat="1" ht="11.4">
      <c r="A645" s="672"/>
      <c r="B645" s="730" t="s">
        <v>141</v>
      </c>
      <c r="C645" s="730"/>
      <c r="D645" s="730" t="s">
        <v>1060</v>
      </c>
      <c r="E645" s="730"/>
      <c r="F645" s="730"/>
      <c r="G645" s="731" t="s">
        <v>732</v>
      </c>
      <c r="H645" s="732">
        <v>875</v>
      </c>
      <c r="I645" s="730" t="s">
        <v>674</v>
      </c>
      <c r="J645" s="730"/>
      <c r="K645" s="730" t="s">
        <v>733</v>
      </c>
      <c r="L645" s="730"/>
      <c r="M645" s="730"/>
      <c r="N645" s="730"/>
      <c r="O645" s="733">
        <v>3</v>
      </c>
      <c r="P645" s="734">
        <v>34820</v>
      </c>
      <c r="Q645" s="735">
        <v>10</v>
      </c>
      <c r="R645" s="736">
        <f>$A645*Q645</f>
        <v>0</v>
      </c>
      <c r="S645" s="735">
        <v>0.05</v>
      </c>
      <c r="T645" s="737">
        <f>$A645*S645*$T$1</f>
        <v>0</v>
      </c>
      <c r="U645" s="730"/>
      <c r="V645" s="730"/>
      <c r="W645" s="730"/>
      <c r="X645" s="730"/>
      <c r="Y645" s="730"/>
      <c r="Z645" s="730"/>
      <c r="AA645" s="730"/>
      <c r="AB645" s="730"/>
      <c r="AC645" s="730"/>
      <c r="AD645" s="730"/>
      <c r="AF645" s="730"/>
      <c r="AG645" s="730"/>
      <c r="AH645" s="730"/>
      <c r="AI645" s="730"/>
      <c r="AJ645" s="730"/>
      <c r="AK645" s="730"/>
      <c r="AL645" s="730"/>
      <c r="AM645" s="730"/>
      <c r="AN645" s="730"/>
      <c r="AO645" s="730"/>
      <c r="AP645" s="730"/>
      <c r="AQ645" s="730"/>
      <c r="AR645" s="730"/>
      <c r="AS645" s="730"/>
      <c r="AT645" s="730"/>
      <c r="AU645" s="730"/>
      <c r="AV645" s="730"/>
      <c r="AW645" s="730"/>
      <c r="AX645" s="730"/>
      <c r="AY645" s="730"/>
      <c r="AZ645" s="730"/>
      <c r="BA645" s="730"/>
      <c r="BB645" s="730"/>
      <c r="BC645" s="730"/>
      <c r="BD645" s="730"/>
      <c r="BE645" s="730"/>
      <c r="BF645" s="730"/>
      <c r="BG645" s="730"/>
      <c r="BH645" s="730"/>
      <c r="BI645" s="730"/>
      <c r="BJ645" s="730"/>
      <c r="BK645" s="730"/>
      <c r="BL645" s="730"/>
      <c r="BM645" s="730"/>
      <c r="BN645" s="730"/>
      <c r="BO645" s="730"/>
      <c r="BP645" s="730"/>
      <c r="BQ645" s="730"/>
      <c r="BR645" s="730"/>
      <c r="BS645" s="730"/>
      <c r="BT645" s="730"/>
      <c r="BU645" s="730"/>
      <c r="BV645" s="730"/>
      <c r="BW645" s="730"/>
      <c r="BX645" s="730"/>
      <c r="BY645" s="730"/>
      <c r="BZ645" s="730"/>
      <c r="CA645" s="730"/>
      <c r="CB645" s="730"/>
      <c r="CC645" s="730"/>
      <c r="CD645" s="730"/>
      <c r="CE645" s="730"/>
      <c r="CF645" s="730"/>
      <c r="CG645" s="730"/>
      <c r="CH645" s="730"/>
      <c r="CI645" s="730"/>
      <c r="CJ645" s="730"/>
      <c r="CK645" s="730"/>
      <c r="CL645" s="730"/>
      <c r="CM645" s="730"/>
      <c r="CN645" s="730"/>
      <c r="CO645" s="730"/>
      <c r="CP645" s="730"/>
      <c r="CQ645" s="730"/>
      <c r="CR645" s="730"/>
      <c r="CS645" s="730"/>
      <c r="CT645" s="730"/>
      <c r="CU645" s="730"/>
      <c r="CV645" s="730"/>
      <c r="CW645" s="730"/>
      <c r="CX645" s="730"/>
      <c r="CY645" s="730"/>
      <c r="CZ645" s="730"/>
      <c r="DA645" s="730"/>
      <c r="DB645" s="730"/>
      <c r="DC645" s="730"/>
      <c r="DD645" s="730"/>
      <c r="DE645" s="730"/>
      <c r="DF645" s="730"/>
      <c r="DG645" s="730"/>
      <c r="DH645" s="730"/>
      <c r="DI645" s="730"/>
      <c r="DJ645" s="730"/>
      <c r="DK645" s="730"/>
      <c r="DL645" s="730"/>
      <c r="DM645" s="730"/>
      <c r="DN645" s="730"/>
      <c r="DO645" s="730"/>
      <c r="DP645" s="730"/>
      <c r="DQ645" s="730"/>
      <c r="DR645" s="730"/>
      <c r="DS645" s="730"/>
      <c r="DT645" s="730"/>
      <c r="DU645" s="730"/>
      <c r="DV645" s="730"/>
      <c r="DW645" s="730"/>
      <c r="DX645" s="730"/>
      <c r="DY645" s="730"/>
      <c r="DZ645" s="730"/>
      <c r="EA645" s="730"/>
      <c r="EB645" s="730"/>
      <c r="EC645" s="730"/>
      <c r="ED645" s="730"/>
      <c r="EE645" s="730"/>
      <c r="EF645" s="730"/>
      <c r="EG645" s="730"/>
      <c r="EH645" s="730"/>
      <c r="EI645" s="730"/>
      <c r="EJ645" s="730"/>
      <c r="EK645" s="730"/>
      <c r="EL645" s="730"/>
      <c r="EM645" s="730"/>
      <c r="EN645" s="730"/>
      <c r="EO645" s="730"/>
      <c r="EP645" s="730"/>
      <c r="EQ645" s="730"/>
      <c r="ER645" s="730"/>
      <c r="ES645" s="730"/>
      <c r="ET645" s="730"/>
      <c r="EU645" s="730"/>
      <c r="EV645" s="730"/>
      <c r="EW645" s="730"/>
      <c r="EX645" s="730"/>
      <c r="EY645" s="730"/>
      <c r="EZ645" s="730"/>
      <c r="FA645" s="730"/>
      <c r="FB645" s="730"/>
      <c r="FC645" s="730"/>
      <c r="FD645" s="730"/>
      <c r="FE645" s="730"/>
      <c r="FF645" s="730"/>
      <c r="FG645" s="730"/>
      <c r="FH645" s="730"/>
      <c r="FI645" s="730"/>
      <c r="FJ645" s="730"/>
      <c r="FK645" s="730"/>
      <c r="FL645" s="730"/>
      <c r="FM645" s="730"/>
      <c r="FN645" s="730"/>
      <c r="FO645" s="730"/>
      <c r="FP645" s="730"/>
      <c r="FQ645" s="730"/>
      <c r="FR645" s="730"/>
      <c r="FS645" s="730"/>
      <c r="FT645" s="730"/>
      <c r="FU645" s="730"/>
      <c r="FV645" s="730"/>
      <c r="FW645" s="730"/>
      <c r="FX645" s="730"/>
      <c r="FY645" s="730"/>
      <c r="FZ645" s="730"/>
      <c r="GA645" s="730"/>
      <c r="GB645" s="730"/>
      <c r="GC645" s="730"/>
      <c r="GD645" s="730"/>
      <c r="GE645" s="730"/>
      <c r="GF645" s="730"/>
      <c r="GG645" s="730"/>
      <c r="GH645" s="730"/>
      <c r="GI645" s="730"/>
      <c r="GJ645" s="730"/>
      <c r="GK645" s="730"/>
      <c r="GL645" s="730"/>
      <c r="GM645" s="730"/>
      <c r="GN645" s="730"/>
      <c r="GO645" s="730"/>
      <c r="GP645" s="730"/>
      <c r="GQ645" s="730"/>
      <c r="GR645" s="730"/>
      <c r="GS645" s="730"/>
      <c r="GT645" s="730"/>
      <c r="GU645" s="730"/>
      <c r="GV645" s="730"/>
      <c r="GW645" s="730"/>
      <c r="GX645" s="730"/>
      <c r="GY645" s="730"/>
      <c r="GZ645" s="730"/>
      <c r="HA645" s="730"/>
      <c r="HB645" s="730"/>
      <c r="HC645" s="730"/>
      <c r="HD645" s="730"/>
      <c r="HE645" s="730"/>
      <c r="HF645" s="730"/>
      <c r="HG645" s="730"/>
      <c r="HH645" s="730"/>
      <c r="HI645" s="730"/>
      <c r="HJ645" s="730"/>
      <c r="HK645" s="730"/>
      <c r="HL645" s="730"/>
      <c r="HM645" s="730"/>
      <c r="HN645" s="730"/>
      <c r="HO645" s="730"/>
      <c r="HP645" s="730"/>
      <c r="HQ645" s="730"/>
      <c r="HR645" s="730"/>
      <c r="HS645" s="730"/>
      <c r="HT645" s="730"/>
      <c r="HU645" s="730"/>
      <c r="HV645" s="730"/>
      <c r="HW645" s="730"/>
      <c r="HX645" s="730"/>
      <c r="HY645" s="730"/>
      <c r="HZ645" s="730"/>
      <c r="IA645" s="730"/>
      <c r="IB645" s="730"/>
      <c r="IC645" s="730"/>
      <c r="ID645" s="730"/>
      <c r="IE645" s="730"/>
      <c r="IF645" s="730"/>
      <c r="IG645" s="730"/>
      <c r="IH645" s="730"/>
      <c r="II645" s="730"/>
      <c r="IJ645" s="730"/>
      <c r="IK645" s="730"/>
      <c r="IL645" s="730"/>
      <c r="IM645" s="730"/>
      <c r="IN645" s="730"/>
      <c r="IO645" s="730"/>
      <c r="IP645" s="730"/>
      <c r="IQ645" s="730"/>
      <c r="IR645" s="730"/>
      <c r="IS645" s="730"/>
      <c r="IT645" s="730"/>
      <c r="IU645" s="730"/>
      <c r="IV645" s="730"/>
    </row>
    <row r="646" spans="1:256" s="602" customFormat="1" ht="13.2">
      <c r="A646" s="672"/>
      <c r="B646"/>
      <c r="C646" s="672"/>
      <c r="D646" s="673"/>
      <c r="F646" s="664"/>
      <c r="G646" s="3"/>
      <c r="H646" s="664"/>
      <c r="I646" s="677"/>
      <c r="J646" s="664"/>
      <c r="K646" s="664"/>
      <c r="L646" s="664"/>
      <c r="M646" s="664"/>
      <c r="N646" s="664"/>
      <c r="O646" s="664"/>
      <c r="P646" s="664"/>
      <c r="Q646" s="63"/>
      <c r="R646" s="666">
        <f t="shared" ref="R646:R658" si="15">$A646*Q646</f>
        <v>0</v>
      </c>
      <c r="S646" s="601"/>
      <c r="T646" s="681">
        <f t="shared" ref="T646:T658" si="16">$A646*S646*$T$1</f>
        <v>0</v>
      </c>
    </row>
    <row r="647" spans="1:256" s="602" customFormat="1" ht="13.2">
      <c r="A647" s="672"/>
      <c r="B647"/>
      <c r="C647" s="672"/>
      <c r="D647" s="673"/>
      <c r="F647" s="664"/>
      <c r="G647" s="3"/>
      <c r="H647" s="664"/>
      <c r="I647" s="677"/>
      <c r="J647" s="664"/>
      <c r="K647" s="664"/>
      <c r="L647" s="664"/>
      <c r="M647" s="664"/>
      <c r="N647" s="664"/>
      <c r="O647" s="664"/>
      <c r="P647" s="664"/>
      <c r="Q647" s="63"/>
      <c r="R647" s="666">
        <f t="shared" si="15"/>
        <v>0</v>
      </c>
      <c r="S647" s="601"/>
      <c r="T647" s="681">
        <f t="shared" si="16"/>
        <v>0</v>
      </c>
    </row>
    <row r="648" spans="1:256" s="602" customFormat="1" ht="13.2">
      <c r="A648" s="672"/>
      <c r="B648"/>
      <c r="C648" s="672"/>
      <c r="D648" s="673"/>
      <c r="F648" s="664"/>
      <c r="G648" s="3"/>
      <c r="H648" s="664"/>
      <c r="I648" s="677"/>
      <c r="J648" s="664"/>
      <c r="K648" s="664"/>
      <c r="L648" s="664"/>
      <c r="M648" s="664"/>
      <c r="N648" s="664"/>
      <c r="O648" s="664"/>
      <c r="P648" s="664"/>
      <c r="Q648" s="63"/>
      <c r="R648" s="666">
        <f t="shared" si="15"/>
        <v>0</v>
      </c>
      <c r="S648" s="601"/>
      <c r="T648" s="681">
        <f t="shared" si="16"/>
        <v>0</v>
      </c>
    </row>
    <row r="649" spans="1:256" s="602" customFormat="1" ht="13.2">
      <c r="A649" s="672"/>
      <c r="B649"/>
      <c r="C649" s="672"/>
      <c r="D649" s="673"/>
      <c r="F649" s="664"/>
      <c r="G649" s="3"/>
      <c r="H649" s="664"/>
      <c r="I649" s="677"/>
      <c r="J649" s="664"/>
      <c r="K649" s="664"/>
      <c r="L649" s="664"/>
      <c r="M649" s="664"/>
      <c r="N649" s="664"/>
      <c r="O649" s="664"/>
      <c r="P649" s="664"/>
      <c r="Q649" s="63"/>
      <c r="R649" s="666">
        <f t="shared" si="15"/>
        <v>0</v>
      </c>
      <c r="S649" s="601"/>
      <c r="T649" s="681">
        <f t="shared" si="16"/>
        <v>0</v>
      </c>
    </row>
    <row r="650" spans="1:256" s="602" customFormat="1" ht="13.2">
      <c r="A650" s="672"/>
      <c r="B650"/>
      <c r="C650" s="672"/>
      <c r="D650" s="673"/>
      <c r="F650" s="664"/>
      <c r="G650" s="3"/>
      <c r="H650" s="664"/>
      <c r="I650" s="677"/>
      <c r="J650" s="664"/>
      <c r="K650" s="664"/>
      <c r="L650" s="664"/>
      <c r="M650" s="664"/>
      <c r="N650" s="664"/>
      <c r="O650" s="664"/>
      <c r="P650" s="664"/>
      <c r="Q650" s="63"/>
      <c r="R650" s="666">
        <f t="shared" si="15"/>
        <v>0</v>
      </c>
      <c r="S650" s="601"/>
      <c r="T650" s="681">
        <f t="shared" si="16"/>
        <v>0</v>
      </c>
    </row>
    <row r="651" spans="1:256" s="602" customFormat="1" ht="13.2">
      <c r="A651" s="672"/>
      <c r="B651"/>
      <c r="C651" s="672"/>
      <c r="D651" s="673"/>
      <c r="F651" s="664"/>
      <c r="G651" s="3"/>
      <c r="H651" s="664"/>
      <c r="I651" s="677"/>
      <c r="J651" s="664"/>
      <c r="K651" s="664"/>
      <c r="L651" s="664"/>
      <c r="M651" s="664"/>
      <c r="N651" s="664"/>
      <c r="O651" s="664"/>
      <c r="P651" s="664"/>
      <c r="Q651" s="63"/>
      <c r="R651" s="666">
        <f t="shared" si="15"/>
        <v>0</v>
      </c>
      <c r="S651" s="601"/>
      <c r="T651" s="681">
        <f t="shared" si="16"/>
        <v>0</v>
      </c>
    </row>
    <row r="652" spans="1:256" s="602" customFormat="1" ht="13.2">
      <c r="A652" s="672"/>
      <c r="B652"/>
      <c r="C652" s="672"/>
      <c r="D652" s="673"/>
      <c r="F652" s="664"/>
      <c r="G652" s="3"/>
      <c r="H652" s="664"/>
      <c r="I652" s="677"/>
      <c r="J652" s="664"/>
      <c r="K652" s="664"/>
      <c r="L652" s="664"/>
      <c r="M652" s="664"/>
      <c r="N652" s="664"/>
      <c r="O652" s="664"/>
      <c r="P652" s="664"/>
      <c r="Q652" s="63"/>
      <c r="R652" s="666">
        <f t="shared" si="15"/>
        <v>0</v>
      </c>
      <c r="S652" s="601"/>
      <c r="T652" s="681">
        <f t="shared" si="16"/>
        <v>0</v>
      </c>
    </row>
    <row r="653" spans="1:256" s="602" customFormat="1" ht="12">
      <c r="A653" s="63"/>
      <c r="B653" s="663"/>
      <c r="C653" s="663"/>
      <c r="D653" s="663"/>
      <c r="E653" s="663"/>
      <c r="F653" s="664"/>
      <c r="G653" s="663"/>
      <c r="H653" s="663"/>
      <c r="I653" s="601"/>
      <c r="J653" s="663"/>
      <c r="K653" s="663"/>
      <c r="L653" s="663"/>
      <c r="M653" s="663"/>
      <c r="N653" s="663"/>
      <c r="O653" s="663"/>
      <c r="P653" s="663"/>
      <c r="Q653" s="601"/>
      <c r="R653" s="666">
        <f t="shared" si="15"/>
        <v>0</v>
      </c>
      <c r="S653" s="601"/>
      <c r="T653" s="681">
        <f t="shared" si="16"/>
        <v>0</v>
      </c>
    </row>
    <row r="654" spans="1:256" s="602" customFormat="1" ht="12">
      <c r="A654" s="63"/>
      <c r="B654" s="663"/>
      <c r="C654" s="663"/>
      <c r="D654" s="663"/>
      <c r="E654" s="663"/>
      <c r="F654" s="664"/>
      <c r="G654" s="663"/>
      <c r="H654" s="663"/>
      <c r="I654" s="601"/>
      <c r="J654" s="663"/>
      <c r="K654" s="663"/>
      <c r="L654" s="663"/>
      <c r="M654" s="663"/>
      <c r="N654" s="663"/>
      <c r="O654" s="663"/>
      <c r="P654" s="663"/>
      <c r="Q654" s="601"/>
      <c r="R654" s="666">
        <f t="shared" si="15"/>
        <v>0</v>
      </c>
      <c r="S654" s="601"/>
      <c r="T654" s="681">
        <f t="shared" si="16"/>
        <v>0</v>
      </c>
    </row>
    <row r="655" spans="1:256" s="602" customFormat="1" ht="12">
      <c r="A655" s="63"/>
      <c r="B655" s="663"/>
      <c r="C655" s="663"/>
      <c r="D655" s="663"/>
      <c r="E655" s="663"/>
      <c r="F655" s="664"/>
      <c r="G655" s="663"/>
      <c r="H655" s="663"/>
      <c r="I655" s="601"/>
      <c r="J655" s="663"/>
      <c r="K655" s="663"/>
      <c r="L655" s="663"/>
      <c r="M655" s="663"/>
      <c r="N655" s="663"/>
      <c r="O655" s="663"/>
      <c r="P655" s="663"/>
      <c r="Q655" s="601"/>
      <c r="R655" s="666">
        <f t="shared" si="15"/>
        <v>0</v>
      </c>
      <c r="S655" s="601"/>
      <c r="T655" s="681">
        <f t="shared" si="16"/>
        <v>0</v>
      </c>
    </row>
    <row r="656" spans="1:256" s="602" customFormat="1" ht="12">
      <c r="A656" s="63"/>
      <c r="B656" s="663"/>
      <c r="C656" s="663"/>
      <c r="D656" s="663"/>
      <c r="E656" s="663"/>
      <c r="F656" s="664"/>
      <c r="G656" s="663"/>
      <c r="H656" s="663"/>
      <c r="I656" s="601"/>
      <c r="J656" s="663"/>
      <c r="K656" s="663"/>
      <c r="L656" s="663"/>
      <c r="M656" s="663"/>
      <c r="N656" s="663"/>
      <c r="O656" s="663"/>
      <c r="P656" s="663"/>
      <c r="Q656" s="601"/>
      <c r="R656" s="666">
        <f t="shared" si="15"/>
        <v>0</v>
      </c>
      <c r="S656" s="601"/>
      <c r="T656" s="681">
        <f t="shared" si="16"/>
        <v>0</v>
      </c>
    </row>
    <row r="657" spans="1:41" s="602" customFormat="1" ht="12">
      <c r="A657" s="63"/>
      <c r="B657" s="663"/>
      <c r="C657" s="663"/>
      <c r="D657" s="663"/>
      <c r="E657" s="663"/>
      <c r="F657" s="664"/>
      <c r="G657" s="663"/>
      <c r="H657" s="663"/>
      <c r="I657" s="601"/>
      <c r="J657" s="663"/>
      <c r="K657" s="663"/>
      <c r="L657" s="663"/>
      <c r="M657" s="663"/>
      <c r="N657" s="663"/>
      <c r="O657" s="663"/>
      <c r="P657" s="663"/>
      <c r="Q657" s="601"/>
      <c r="R657" s="666">
        <f t="shared" si="15"/>
        <v>0</v>
      </c>
      <c r="S657" s="601"/>
      <c r="T657" s="681">
        <f t="shared" si="16"/>
        <v>0</v>
      </c>
    </row>
    <row r="658" spans="1:41" s="602" customFormat="1" ht="12">
      <c r="A658" s="663"/>
      <c r="B658" s="663"/>
      <c r="C658" s="663"/>
      <c r="D658" s="663"/>
      <c r="E658" s="663"/>
      <c r="F658" s="664"/>
      <c r="G658" s="663"/>
      <c r="H658" s="663"/>
      <c r="I658" s="601"/>
      <c r="J658" s="663"/>
      <c r="K658" s="663"/>
      <c r="L658" s="663"/>
      <c r="M658" s="663"/>
      <c r="N658" s="663"/>
      <c r="O658" s="663"/>
      <c r="P658" s="663"/>
      <c r="Q658" s="601"/>
      <c r="R658" s="666">
        <f t="shared" si="15"/>
        <v>0</v>
      </c>
      <c r="S658" s="601"/>
      <c r="T658" s="681">
        <f t="shared" si="16"/>
        <v>0</v>
      </c>
    </row>
    <row r="659" spans="1:41" s="602" customFormat="1" ht="12.6" thickBot="1">
      <c r="A659" s="682" t="s">
        <v>145</v>
      </c>
      <c r="B659" s="683">
        <f>(R658+T658)</f>
        <v>0</v>
      </c>
      <c r="C659" s="684"/>
      <c r="D659" s="684"/>
      <c r="E659" s="684"/>
      <c r="F659" s="685"/>
      <c r="G659" s="684" t="s">
        <v>146</v>
      </c>
      <c r="H659" s="684"/>
      <c r="I659" s="686"/>
      <c r="J659" s="684"/>
      <c r="K659" s="684" t="s">
        <v>3</v>
      </c>
      <c r="L659" s="687" t="s">
        <v>143</v>
      </c>
      <c r="M659" s="687"/>
      <c r="N659" s="687"/>
      <c r="O659" s="687"/>
      <c r="P659" s="687"/>
      <c r="Q659" s="688"/>
      <c r="R659" s="689">
        <f>SUM(R634:R658)</f>
        <v>0</v>
      </c>
      <c r="S659" s="684"/>
      <c r="T659" s="689">
        <f>SUM(T634:T658)</f>
        <v>0</v>
      </c>
      <c r="U659" s="611"/>
      <c r="V659" s="611"/>
      <c r="W659" s="611"/>
      <c r="X659" s="611"/>
      <c r="Y659" s="611"/>
      <c r="Z659" s="611"/>
      <c r="AA659" s="611"/>
      <c r="AB659" s="611"/>
      <c r="AC659" s="611"/>
      <c r="AD659" s="611"/>
      <c r="AE659" s="611"/>
      <c r="AF659" s="611"/>
      <c r="AG659" s="611"/>
      <c r="AH659" s="611"/>
      <c r="AI659" s="611"/>
      <c r="AJ659" s="611"/>
      <c r="AK659" s="611"/>
      <c r="AL659" s="611"/>
      <c r="AM659" s="611"/>
      <c r="AN659" s="611"/>
      <c r="AO659" s="611"/>
    </row>
    <row r="660" spans="1:41" s="602" customFormat="1" thickTop="1">
      <c r="A660" s="63"/>
      <c r="B660" s="63"/>
      <c r="C660" s="3"/>
      <c r="D660" s="3"/>
      <c r="E660" s="63"/>
      <c r="F660" s="63"/>
      <c r="G660" s="63"/>
      <c r="H660" s="63"/>
      <c r="I660" s="63"/>
      <c r="J660" s="63"/>
      <c r="K660" s="63" t="s">
        <v>134</v>
      </c>
      <c r="L660" s="63"/>
      <c r="M660" s="63"/>
      <c r="N660" s="63"/>
      <c r="O660" s="64"/>
      <c r="P660" s="63"/>
      <c r="Q660" s="63"/>
      <c r="R660" s="63"/>
      <c r="S660" s="63"/>
      <c r="T660" s="63"/>
    </row>
    <row r="661" spans="1:41" s="602" customFormat="1" ht="12">
      <c r="A661" s="63"/>
      <c r="B661" s="63"/>
      <c r="C661" s="63" t="s">
        <v>135</v>
      </c>
      <c r="D661" s="37"/>
      <c r="E661" s="63"/>
      <c r="F661" s="63"/>
      <c r="G661" s="63"/>
      <c r="H661" s="63"/>
      <c r="I661" s="63"/>
      <c r="J661" s="63"/>
      <c r="K661" s="63"/>
      <c r="L661" s="63"/>
      <c r="M661" s="63"/>
      <c r="N661" s="63"/>
      <c r="O661" s="64"/>
      <c r="P661" s="63"/>
      <c r="Q661" s="63"/>
      <c r="R661" s="63"/>
      <c r="S661" s="63"/>
      <c r="T661" s="63"/>
    </row>
    <row r="662" spans="1:41" s="602" customFormat="1" ht="12">
      <c r="A662" s="63"/>
      <c r="B662" s="63"/>
      <c r="C662" s="63"/>
      <c r="D662" s="37" t="s">
        <v>351</v>
      </c>
      <c r="E662" s="63"/>
      <c r="F662" s="63"/>
      <c r="G662" s="63"/>
      <c r="H662" s="63"/>
      <c r="I662" s="63"/>
      <c r="J662" s="63"/>
      <c r="K662" s="63"/>
      <c r="L662" s="63"/>
      <c r="M662" s="63"/>
      <c r="N662" s="63"/>
      <c r="O662" s="64"/>
      <c r="P662" s="63"/>
      <c r="Q662" s="63"/>
      <c r="R662" s="63"/>
      <c r="S662" s="38"/>
      <c r="T662" s="38"/>
    </row>
    <row r="663" spans="1:41" s="3" customFormat="1" thickBot="1">
      <c r="A663" s="611"/>
      <c r="O663" s="158"/>
    </row>
    <row r="664" spans="1:41" s="602" customFormat="1" ht="12" thickTop="1">
      <c r="A664" s="63"/>
      <c r="B664" s="41"/>
      <c r="C664" s="63"/>
      <c r="E664" s="42" t="s">
        <v>138</v>
      </c>
      <c r="F664" s="42" t="s">
        <v>139</v>
      </c>
      <c r="G664" s="63"/>
      <c r="H664" s="63"/>
      <c r="I664" s="63"/>
      <c r="J664" s="63"/>
      <c r="K664" s="63" t="s">
        <v>140</v>
      </c>
      <c r="L664" s="63"/>
      <c r="M664" s="63"/>
      <c r="N664" s="63"/>
      <c r="O664" s="64"/>
      <c r="P664" s="63"/>
      <c r="Q664" s="63"/>
      <c r="R664" s="63"/>
      <c r="S664" s="63"/>
      <c r="T664" s="41"/>
      <c r="AG664" s="667" t="s">
        <v>278</v>
      </c>
      <c r="AH664" s="667" t="s">
        <v>279</v>
      </c>
      <c r="AI664" s="667" t="s">
        <v>280</v>
      </c>
      <c r="AJ664" s="667" t="s">
        <v>281</v>
      </c>
      <c r="AK664" s="667" t="s">
        <v>282</v>
      </c>
      <c r="AM664" s="668" t="s">
        <v>291</v>
      </c>
      <c r="AN664" s="669" t="s">
        <v>292</v>
      </c>
      <c r="AO664" s="603" t="s">
        <v>288</v>
      </c>
    </row>
    <row r="665" spans="1:41" s="602" customFormat="1" ht="12" customHeight="1">
      <c r="A665" s="670">
        <v>1</v>
      </c>
      <c r="B665" s="671" t="s">
        <v>312</v>
      </c>
      <c r="C665" s="672"/>
      <c r="D665" s="673" t="s">
        <v>496</v>
      </c>
      <c r="E665" s="674">
        <f>IF(AND($A665=0,$A$1="DIF"),0, ROUND(ROUND(($R671*$S$2+($T671*$T$2))/A665,2)*$C$2,2))</f>
        <v>360.99</v>
      </c>
      <c r="F665" s="675">
        <f>ROUND($A665*$E665,2)</f>
        <v>360.99</v>
      </c>
      <c r="G665" s="676" t="s">
        <v>142</v>
      </c>
      <c r="H665" s="664"/>
      <c r="I665" s="677"/>
      <c r="J665" s="664"/>
      <c r="K665" s="664" t="s">
        <v>3</v>
      </c>
      <c r="L665" s="678" t="s">
        <v>143</v>
      </c>
      <c r="M665" s="678"/>
      <c r="N665" s="678"/>
      <c r="O665" s="678"/>
      <c r="P665" s="678"/>
      <c r="Q665" s="63"/>
      <c r="T665" s="679" t="str">
        <f>IF(AND($R671=0,$T671=0),"0.00","mu :" &amp; ROUND($F665/$C$2/($R671+$T671*$D$9),2))</f>
        <v>mu :1.35</v>
      </c>
      <c r="W665" s="604"/>
      <c r="AG665" s="549">
        <f>IF($E665=0,0,ROUND($R671*$S$2*$C$2/$A665,2))</f>
        <v>0</v>
      </c>
      <c r="AH665" s="549">
        <f>$AG665*$A665</f>
        <v>0</v>
      </c>
      <c r="AI665" s="605">
        <f>$E665-$AG665</f>
        <v>360.99</v>
      </c>
      <c r="AJ665" s="605">
        <f>$A665*$AI665</f>
        <v>360.99</v>
      </c>
      <c r="AK665" s="606">
        <f>ROUND(($AG665+$AI665)*$A665,2)</f>
        <v>360.99</v>
      </c>
      <c r="AM665" s="607">
        <f>ROUND(R671,2)</f>
        <v>0</v>
      </c>
      <c r="AN665" s="608">
        <f>ROUND(T671,2)</f>
        <v>10</v>
      </c>
      <c r="AO665" s="609">
        <f>ROUND(AM665+AN665,2)*A665</f>
        <v>10</v>
      </c>
    </row>
    <row r="666" spans="1:41" s="602" customFormat="1" ht="39.9" customHeight="1">
      <c r="A666" s="672"/>
      <c r="B666"/>
      <c r="C666" s="672"/>
      <c r="D666" s="1368" t="s">
        <v>497</v>
      </c>
      <c r="E666" s="1369"/>
      <c r="F666" s="1369"/>
      <c r="G666" s="1369"/>
      <c r="H666" s="1369"/>
      <c r="I666" s="1369"/>
      <c r="J666" s="1369"/>
      <c r="K666" s="1369"/>
      <c r="L666" s="1369"/>
      <c r="M666" s="1369"/>
      <c r="N666" s="1369"/>
      <c r="O666" s="1369"/>
      <c r="P666" s="1369"/>
      <c r="Q666" s="1369"/>
      <c r="R666" s="1369"/>
      <c r="S666" s="1369"/>
      <c r="T666" s="1369"/>
    </row>
    <row r="667" spans="1:41" s="730" customFormat="1" ht="13.2">
      <c r="A667">
        <v>1</v>
      </c>
      <c r="B667" s="730" t="s">
        <v>312</v>
      </c>
      <c r="D667" s="730" t="s">
        <v>750</v>
      </c>
      <c r="F667" s="730" t="s">
        <v>1006</v>
      </c>
      <c r="G667" s="731" t="s">
        <v>736</v>
      </c>
      <c r="H667" s="732">
        <v>901</v>
      </c>
      <c r="I667" s="730" t="s">
        <v>686</v>
      </c>
      <c r="O667" s="733">
        <v>1</v>
      </c>
      <c r="P667" s="734">
        <v>40613</v>
      </c>
      <c r="Q667" s="735"/>
      <c r="R667" s="736">
        <f>$A667*Q667</f>
        <v>0</v>
      </c>
      <c r="S667" s="735">
        <v>4</v>
      </c>
      <c r="T667" s="737">
        <f>$A667*S667*$T$1</f>
        <v>4</v>
      </c>
    </row>
    <row r="668" spans="1:41" s="730" customFormat="1" ht="13.2">
      <c r="A668">
        <v>1</v>
      </c>
      <c r="B668" s="730" t="s">
        <v>312</v>
      </c>
      <c r="D668" s="730" t="s">
        <v>735</v>
      </c>
      <c r="F668" s="730" t="s">
        <v>1038</v>
      </c>
      <c r="G668" s="731" t="s">
        <v>736</v>
      </c>
      <c r="H668" s="732">
        <v>901</v>
      </c>
      <c r="I668" s="730" t="s">
        <v>686</v>
      </c>
      <c r="O668" s="733">
        <v>1</v>
      </c>
      <c r="P668" s="734">
        <v>40613</v>
      </c>
      <c r="Q668" s="735"/>
      <c r="R668" s="736">
        <f>$A668*Q668</f>
        <v>0</v>
      </c>
      <c r="S668" s="735">
        <v>2</v>
      </c>
      <c r="T668" s="737">
        <f>$A668*S668*$T$1</f>
        <v>2</v>
      </c>
    </row>
    <row r="669" spans="1:41" s="730" customFormat="1" ht="13.2">
      <c r="A669">
        <v>1</v>
      </c>
      <c r="B669" s="730" t="s">
        <v>312</v>
      </c>
      <c r="D669" s="730" t="s">
        <v>750</v>
      </c>
      <c r="F669" s="730" t="s">
        <v>1007</v>
      </c>
      <c r="G669" s="731" t="s">
        <v>736</v>
      </c>
      <c r="H669" s="732">
        <v>901</v>
      </c>
      <c r="I669" s="730" t="s">
        <v>686</v>
      </c>
      <c r="O669" s="733">
        <v>1</v>
      </c>
      <c r="P669" s="734">
        <v>40613</v>
      </c>
      <c r="Q669" s="735"/>
      <c r="R669" s="736">
        <f>$A669*Q669</f>
        <v>0</v>
      </c>
      <c r="S669" s="735">
        <v>4</v>
      </c>
      <c r="T669" s="737">
        <f>$A669*S669*$T$1</f>
        <v>4</v>
      </c>
    </row>
    <row r="670" spans="1:41" s="602" customFormat="1" ht="12">
      <c r="A670" s="663"/>
      <c r="B670" s="663"/>
      <c r="C670" s="663"/>
      <c r="D670" s="663"/>
      <c r="E670" s="663"/>
      <c r="F670" s="664"/>
      <c r="G670" s="663"/>
      <c r="H670" s="663"/>
      <c r="I670" s="601"/>
      <c r="J670" s="663"/>
      <c r="K670" s="663"/>
      <c r="L670" s="663"/>
      <c r="M670" s="663"/>
      <c r="N670" s="663"/>
      <c r="O670" s="663"/>
      <c r="P670" s="663"/>
      <c r="Q670" s="601"/>
      <c r="R670" s="666">
        <f>$A670*Q670</f>
        <v>0</v>
      </c>
      <c r="S670" s="601"/>
      <c r="T670" s="681">
        <f>$A670*S670*$T$1</f>
        <v>0</v>
      </c>
    </row>
    <row r="671" spans="1:41" s="602" customFormat="1" ht="12.6" thickBot="1">
      <c r="A671" s="682" t="s">
        <v>145</v>
      </c>
      <c r="B671" s="683">
        <f>(R670+T670)</f>
        <v>0</v>
      </c>
      <c r="C671" s="684"/>
      <c r="D671" s="684"/>
      <c r="E671" s="684"/>
      <c r="F671" s="685"/>
      <c r="G671" s="684" t="s">
        <v>146</v>
      </c>
      <c r="H671" s="684"/>
      <c r="I671" s="686"/>
      <c r="J671" s="684"/>
      <c r="K671" s="684" t="s">
        <v>3</v>
      </c>
      <c r="L671" s="687" t="s">
        <v>143</v>
      </c>
      <c r="M671" s="687"/>
      <c r="N671" s="687"/>
      <c r="O671" s="687"/>
      <c r="P671" s="687"/>
      <c r="Q671" s="688"/>
      <c r="R671" s="689">
        <f>SUM(R666:R670)</f>
        <v>0</v>
      </c>
      <c r="S671" s="684"/>
      <c r="T671" s="689">
        <f>SUM(T666:T670)</f>
        <v>10</v>
      </c>
      <c r="U671" s="611"/>
      <c r="V671" s="611"/>
      <c r="W671" s="611"/>
      <c r="X671" s="611"/>
      <c r="Y671" s="611"/>
      <c r="Z671" s="611"/>
      <c r="AA671" s="611"/>
      <c r="AB671" s="611"/>
      <c r="AC671" s="611"/>
      <c r="AD671" s="611"/>
      <c r="AE671" s="611"/>
      <c r="AF671" s="611"/>
      <c r="AG671" s="611"/>
      <c r="AH671" s="611"/>
      <c r="AI671" s="611"/>
      <c r="AJ671" s="611"/>
      <c r="AK671" s="611"/>
      <c r="AL671" s="611"/>
      <c r="AM671" s="611"/>
      <c r="AN671" s="611"/>
      <c r="AO671" s="611"/>
    </row>
    <row r="672" spans="1:41" s="602" customFormat="1" ht="12" thickTop="1">
      <c r="A672" s="63"/>
      <c r="B672" s="41"/>
      <c r="C672" s="63"/>
      <c r="E672" s="42" t="s">
        <v>138</v>
      </c>
      <c r="F672" s="42" t="s">
        <v>139</v>
      </c>
      <c r="G672" s="63"/>
      <c r="H672" s="63"/>
      <c r="I672" s="63"/>
      <c r="J672" s="63"/>
      <c r="K672" s="63" t="s">
        <v>140</v>
      </c>
      <c r="L672" s="63"/>
      <c r="M672" s="63"/>
      <c r="N672" s="63"/>
      <c r="O672" s="64"/>
      <c r="P672" s="63"/>
      <c r="Q672" s="63"/>
      <c r="R672" s="63"/>
      <c r="S672" s="63"/>
      <c r="T672" s="41"/>
      <c r="AG672" s="667" t="s">
        <v>278</v>
      </c>
      <c r="AH672" s="667" t="s">
        <v>279</v>
      </c>
      <c r="AI672" s="667" t="s">
        <v>280</v>
      </c>
      <c r="AJ672" s="667" t="s">
        <v>281</v>
      </c>
      <c r="AK672" s="667" t="s">
        <v>282</v>
      </c>
      <c r="AM672" s="668" t="s">
        <v>291</v>
      </c>
      <c r="AN672" s="669" t="s">
        <v>292</v>
      </c>
      <c r="AO672" s="603" t="s">
        <v>288</v>
      </c>
    </row>
    <row r="673" spans="1:41" s="602" customFormat="1" ht="12" customHeight="1">
      <c r="A673" s="670">
        <v>1</v>
      </c>
      <c r="B673" s="671" t="s">
        <v>312</v>
      </c>
      <c r="C673" s="672"/>
      <c r="D673" s="673" t="s">
        <v>498</v>
      </c>
      <c r="E673" s="674">
        <f>IF(AND($A673=0,$A$1="DIF"),0, ROUND(ROUND(($R678*$S$2+($T678*$T$2))/A673,2)*$C$2,2))</f>
        <v>216.6</v>
      </c>
      <c r="F673" s="675">
        <f>ROUND($A673*$E673,2)</f>
        <v>216.6</v>
      </c>
      <c r="G673" s="676" t="s">
        <v>142</v>
      </c>
      <c r="H673" s="664"/>
      <c r="I673" s="677"/>
      <c r="J673" s="664"/>
      <c r="K673" s="664" t="s">
        <v>3</v>
      </c>
      <c r="L673" s="678" t="s">
        <v>143</v>
      </c>
      <c r="M673" s="678"/>
      <c r="N673" s="678"/>
      <c r="O673" s="678"/>
      <c r="P673" s="678"/>
      <c r="Q673" s="63"/>
      <c r="T673" s="679" t="str">
        <f>IF(AND($R678=0,$T678=0),"0.00","mu :" &amp; ROUND($F673/$C$2/($R678+$T678*$D$9),2))</f>
        <v>mu :1.35</v>
      </c>
      <c r="W673" s="604"/>
      <c r="AG673" s="549">
        <f>IF($E673=0,0,ROUND($R678*$S$2*$C$2/$A673,2))</f>
        <v>0</v>
      </c>
      <c r="AH673" s="549">
        <f>$AG673*$A673</f>
        <v>0</v>
      </c>
      <c r="AI673" s="605">
        <f>$E673-$AG673</f>
        <v>216.6</v>
      </c>
      <c r="AJ673" s="605">
        <f>$A673*$AI673</f>
        <v>216.6</v>
      </c>
      <c r="AK673" s="606">
        <f>ROUND(($AG673+$AI673)*$A673,2)</f>
        <v>216.6</v>
      </c>
      <c r="AM673" s="607">
        <f>ROUND(R678,2)</f>
        <v>0</v>
      </c>
      <c r="AN673" s="608">
        <f>ROUND(T678,2)</f>
        <v>6</v>
      </c>
      <c r="AO673" s="609">
        <f>ROUND(AM673+AN673,2)*A673</f>
        <v>6</v>
      </c>
    </row>
    <row r="674" spans="1:41" s="602" customFormat="1" ht="39.9" customHeight="1">
      <c r="A674" s="672"/>
      <c r="B674"/>
      <c r="C674" s="672"/>
      <c r="D674" s="1368" t="s">
        <v>499</v>
      </c>
      <c r="E674" s="1369"/>
      <c r="F674" s="1369"/>
      <c r="G674" s="1369"/>
      <c r="H674" s="1369"/>
      <c r="I674" s="1369"/>
      <c r="J674" s="1369"/>
      <c r="K674" s="1369"/>
      <c r="L674" s="1369"/>
      <c r="M674" s="1369"/>
      <c r="N674" s="1369"/>
      <c r="O674" s="1369"/>
      <c r="P674" s="1369"/>
      <c r="Q674" s="1369"/>
      <c r="R674" s="1369"/>
      <c r="S674" s="1369"/>
      <c r="T674" s="1369"/>
    </row>
    <row r="675" spans="1:41" s="730" customFormat="1" ht="13.2">
      <c r="A675">
        <v>1</v>
      </c>
      <c r="B675" s="730" t="s">
        <v>312</v>
      </c>
      <c r="D675" s="730" t="s">
        <v>750</v>
      </c>
      <c r="F675" s="730" t="s">
        <v>1006</v>
      </c>
      <c r="G675" s="731" t="s">
        <v>736</v>
      </c>
      <c r="H675" s="732">
        <v>901</v>
      </c>
      <c r="I675" s="730" t="s">
        <v>686</v>
      </c>
      <c r="O675" s="733">
        <v>1</v>
      </c>
      <c r="P675" s="734">
        <v>40613</v>
      </c>
      <c r="Q675" s="735"/>
      <c r="R675" s="736">
        <f>$A675*Q675</f>
        <v>0</v>
      </c>
      <c r="S675" s="735">
        <v>4</v>
      </c>
      <c r="T675" s="737">
        <f>$A675*S675*$T$1</f>
        <v>4</v>
      </c>
    </row>
    <row r="676" spans="1:41" s="730" customFormat="1" ht="13.2">
      <c r="A676">
        <v>1</v>
      </c>
      <c r="B676" s="730" t="s">
        <v>312</v>
      </c>
      <c r="D676" s="730" t="s">
        <v>735</v>
      </c>
      <c r="F676" s="730" t="s">
        <v>1038</v>
      </c>
      <c r="G676" s="731" t="s">
        <v>736</v>
      </c>
      <c r="H676" s="732">
        <v>901</v>
      </c>
      <c r="I676" s="730" t="s">
        <v>686</v>
      </c>
      <c r="O676" s="733">
        <v>1</v>
      </c>
      <c r="P676" s="734">
        <v>40613</v>
      </c>
      <c r="Q676" s="735"/>
      <c r="R676" s="736">
        <f>$A676*Q676</f>
        <v>0</v>
      </c>
      <c r="S676" s="735">
        <v>2</v>
      </c>
      <c r="T676" s="737">
        <f>$A676*S676*$T$1</f>
        <v>2</v>
      </c>
    </row>
    <row r="677" spans="1:41" s="602" customFormat="1" ht="12">
      <c r="A677" s="663"/>
      <c r="B677" s="663"/>
      <c r="C677" s="663"/>
      <c r="D677" s="663"/>
      <c r="E677" s="663"/>
      <c r="F677" s="664"/>
      <c r="G677" s="663"/>
      <c r="H677" s="663"/>
      <c r="I677" s="601"/>
      <c r="J677" s="663"/>
      <c r="K677" s="663"/>
      <c r="L677" s="663"/>
      <c r="M677" s="663"/>
      <c r="N677" s="663"/>
      <c r="O677" s="663"/>
      <c r="P677" s="663"/>
      <c r="Q677" s="601"/>
      <c r="R677" s="666">
        <f>$A677*Q677</f>
        <v>0</v>
      </c>
      <c r="S677" s="601"/>
      <c r="T677" s="681">
        <f>$A677*S677*$T$1</f>
        <v>0</v>
      </c>
    </row>
    <row r="678" spans="1:41" s="602" customFormat="1" ht="12.6" thickBot="1">
      <c r="A678" s="682" t="s">
        <v>145</v>
      </c>
      <c r="B678" s="683">
        <f>(R677+T677)</f>
        <v>0</v>
      </c>
      <c r="C678" s="684"/>
      <c r="D678" s="684"/>
      <c r="E678" s="684"/>
      <c r="F678" s="685"/>
      <c r="G678" s="684" t="s">
        <v>146</v>
      </c>
      <c r="H678" s="684"/>
      <c r="I678" s="686"/>
      <c r="J678" s="684"/>
      <c r="K678" s="684" t="s">
        <v>3</v>
      </c>
      <c r="L678" s="687" t="s">
        <v>143</v>
      </c>
      <c r="M678" s="687"/>
      <c r="N678" s="687"/>
      <c r="O678" s="687"/>
      <c r="P678" s="687"/>
      <c r="Q678" s="688"/>
      <c r="R678" s="689">
        <f>SUM(R674:R677)</f>
        <v>0</v>
      </c>
      <c r="S678" s="684"/>
      <c r="T678" s="689">
        <f>SUM(T674:T677)</f>
        <v>6</v>
      </c>
      <c r="U678" s="611"/>
      <c r="V678" s="611"/>
      <c r="W678" s="611"/>
      <c r="X678" s="611"/>
      <c r="Y678" s="611"/>
      <c r="Z678" s="611"/>
      <c r="AA678" s="611"/>
      <c r="AB678" s="611"/>
      <c r="AC678" s="611"/>
      <c r="AD678" s="611"/>
      <c r="AE678" s="611"/>
      <c r="AF678" s="611"/>
      <c r="AG678" s="611"/>
      <c r="AH678" s="611"/>
      <c r="AI678" s="611"/>
      <c r="AJ678" s="611"/>
      <c r="AK678" s="611"/>
      <c r="AL678" s="611"/>
      <c r="AM678" s="611"/>
      <c r="AN678" s="611"/>
      <c r="AO678" s="611"/>
    </row>
    <row r="679" spans="1:41" s="602" customFormat="1" ht="12" thickTop="1">
      <c r="A679" s="63"/>
      <c r="B679" s="41"/>
      <c r="C679" s="63"/>
      <c r="E679" s="42" t="s">
        <v>138</v>
      </c>
      <c r="F679" s="42" t="s">
        <v>139</v>
      </c>
      <c r="G679" s="63"/>
      <c r="H679" s="63"/>
      <c r="I679" s="63"/>
      <c r="J679" s="63"/>
      <c r="K679" s="63" t="s">
        <v>140</v>
      </c>
      <c r="L679" s="63"/>
      <c r="M679" s="63"/>
      <c r="N679" s="63"/>
      <c r="O679" s="64"/>
      <c r="P679" s="63"/>
      <c r="Q679" s="63"/>
      <c r="R679" s="63"/>
      <c r="S679" s="63"/>
      <c r="T679" s="41"/>
      <c r="AG679" s="667" t="s">
        <v>278</v>
      </c>
      <c r="AH679" s="667" t="s">
        <v>279</v>
      </c>
      <c r="AI679" s="667" t="s">
        <v>280</v>
      </c>
      <c r="AJ679" s="667" t="s">
        <v>281</v>
      </c>
      <c r="AK679" s="667" t="s">
        <v>282</v>
      </c>
      <c r="AM679" s="668" t="s">
        <v>291</v>
      </c>
      <c r="AN679" s="669" t="s">
        <v>292</v>
      </c>
      <c r="AO679" s="603" t="s">
        <v>288</v>
      </c>
    </row>
    <row r="680" spans="1:41" s="602" customFormat="1" ht="12" customHeight="1">
      <c r="A680" s="670">
        <v>1</v>
      </c>
      <c r="B680" s="671" t="s">
        <v>312</v>
      </c>
      <c r="C680" s="672"/>
      <c r="D680" s="673" t="s">
        <v>500</v>
      </c>
      <c r="E680" s="674">
        <f>IF(AND($A680=0,$A$1="DIF"),0, ROUND(ROUND(($R692*$S$2+($T692*$T$2))/A680,2)*$C$2,2))</f>
        <v>1405.39</v>
      </c>
      <c r="F680" s="675">
        <f>ROUND($A680*$E680,2)</f>
        <v>1405.39</v>
      </c>
      <c r="G680" s="676" t="s">
        <v>142</v>
      </c>
      <c r="H680" s="664"/>
      <c r="I680" s="677"/>
      <c r="J680" s="664"/>
      <c r="K680" s="664" t="s">
        <v>3</v>
      </c>
      <c r="L680" s="678" t="s">
        <v>143</v>
      </c>
      <c r="M680" s="678"/>
      <c r="N680" s="678"/>
      <c r="O680" s="678"/>
      <c r="P680" s="678"/>
      <c r="Q680" s="63"/>
      <c r="T680" s="679" t="str">
        <f>IF(AND($R692=0,$T692=0),"0.00","mu :" &amp; ROUND($F680/$C$2/($R692+$T692*$D$9),2))</f>
        <v>mu :1.35</v>
      </c>
      <c r="W680" s="604"/>
      <c r="AG680" s="549">
        <f>IF($E680=0,0,ROUND($R692*$S$2*$C$2/$A680,2))</f>
        <v>365.73</v>
      </c>
      <c r="AH680" s="549">
        <f>$AG680*$A680</f>
        <v>365.73</v>
      </c>
      <c r="AI680" s="605">
        <f>$E680-$AG680</f>
        <v>1039.6600000000001</v>
      </c>
      <c r="AJ680" s="605">
        <f>$A680*$AI680</f>
        <v>1039.6600000000001</v>
      </c>
      <c r="AK680" s="606">
        <f>ROUND(($AG680+$AI680)*$A680,2)</f>
        <v>1405.39</v>
      </c>
      <c r="AM680" s="607">
        <f>ROUND(R692,2)</f>
        <v>278.2</v>
      </c>
      <c r="AN680" s="608">
        <f>ROUND(T692,2)</f>
        <v>28.8</v>
      </c>
      <c r="AO680" s="609">
        <f>ROUND(AM680+AN680,2)*A680</f>
        <v>307</v>
      </c>
    </row>
    <row r="681" spans="1:41" s="602" customFormat="1" ht="39.9" customHeight="1">
      <c r="A681" s="672"/>
      <c r="B681"/>
      <c r="C681" s="672"/>
      <c r="D681" s="1368" t="s">
        <v>501</v>
      </c>
      <c r="E681" s="1369"/>
      <c r="F681" s="1369"/>
      <c r="G681" s="1369"/>
      <c r="H681" s="1369"/>
      <c r="I681" s="1369"/>
      <c r="J681" s="1369"/>
      <c r="K681" s="1369"/>
      <c r="L681" s="1369"/>
      <c r="M681" s="1369"/>
      <c r="N681" s="1369"/>
      <c r="O681" s="1369"/>
      <c r="P681" s="1369"/>
      <c r="Q681" s="1369"/>
      <c r="R681" s="1369"/>
      <c r="S681" s="1369"/>
      <c r="T681" s="1369"/>
    </row>
    <row r="682" spans="1:41" s="730" customFormat="1" ht="13.2">
      <c r="A682" s="167">
        <v>1</v>
      </c>
      <c r="B682" s="730" t="s">
        <v>141</v>
      </c>
      <c r="D682" s="730" t="s">
        <v>744</v>
      </c>
      <c r="F682" s="730" t="s">
        <v>1020</v>
      </c>
      <c r="G682" s="731" t="s">
        <v>745</v>
      </c>
      <c r="H682" s="732">
        <v>900</v>
      </c>
      <c r="I682" s="730" t="s">
        <v>686</v>
      </c>
      <c r="O682" s="733">
        <v>2</v>
      </c>
      <c r="P682" s="734"/>
      <c r="Q682" s="735"/>
      <c r="R682" s="736">
        <f t="shared" ref="R682:R687" si="17">$A682*Q682</f>
        <v>0</v>
      </c>
      <c r="S682" s="735">
        <v>18</v>
      </c>
      <c r="T682" s="737">
        <f t="shared" ref="T682:T687" si="18">$A682*S682*$T$1</f>
        <v>18</v>
      </c>
    </row>
    <row r="683" spans="1:41" s="730" customFormat="1" ht="13.2">
      <c r="A683">
        <v>2</v>
      </c>
      <c r="B683" s="730" t="s">
        <v>141</v>
      </c>
      <c r="D683" s="730" t="s">
        <v>1009</v>
      </c>
      <c r="G683" s="731" t="s">
        <v>1010</v>
      </c>
      <c r="H683" s="732">
        <v>620</v>
      </c>
      <c r="I683" s="730" t="s">
        <v>741</v>
      </c>
      <c r="O683" s="733">
        <v>2</v>
      </c>
      <c r="P683" s="734">
        <v>35431</v>
      </c>
      <c r="Q683" s="823">
        <v>28.3</v>
      </c>
      <c r="R683" s="736">
        <f t="shared" si="17"/>
        <v>56.6</v>
      </c>
      <c r="S683" s="735">
        <v>0.8</v>
      </c>
      <c r="T683" s="737">
        <f t="shared" si="18"/>
        <v>1.6</v>
      </c>
    </row>
    <row r="684" spans="1:41" s="730" customFormat="1" ht="13.2">
      <c r="A684">
        <v>2</v>
      </c>
      <c r="B684" s="730" t="s">
        <v>326</v>
      </c>
      <c r="D684" s="730" t="s">
        <v>703</v>
      </c>
      <c r="G684" s="731" t="s">
        <v>704</v>
      </c>
      <c r="H684" s="732">
        <v>620</v>
      </c>
      <c r="I684" s="730" t="s">
        <v>674</v>
      </c>
      <c r="O684" s="733">
        <v>2</v>
      </c>
      <c r="P684" s="734">
        <v>38148</v>
      </c>
      <c r="Q684" s="735">
        <v>1.5</v>
      </c>
      <c r="R684" s="736">
        <f t="shared" si="17"/>
        <v>3</v>
      </c>
      <c r="S684" s="735">
        <v>0.08</v>
      </c>
      <c r="T684" s="737">
        <f t="shared" si="18"/>
        <v>0.16</v>
      </c>
    </row>
    <row r="685" spans="1:41" s="730" customFormat="1" ht="13.2">
      <c r="A685">
        <v>8</v>
      </c>
      <c r="B685" s="730" t="s">
        <v>141</v>
      </c>
      <c r="D685" s="730" t="s">
        <v>820</v>
      </c>
      <c r="G685" s="731" t="s">
        <v>821</v>
      </c>
      <c r="H685" s="732">
        <v>620</v>
      </c>
      <c r="I685" s="730" t="s">
        <v>702</v>
      </c>
      <c r="O685" s="733">
        <v>2</v>
      </c>
      <c r="P685" s="734">
        <v>34669</v>
      </c>
      <c r="Q685" s="823">
        <v>0.7</v>
      </c>
      <c r="R685" s="736">
        <f t="shared" si="17"/>
        <v>5.6</v>
      </c>
      <c r="S685" s="735">
        <v>0.13</v>
      </c>
      <c r="T685" s="737">
        <f t="shared" si="18"/>
        <v>1.04</v>
      </c>
    </row>
    <row r="686" spans="1:41" s="730" customFormat="1" ht="13.2">
      <c r="A686">
        <v>1</v>
      </c>
      <c r="B686" s="730" t="s">
        <v>141</v>
      </c>
      <c r="D686" s="730" t="s">
        <v>676</v>
      </c>
      <c r="F686" s="730" t="s">
        <v>1022</v>
      </c>
      <c r="G686" s="731" t="s">
        <v>677</v>
      </c>
      <c r="H686" s="732">
        <v>501</v>
      </c>
      <c r="I686" s="730" t="s">
        <v>674</v>
      </c>
      <c r="K686" s="730" t="s">
        <v>678</v>
      </c>
      <c r="O686" s="733">
        <v>1</v>
      </c>
      <c r="P686" s="734"/>
      <c r="Q686" s="735">
        <v>200</v>
      </c>
      <c r="R686" s="736">
        <f t="shared" si="17"/>
        <v>200</v>
      </c>
      <c r="S686" s="735"/>
      <c r="T686" s="737">
        <f t="shared" si="18"/>
        <v>0</v>
      </c>
    </row>
    <row r="687" spans="1:41" s="730" customFormat="1" ht="13.2">
      <c r="A687" s="167">
        <v>1</v>
      </c>
      <c r="B687" s="730" t="s">
        <v>141</v>
      </c>
      <c r="D687" s="730" t="s">
        <v>1039</v>
      </c>
      <c r="G687" s="731" t="s">
        <v>1040</v>
      </c>
      <c r="H687" s="732">
        <v>900</v>
      </c>
      <c r="I687" s="730" t="s">
        <v>686</v>
      </c>
      <c r="O687" s="733">
        <v>1</v>
      </c>
      <c r="P687" s="734"/>
      <c r="Q687" s="735"/>
      <c r="R687" s="736">
        <f t="shared" si="17"/>
        <v>0</v>
      </c>
      <c r="S687" s="735">
        <v>4</v>
      </c>
      <c r="T687" s="737">
        <f t="shared" si="18"/>
        <v>4</v>
      </c>
    </row>
    <row r="688" spans="1:41" s="730" customFormat="1" ht="13.2">
      <c r="A688"/>
      <c r="D688" s="867" t="s">
        <v>1018</v>
      </c>
      <c r="G688" s="731"/>
      <c r="H688" s="732"/>
      <c r="O688" s="733"/>
      <c r="P688" s="734"/>
      <c r="Q688" s="823"/>
      <c r="R688" s="736"/>
      <c r="S688" s="735"/>
      <c r="T688" s="737"/>
    </row>
    <row r="689" spans="1:256" s="730" customFormat="1" ht="13.2">
      <c r="A689" s="167">
        <v>1</v>
      </c>
      <c r="B689" s="730" t="s">
        <v>141</v>
      </c>
      <c r="D689" s="730" t="s">
        <v>1011</v>
      </c>
      <c r="E689" s="730" t="s">
        <v>1012</v>
      </c>
      <c r="F689" s="806" t="s">
        <v>1021</v>
      </c>
      <c r="G689" s="731" t="s">
        <v>1014</v>
      </c>
      <c r="H689" s="732">
        <v>875</v>
      </c>
      <c r="I689" s="730" t="s">
        <v>674</v>
      </c>
      <c r="K689" s="730" t="s">
        <v>1015</v>
      </c>
      <c r="O689" s="733">
        <v>1</v>
      </c>
      <c r="P689" s="734"/>
      <c r="Q689" s="735">
        <v>10</v>
      </c>
      <c r="R689" s="736">
        <f>$A689*Q689</f>
        <v>10</v>
      </c>
      <c r="S689" s="735">
        <f>12/3</f>
        <v>4</v>
      </c>
      <c r="T689" s="737">
        <f>$A689*S689*$T$1</f>
        <v>4</v>
      </c>
    </row>
    <row r="690" spans="1:256" s="602" customFormat="1" ht="13.2">
      <c r="A690" s="167">
        <v>10</v>
      </c>
      <c r="B690" s="730" t="s">
        <v>141</v>
      </c>
      <c r="C690" s="730"/>
      <c r="D690" s="730" t="s">
        <v>1016</v>
      </c>
      <c r="E690" s="866"/>
      <c r="F690" s="730"/>
      <c r="G690" s="731" t="s">
        <v>1017</v>
      </c>
      <c r="H690" s="732">
        <v>875</v>
      </c>
      <c r="I690" s="730" t="s">
        <v>674</v>
      </c>
      <c r="J690" s="730"/>
      <c r="K690" s="730" t="s">
        <v>780</v>
      </c>
      <c r="L690" s="730"/>
      <c r="M690" s="730"/>
      <c r="N690" s="730"/>
      <c r="O690" s="733">
        <v>1</v>
      </c>
      <c r="P690" s="734">
        <v>34669</v>
      </c>
      <c r="Q690" s="735">
        <v>0.3</v>
      </c>
      <c r="R690" s="736">
        <f>$A690*Q690</f>
        <v>3</v>
      </c>
      <c r="S690" s="735"/>
      <c r="T690" s="737">
        <f>$A690*S690*$T$1</f>
        <v>0</v>
      </c>
      <c r="U690" s="730"/>
      <c r="V690" s="730"/>
      <c r="W690" s="730"/>
      <c r="X690" s="730"/>
      <c r="Y690" s="730"/>
      <c r="Z690" s="730"/>
      <c r="AA690" s="730"/>
      <c r="AB690" s="730"/>
      <c r="AC690" s="730"/>
      <c r="AD690" s="730"/>
      <c r="AE690" s="730"/>
      <c r="AF690" s="730"/>
      <c r="AG690" s="730"/>
      <c r="AH690" s="730"/>
      <c r="AI690" s="730"/>
      <c r="AJ690" s="730"/>
      <c r="AK690" s="730"/>
      <c r="AL690" s="730"/>
      <c r="AM690" s="730"/>
      <c r="AN690" s="730"/>
      <c r="AO690" s="730"/>
      <c r="AP690" s="730"/>
      <c r="AQ690" s="730"/>
      <c r="AR690" s="730"/>
      <c r="AS690" s="730"/>
      <c r="AT690" s="730"/>
      <c r="AU690" s="730"/>
      <c r="AV690" s="730"/>
      <c r="AW690" s="730"/>
      <c r="AX690" s="730"/>
      <c r="AY690" s="730"/>
      <c r="AZ690" s="730"/>
      <c r="BA690" s="730"/>
      <c r="BB690" s="730"/>
      <c r="BC690" s="730"/>
      <c r="BD690" s="730"/>
      <c r="BE690" s="730"/>
      <c r="BF690" s="730"/>
      <c r="BG690" s="730"/>
      <c r="BH690" s="730"/>
      <c r="BI690" s="730"/>
      <c r="BJ690" s="730"/>
      <c r="BK690" s="730"/>
      <c r="BL690" s="730"/>
      <c r="BM690" s="730"/>
      <c r="BN690" s="730"/>
      <c r="BO690" s="730"/>
      <c r="BP690" s="730"/>
      <c r="BQ690" s="730"/>
      <c r="BR690" s="730"/>
      <c r="BS690" s="730"/>
      <c r="BT690" s="730"/>
      <c r="BU690" s="730"/>
      <c r="BV690" s="730"/>
      <c r="BW690" s="730"/>
      <c r="BX690" s="730"/>
      <c r="BY690" s="730"/>
      <c r="BZ690" s="730"/>
      <c r="CA690" s="730"/>
      <c r="CB690" s="730"/>
      <c r="CC690" s="730"/>
      <c r="CD690" s="730"/>
      <c r="CE690" s="730"/>
      <c r="CF690" s="730"/>
      <c r="CG690" s="730"/>
      <c r="CH690" s="730"/>
      <c r="CI690" s="730"/>
      <c r="CJ690" s="730"/>
      <c r="CK690" s="730"/>
      <c r="CL690" s="730"/>
      <c r="CM690" s="730"/>
      <c r="CN690" s="730"/>
      <c r="CO690" s="730"/>
      <c r="CP690" s="730"/>
      <c r="CQ690" s="730"/>
      <c r="CR690" s="730"/>
      <c r="CS690" s="730"/>
      <c r="CT690" s="730"/>
      <c r="CU690" s="730"/>
      <c r="CV690" s="730"/>
      <c r="CW690" s="730"/>
      <c r="CX690" s="730"/>
      <c r="CY690" s="730"/>
      <c r="CZ690" s="730"/>
      <c r="DA690" s="730"/>
      <c r="DB690" s="730"/>
      <c r="DC690" s="730"/>
      <c r="DD690" s="730"/>
      <c r="DE690" s="730"/>
      <c r="DF690" s="730"/>
      <c r="DG690" s="730"/>
      <c r="DH690" s="730"/>
      <c r="DI690" s="730"/>
      <c r="DJ690" s="730"/>
      <c r="DK690" s="730"/>
      <c r="DL690" s="730"/>
      <c r="DM690" s="730"/>
      <c r="DN690" s="730"/>
      <c r="DO690" s="730"/>
      <c r="DP690" s="730"/>
      <c r="DQ690" s="730"/>
      <c r="DR690" s="730"/>
      <c r="DS690" s="730"/>
      <c r="DT690" s="730"/>
      <c r="DU690" s="730"/>
      <c r="DV690" s="730"/>
      <c r="DW690" s="730"/>
      <c r="DX690" s="730"/>
      <c r="DY690" s="730"/>
      <c r="DZ690" s="730"/>
      <c r="EA690" s="730"/>
      <c r="EB690" s="730"/>
      <c r="EC690" s="730"/>
      <c r="ED690" s="730"/>
      <c r="EE690" s="730"/>
      <c r="EF690" s="730"/>
      <c r="EG690" s="730"/>
      <c r="EH690" s="730"/>
      <c r="EI690" s="730"/>
      <c r="EJ690" s="730"/>
      <c r="EK690" s="730"/>
      <c r="EL690" s="730"/>
      <c r="EM690" s="730"/>
      <c r="EN690" s="730"/>
      <c r="EO690" s="730"/>
      <c r="EP690" s="730"/>
      <c r="EQ690" s="730"/>
      <c r="ER690" s="730"/>
      <c r="ES690" s="730"/>
      <c r="ET690" s="730"/>
      <c r="EU690" s="730"/>
      <c r="EV690" s="730"/>
      <c r="EW690" s="730"/>
      <c r="EX690" s="730"/>
      <c r="EY690" s="730"/>
      <c r="EZ690" s="730"/>
      <c r="FA690" s="730"/>
      <c r="FB690" s="730"/>
      <c r="FC690" s="730"/>
      <c r="FD690" s="730"/>
      <c r="FE690" s="730"/>
      <c r="FF690" s="730"/>
      <c r="FG690" s="730"/>
      <c r="FH690" s="730"/>
      <c r="FI690" s="730"/>
      <c r="FJ690" s="730"/>
      <c r="FK690" s="730"/>
      <c r="FL690" s="730"/>
      <c r="FM690" s="730"/>
      <c r="FN690" s="730"/>
      <c r="FO690" s="730"/>
      <c r="FP690" s="730"/>
      <c r="FQ690" s="730"/>
      <c r="FR690" s="730"/>
      <c r="FS690" s="730"/>
      <c r="FT690" s="730"/>
      <c r="FU690" s="730"/>
      <c r="FV690" s="730"/>
      <c r="FW690" s="730"/>
      <c r="FX690" s="730"/>
      <c r="FY690" s="730"/>
      <c r="FZ690" s="730"/>
      <c r="GA690" s="730"/>
      <c r="GB690" s="730"/>
      <c r="GC690" s="730"/>
      <c r="GD690" s="730"/>
      <c r="GE690" s="730"/>
      <c r="GF690" s="730"/>
      <c r="GG690" s="730"/>
      <c r="GH690" s="730"/>
      <c r="GI690" s="730"/>
      <c r="GJ690" s="730"/>
      <c r="GK690" s="730"/>
      <c r="GL690" s="730"/>
      <c r="GM690" s="730"/>
      <c r="GN690" s="730"/>
      <c r="GO690" s="730"/>
      <c r="GP690" s="730"/>
      <c r="GQ690" s="730"/>
      <c r="GR690" s="730"/>
      <c r="GS690" s="730"/>
      <c r="GT690" s="730"/>
      <c r="GU690" s="730"/>
      <c r="GV690" s="730"/>
      <c r="GW690" s="730"/>
      <c r="GX690" s="730"/>
      <c r="GY690" s="730"/>
      <c r="GZ690" s="730"/>
      <c r="HA690" s="730"/>
      <c r="HB690" s="730"/>
      <c r="HC690" s="730"/>
      <c r="HD690" s="730"/>
      <c r="HE690" s="730"/>
      <c r="HF690" s="730"/>
      <c r="HG690" s="730"/>
      <c r="HH690" s="730"/>
      <c r="HI690" s="730"/>
      <c r="HJ690" s="730"/>
      <c r="HK690" s="730"/>
      <c r="HL690" s="730"/>
      <c r="HM690" s="730"/>
      <c r="HN690" s="730"/>
      <c r="HO690" s="730"/>
      <c r="HP690" s="730"/>
      <c r="HQ690" s="730"/>
      <c r="HR690" s="730"/>
      <c r="HS690" s="730"/>
      <c r="HT690" s="730"/>
      <c r="HU690" s="730"/>
      <c r="HV690" s="730"/>
      <c r="HW690" s="730"/>
      <c r="HX690" s="730"/>
      <c r="HY690" s="730"/>
      <c r="HZ690" s="730"/>
      <c r="IA690" s="730"/>
      <c r="IB690" s="730"/>
      <c r="IC690" s="730"/>
      <c r="ID690" s="730"/>
      <c r="IE690" s="730"/>
      <c r="IF690" s="730"/>
      <c r="IG690" s="730"/>
      <c r="IH690" s="730"/>
      <c r="II690" s="730"/>
      <c r="IJ690" s="730"/>
      <c r="IK690" s="730"/>
      <c r="IL690" s="730"/>
      <c r="IM690" s="730"/>
      <c r="IN690" s="730"/>
      <c r="IO690" s="730"/>
      <c r="IP690" s="730"/>
      <c r="IQ690" s="730"/>
      <c r="IR690" s="730"/>
      <c r="IS690" s="730"/>
      <c r="IT690" s="730"/>
      <c r="IU690" s="730"/>
      <c r="IV690" s="730"/>
    </row>
    <row r="691" spans="1:256" s="602" customFormat="1" ht="12">
      <c r="A691" s="663"/>
      <c r="B691" s="663"/>
      <c r="C691" s="663"/>
      <c r="D691" s="663"/>
      <c r="E691" s="663"/>
      <c r="F691" s="664"/>
      <c r="G691" s="663"/>
      <c r="H691" s="663"/>
      <c r="I691" s="601"/>
      <c r="J691" s="663"/>
      <c r="K691" s="663"/>
      <c r="L691" s="663"/>
      <c r="M691" s="663"/>
      <c r="N691" s="663"/>
      <c r="O691" s="663"/>
      <c r="P691" s="663"/>
      <c r="Q691" s="601"/>
      <c r="R691" s="666">
        <f>$A691*Q691</f>
        <v>0</v>
      </c>
      <c r="S691" s="601"/>
      <c r="T691" s="681">
        <f>$A691*S691*$T$1</f>
        <v>0</v>
      </c>
    </row>
    <row r="692" spans="1:256" s="602" customFormat="1" ht="12.6" thickBot="1">
      <c r="A692" s="682" t="s">
        <v>145</v>
      </c>
      <c r="B692" s="683">
        <f>(R691+T691)</f>
        <v>0</v>
      </c>
      <c r="C692" s="684"/>
      <c r="D692" s="684"/>
      <c r="E692" s="684"/>
      <c r="F692" s="685"/>
      <c r="G692" s="684" t="s">
        <v>146</v>
      </c>
      <c r="H692" s="684"/>
      <c r="I692" s="686"/>
      <c r="J692" s="684"/>
      <c r="K692" s="684" t="s">
        <v>3</v>
      </c>
      <c r="L692" s="687" t="s">
        <v>143</v>
      </c>
      <c r="M692" s="687"/>
      <c r="N692" s="687"/>
      <c r="O692" s="687"/>
      <c r="P692" s="687"/>
      <c r="Q692" s="688"/>
      <c r="R692" s="689">
        <f>SUM(R681:R691)</f>
        <v>278.2</v>
      </c>
      <c r="S692" s="684"/>
      <c r="T692" s="689">
        <f>SUM(T681:T691)</f>
        <v>28.8</v>
      </c>
      <c r="U692" s="611"/>
      <c r="V692" s="611"/>
      <c r="W692" s="611"/>
      <c r="X692" s="611"/>
      <c r="Y692" s="611"/>
      <c r="Z692" s="611"/>
      <c r="AA692" s="611"/>
      <c r="AB692" s="611"/>
      <c r="AC692" s="611"/>
      <c r="AD692" s="611"/>
      <c r="AE692" s="611"/>
      <c r="AF692" s="611"/>
      <c r="AG692" s="611"/>
      <c r="AH692" s="611"/>
      <c r="AI692" s="611"/>
      <c r="AJ692" s="611"/>
      <c r="AK692" s="611"/>
      <c r="AL692" s="611"/>
      <c r="AM692" s="611"/>
      <c r="AN692" s="611"/>
      <c r="AO692" s="611"/>
    </row>
    <row r="693" spans="1:256" s="602" customFormat="1" ht="12" thickTop="1">
      <c r="A693" s="51" t="s">
        <v>154</v>
      </c>
      <c r="D693" s="13"/>
      <c r="E693" s="42"/>
      <c r="O693" s="698"/>
    </row>
    <row r="694" spans="1:256" s="602" customFormat="1" ht="13.2">
      <c r="B694" s="3"/>
      <c r="O694" s="698"/>
    </row>
    <row r="695" spans="1:256" s="602" customFormat="1" ht="12">
      <c r="B695" s="699">
        <f ca="1">$F695/$C$2-($R695*$S$2+$T695*$T$2)</f>
        <v>2.0090965135750594E-3</v>
      </c>
      <c r="D695" s="700" t="s">
        <v>414</v>
      </c>
      <c r="E695" s="701"/>
      <c r="F695" s="702">
        <f ca="1">SUMIF($L501:$L693,"ITEM",F501:F693)</f>
        <v>10718.25</v>
      </c>
      <c r="G695" s="663"/>
      <c r="H695" s="663"/>
      <c r="I695" s="601"/>
      <c r="J695" s="663"/>
      <c r="K695" s="663"/>
      <c r="L695" s="678" t="s">
        <v>166</v>
      </c>
      <c r="M695" s="678"/>
      <c r="N695" s="678"/>
      <c r="O695" s="678"/>
      <c r="P695" s="678"/>
      <c r="R695" s="702">
        <f ca="1">SUMIF($L501:$L693,"ITEM",R501:R693)</f>
        <v>4671.1899999999987</v>
      </c>
      <c r="S695" s="71"/>
      <c r="T695" s="702">
        <f ca="1">SUMIF($L501:$L693,"ITEM",T501:T693)</f>
        <v>126.79999999999997</v>
      </c>
    </row>
    <row r="696" spans="1:256" s="602" customFormat="1" ht="13.2">
      <c r="A696" s="63"/>
      <c r="B696" s="55" t="s">
        <v>413</v>
      </c>
      <c r="C696" s="63"/>
      <c r="D696" s="3"/>
      <c r="F696" s="703" t="s">
        <v>168</v>
      </c>
      <c r="G696" s="663"/>
      <c r="H696" s="663"/>
      <c r="I696" s="601"/>
      <c r="J696" s="663"/>
      <c r="K696" s="663"/>
      <c r="L696" s="663"/>
      <c r="M696" s="663"/>
      <c r="N696" s="663"/>
      <c r="O696" s="663"/>
      <c r="P696" s="663"/>
      <c r="Q696" s="665"/>
      <c r="R696" s="703" t="s">
        <v>169</v>
      </c>
      <c r="S696" s="38"/>
      <c r="T696" s="703" t="s">
        <v>170</v>
      </c>
    </row>
    <row r="697" spans="1:256" s="602" customFormat="1" ht="13.2">
      <c r="A697" s="663"/>
      <c r="B697" s="3"/>
      <c r="C697" s="663"/>
      <c r="D697" s="3"/>
      <c r="E697" s="3"/>
      <c r="G697" s="3"/>
      <c r="H697" s="3"/>
      <c r="I697" s="3"/>
      <c r="J697" s="3"/>
      <c r="K697" s="3"/>
      <c r="L697" s="3"/>
      <c r="M697" s="3"/>
      <c r="N697" s="3"/>
      <c r="O697" s="158"/>
      <c r="P697" s="3"/>
      <c r="Q697" s="3"/>
      <c r="R697" s="3"/>
      <c r="S697" s="3"/>
      <c r="T697" s="3"/>
    </row>
    <row r="698" spans="1:256" s="602" customFormat="1" ht="12" thickBot="1">
      <c r="A698" s="611"/>
      <c r="B698" s="684"/>
      <c r="C698" s="684"/>
      <c r="D698" s="611"/>
      <c r="E698" s="39"/>
      <c r="F698" s="704"/>
      <c r="G698" s="684"/>
      <c r="H698" s="684"/>
      <c r="I698" s="686"/>
      <c r="J698" s="684"/>
      <c r="K698" s="684"/>
      <c r="L698" s="687"/>
      <c r="M698" s="687"/>
      <c r="N698" s="687"/>
      <c r="O698" s="687"/>
      <c r="P698" s="687"/>
      <c r="Q698" s="688"/>
      <c r="R698" s="704"/>
      <c r="S698" s="705"/>
      <c r="T698" s="704"/>
      <c r="U698" s="611"/>
      <c r="V698" s="611"/>
      <c r="W698" s="611"/>
      <c r="X698" s="611"/>
      <c r="Y698" s="611"/>
      <c r="Z698" s="611"/>
      <c r="AA698" s="611"/>
      <c r="AB698" s="611"/>
      <c r="AC698" s="611"/>
      <c r="AD698" s="611"/>
      <c r="AE698" s="611"/>
      <c r="AF698" s="611"/>
      <c r="AG698" s="611"/>
      <c r="AH698" s="611"/>
      <c r="AI698" s="611"/>
      <c r="AJ698" s="611"/>
      <c r="AK698" s="611"/>
    </row>
    <row r="699" spans="1:256" s="602" customFormat="1" thickTop="1">
      <c r="A699" s="63"/>
      <c r="B699" s="41"/>
      <c r="C699" s="63"/>
      <c r="E699" s="42" t="s">
        <v>138</v>
      </c>
      <c r="F699"/>
      <c r="G699" s="63"/>
      <c r="H699" s="63"/>
      <c r="I699" s="63"/>
      <c r="J699" s="63"/>
      <c r="K699" s="63" t="s">
        <v>140</v>
      </c>
      <c r="L699" s="709"/>
      <c r="M699" s="63"/>
      <c r="N699" s="63"/>
      <c r="O699" s="64"/>
      <c r="P699" s="63"/>
      <c r="Q699" s="63"/>
      <c r="R699" s="63"/>
      <c r="S699" s="63"/>
      <c r="T699" s="41"/>
      <c r="AG699" s="667" t="s">
        <v>278</v>
      </c>
      <c r="AH699" s="710"/>
      <c r="AI699" s="667" t="s">
        <v>280</v>
      </c>
      <c r="AM699" s="668" t="s">
        <v>291</v>
      </c>
      <c r="AN699" s="669" t="s">
        <v>292</v>
      </c>
      <c r="AO699" s="603" t="s">
        <v>288</v>
      </c>
    </row>
    <row r="700" spans="1:256" s="602" customFormat="1" ht="13.2">
      <c r="A700" s="670">
        <v>1</v>
      </c>
      <c r="B700" s="838" t="s">
        <v>746</v>
      </c>
      <c r="C700" s="672"/>
      <c r="D700" s="673" t="s">
        <v>502</v>
      </c>
      <c r="E700" s="711">
        <f>IF(AND($A700=0,$A$1="DIF"),0, ROUND(ROUND(($R723*$S$2+($T723*$T$2))/A700,2)*$C$2,2))</f>
        <v>2634.92</v>
      </c>
      <c r="F700"/>
      <c r="G700" s="676" t="s">
        <v>142</v>
      </c>
      <c r="H700" s="664"/>
      <c r="I700" s="677"/>
      <c r="J700" s="664"/>
      <c r="K700" s="712" t="s">
        <v>556</v>
      </c>
      <c r="L700" s="709" t="s">
        <v>143</v>
      </c>
      <c r="M700" s="678"/>
      <c r="N700" s="678"/>
      <c r="O700" s="678"/>
      <c r="P700" s="678"/>
      <c r="Q700" s="63"/>
      <c r="T700" s="679" t="str">
        <f>IF(AND($R723=0,$T723=0),"0.00","mu :" &amp; ROUND($A700*$E700/$C$2/($R723+$T723*$D$9),2))</f>
        <v>mu :1.35</v>
      </c>
      <c r="W700" s="604"/>
      <c r="AG700" s="605">
        <f>IF($E700=0,0,ROUND($R723*$S$2*$C$2/$A700,2))</f>
        <v>1504.28</v>
      </c>
      <c r="AH700" s="710"/>
      <c r="AI700" s="605">
        <f>$E700-$AG700</f>
        <v>1130.6400000000001</v>
      </c>
      <c r="AM700" s="607">
        <f>ROUND(R723,2)</f>
        <v>1144.27</v>
      </c>
      <c r="AN700" s="608">
        <f>ROUND(T723,2)</f>
        <v>31.32</v>
      </c>
      <c r="AO700" s="609">
        <f>ROUND(AM700+AN700,2)*A700</f>
        <v>1175.5899999999999</v>
      </c>
    </row>
    <row r="701" spans="1:256" s="730" customFormat="1" ht="13.2">
      <c r="A701" s="672"/>
      <c r="B701"/>
      <c r="C701" s="672"/>
      <c r="D701" s="1368" t="s">
        <v>503</v>
      </c>
      <c r="E701" s="1369"/>
      <c r="F701" s="1369"/>
      <c r="G701" s="1369"/>
      <c r="H701" s="1369"/>
      <c r="I701" s="1369"/>
      <c r="J701" s="1369"/>
      <c r="K701" s="1369"/>
      <c r="L701" s="1369"/>
      <c r="M701" s="1369"/>
      <c r="N701" s="1369"/>
      <c r="O701" s="1369"/>
      <c r="P701" s="1369"/>
      <c r="Q701" s="1369"/>
      <c r="R701" s="1369"/>
      <c r="S701" s="1369"/>
      <c r="T701" s="1369"/>
      <c r="U701" s="602"/>
      <c r="V701" s="602"/>
      <c r="W701" s="602"/>
      <c r="X701" s="602"/>
      <c r="Y701" s="602"/>
      <c r="Z701" s="602"/>
      <c r="AA701" s="602"/>
      <c r="AB701" s="602"/>
      <c r="AC701" s="602"/>
      <c r="AD701" s="602"/>
      <c r="AE701" s="602"/>
      <c r="AF701" s="602"/>
      <c r="AG701" s="602"/>
      <c r="AH701" s="602"/>
      <c r="AI701" s="602"/>
      <c r="AJ701" s="602"/>
      <c r="AK701" s="602"/>
      <c r="AL701" s="602"/>
      <c r="AM701" s="602"/>
      <c r="AN701" s="602"/>
      <c r="AO701" s="602"/>
      <c r="AP701" s="602"/>
      <c r="AQ701" s="602"/>
      <c r="AR701" s="602"/>
      <c r="AS701" s="602"/>
      <c r="AT701" s="602"/>
      <c r="AU701" s="602"/>
      <c r="AV701" s="602"/>
      <c r="AW701" s="602"/>
      <c r="AX701" s="602"/>
      <c r="AY701" s="602"/>
      <c r="AZ701" s="602"/>
      <c r="BA701" s="602"/>
      <c r="BB701" s="602"/>
      <c r="BC701" s="602"/>
      <c r="BD701" s="602"/>
      <c r="BE701" s="602"/>
      <c r="BF701" s="602"/>
      <c r="BG701" s="602"/>
      <c r="BH701" s="602"/>
      <c r="BI701" s="602"/>
      <c r="BJ701" s="602"/>
      <c r="BK701" s="602"/>
      <c r="BL701" s="602"/>
      <c r="BM701" s="602"/>
      <c r="BN701" s="602"/>
      <c r="BO701" s="602"/>
      <c r="BP701" s="602"/>
      <c r="BQ701" s="602"/>
      <c r="BR701" s="602"/>
      <c r="BS701" s="602"/>
      <c r="BT701" s="602"/>
      <c r="BU701" s="602"/>
      <c r="BV701" s="602"/>
      <c r="BW701" s="602"/>
      <c r="BX701" s="602"/>
      <c r="BY701" s="602"/>
      <c r="BZ701" s="602"/>
      <c r="CA701" s="602"/>
      <c r="CB701" s="602"/>
      <c r="CC701" s="602"/>
      <c r="CD701" s="602"/>
      <c r="CE701" s="602"/>
      <c r="CF701" s="602"/>
      <c r="CG701" s="602"/>
      <c r="CH701" s="602"/>
      <c r="CI701" s="602"/>
      <c r="CJ701" s="602"/>
      <c r="CK701" s="602"/>
      <c r="CL701" s="602"/>
      <c r="CM701" s="602"/>
      <c r="CN701" s="602"/>
      <c r="CO701" s="602"/>
      <c r="CP701" s="602"/>
      <c r="CQ701" s="602"/>
      <c r="CR701" s="602"/>
      <c r="CS701" s="602"/>
      <c r="CT701" s="602"/>
      <c r="CU701" s="602"/>
      <c r="CV701" s="602"/>
      <c r="CW701" s="602"/>
      <c r="CX701" s="602"/>
      <c r="CY701" s="602"/>
      <c r="CZ701" s="602"/>
      <c r="DA701" s="602"/>
      <c r="DB701" s="602"/>
      <c r="DC701" s="602"/>
      <c r="DD701" s="602"/>
      <c r="DE701" s="602"/>
      <c r="DF701" s="602"/>
      <c r="DG701" s="602"/>
      <c r="DH701" s="602"/>
      <c r="DI701" s="602"/>
      <c r="DJ701" s="602"/>
      <c r="DK701" s="602"/>
      <c r="DL701" s="602"/>
      <c r="DM701" s="602"/>
      <c r="DN701" s="602"/>
      <c r="DO701" s="602"/>
      <c r="DP701" s="602"/>
      <c r="DQ701" s="602"/>
      <c r="DR701" s="602"/>
      <c r="DS701" s="602"/>
      <c r="DT701" s="602"/>
      <c r="DU701" s="602"/>
      <c r="DV701" s="602"/>
      <c r="DW701" s="602"/>
      <c r="DX701" s="602"/>
      <c r="DY701" s="602"/>
      <c r="DZ701" s="602"/>
      <c r="EA701" s="602"/>
      <c r="EB701" s="602"/>
      <c r="EC701" s="602"/>
      <c r="ED701" s="602"/>
      <c r="EE701" s="602"/>
      <c r="EF701" s="602"/>
      <c r="EG701" s="602"/>
      <c r="EH701" s="602"/>
      <c r="EI701" s="602"/>
      <c r="EJ701" s="602"/>
      <c r="EK701" s="602"/>
      <c r="EL701" s="602"/>
      <c r="EM701" s="602"/>
      <c r="EN701" s="602"/>
      <c r="EO701" s="602"/>
      <c r="EP701" s="602"/>
      <c r="EQ701" s="602"/>
      <c r="ER701" s="602"/>
      <c r="ES701" s="602"/>
      <c r="ET701" s="602"/>
      <c r="EU701" s="602"/>
      <c r="EV701" s="602"/>
      <c r="EW701" s="602"/>
      <c r="EX701" s="602"/>
      <c r="EY701" s="602"/>
      <c r="EZ701" s="602"/>
      <c r="FA701" s="602"/>
      <c r="FB701" s="602"/>
      <c r="FC701" s="602"/>
      <c r="FD701" s="602"/>
      <c r="FE701" s="602"/>
      <c r="FF701" s="602"/>
      <c r="FG701" s="602"/>
      <c r="FH701" s="602"/>
      <c r="FI701" s="602"/>
      <c r="FJ701" s="602"/>
      <c r="FK701" s="602"/>
      <c r="FL701" s="602"/>
      <c r="FM701" s="602"/>
      <c r="FN701" s="602"/>
      <c r="FO701" s="602"/>
      <c r="FP701" s="602"/>
      <c r="FQ701" s="602"/>
      <c r="FR701" s="602"/>
      <c r="FS701" s="602"/>
      <c r="FT701" s="602"/>
      <c r="FU701" s="602"/>
      <c r="FV701" s="602"/>
      <c r="FW701" s="602"/>
      <c r="FX701" s="602"/>
      <c r="FY701" s="602"/>
      <c r="FZ701" s="602"/>
      <c r="GA701" s="602"/>
      <c r="GB701" s="602"/>
      <c r="GC701" s="602"/>
      <c r="GD701" s="602"/>
      <c r="GE701" s="602"/>
      <c r="GF701" s="602"/>
      <c r="GG701" s="602"/>
      <c r="GH701" s="602"/>
      <c r="GI701" s="602"/>
      <c r="GJ701" s="602"/>
      <c r="GK701" s="602"/>
      <c r="GL701" s="602"/>
      <c r="GM701" s="602"/>
      <c r="GN701" s="602"/>
      <c r="GO701" s="602"/>
      <c r="GP701" s="602"/>
      <c r="GQ701" s="602"/>
      <c r="GR701" s="602"/>
      <c r="GS701" s="602"/>
      <c r="GT701" s="602"/>
      <c r="GU701" s="602"/>
      <c r="GV701" s="602"/>
      <c r="GW701" s="602"/>
      <c r="GX701" s="602"/>
      <c r="GY701" s="602"/>
      <c r="GZ701" s="602"/>
      <c r="HA701" s="602"/>
      <c r="HB701" s="602"/>
      <c r="HC701" s="602"/>
      <c r="HD701" s="602"/>
      <c r="HE701" s="602"/>
      <c r="HF701" s="602"/>
      <c r="HG701" s="602"/>
      <c r="HH701" s="602"/>
      <c r="HI701" s="602"/>
      <c r="HJ701" s="602"/>
      <c r="HK701" s="602"/>
      <c r="HL701" s="602"/>
      <c r="HM701" s="602"/>
      <c r="HN701" s="602"/>
      <c r="HO701" s="602"/>
      <c r="HP701" s="602"/>
      <c r="HQ701" s="602"/>
      <c r="HR701" s="602"/>
      <c r="HS701" s="602"/>
      <c r="HT701" s="602"/>
      <c r="HU701" s="602"/>
      <c r="HV701" s="602"/>
      <c r="HW701" s="602"/>
      <c r="HX701" s="602"/>
      <c r="HY701" s="602"/>
      <c r="HZ701" s="602"/>
      <c r="IA701" s="602"/>
      <c r="IB701" s="602"/>
      <c r="IC701" s="602"/>
      <c r="ID701" s="602"/>
      <c r="IE701" s="602"/>
      <c r="IF701" s="602"/>
      <c r="IG701" s="602"/>
      <c r="IH701" s="602"/>
      <c r="II701" s="602"/>
      <c r="IJ701" s="602"/>
      <c r="IK701" s="602"/>
      <c r="IL701" s="602"/>
      <c r="IM701" s="602"/>
      <c r="IN701" s="602"/>
      <c r="IO701" s="602"/>
      <c r="IP701" s="602"/>
      <c r="IQ701" s="602"/>
      <c r="IR701" s="602"/>
      <c r="IS701" s="602"/>
      <c r="IT701" s="602"/>
      <c r="IU701" s="602"/>
      <c r="IV701" s="602"/>
    </row>
    <row r="702" spans="1:256" s="730" customFormat="1" ht="13.2">
      <c r="A702" s="167">
        <v>1</v>
      </c>
      <c r="B702" s="730" t="s">
        <v>141</v>
      </c>
      <c r="D702" s="730" t="s">
        <v>744</v>
      </c>
      <c r="F702" s="730" t="s">
        <v>1008</v>
      </c>
      <c r="G702" s="731" t="s">
        <v>745</v>
      </c>
      <c r="H702" s="718" t="s">
        <v>560</v>
      </c>
      <c r="I702" s="730" t="s">
        <v>686</v>
      </c>
      <c r="L702" s="720" t="s">
        <v>560</v>
      </c>
      <c r="O702" s="733">
        <v>2</v>
      </c>
      <c r="P702" s="734"/>
      <c r="Q702" s="735"/>
      <c r="R702" s="736">
        <f t="shared" ref="R702:R707" si="19">$A702*Q702</f>
        <v>0</v>
      </c>
      <c r="S702" s="735">
        <v>8</v>
      </c>
      <c r="T702" s="737">
        <f t="shared" ref="T702:T707" si="20">$A702*S702*$T$1</f>
        <v>8</v>
      </c>
    </row>
    <row r="703" spans="1:256" s="730" customFormat="1" ht="13.2">
      <c r="A703">
        <v>2</v>
      </c>
      <c r="B703" s="730" t="s">
        <v>141</v>
      </c>
      <c r="D703" s="730" t="s">
        <v>1009</v>
      </c>
      <c r="G703" s="731" t="s">
        <v>1010</v>
      </c>
      <c r="H703" s="718" t="s">
        <v>560</v>
      </c>
      <c r="I703" s="730" t="s">
        <v>741</v>
      </c>
      <c r="L703" s="720" t="s">
        <v>560</v>
      </c>
      <c r="O703" s="733">
        <v>2</v>
      </c>
      <c r="P703" s="734">
        <v>35431</v>
      </c>
      <c r="Q703" s="823">
        <v>28.3</v>
      </c>
      <c r="R703" s="736">
        <f t="shared" si="19"/>
        <v>56.6</v>
      </c>
      <c r="S703" s="735">
        <v>0.8</v>
      </c>
      <c r="T703" s="737">
        <f t="shared" si="20"/>
        <v>1.6</v>
      </c>
    </row>
    <row r="704" spans="1:256" s="730" customFormat="1" ht="13.2">
      <c r="A704">
        <v>2</v>
      </c>
      <c r="B704" s="730" t="s">
        <v>326</v>
      </c>
      <c r="D704" s="730" t="s">
        <v>703</v>
      </c>
      <c r="G704" s="731" t="s">
        <v>704</v>
      </c>
      <c r="H704" s="718" t="s">
        <v>560</v>
      </c>
      <c r="I704" s="730" t="s">
        <v>674</v>
      </c>
      <c r="L704" s="720" t="s">
        <v>560</v>
      </c>
      <c r="O704" s="733">
        <v>2</v>
      </c>
      <c r="P704" s="734">
        <v>38148</v>
      </c>
      <c r="Q704" s="735">
        <v>1.5</v>
      </c>
      <c r="R704" s="736">
        <f t="shared" si="19"/>
        <v>3</v>
      </c>
      <c r="S704" s="735">
        <v>0.08</v>
      </c>
      <c r="T704" s="737">
        <f t="shared" si="20"/>
        <v>0.16</v>
      </c>
    </row>
    <row r="705" spans="1:256" s="730" customFormat="1" ht="13.2">
      <c r="A705">
        <v>8</v>
      </c>
      <c r="B705" s="730" t="s">
        <v>141</v>
      </c>
      <c r="D705" s="730" t="s">
        <v>820</v>
      </c>
      <c r="G705" s="731" t="s">
        <v>821</v>
      </c>
      <c r="H705" s="718" t="s">
        <v>560</v>
      </c>
      <c r="I705" s="730" t="s">
        <v>702</v>
      </c>
      <c r="L705" s="720" t="s">
        <v>560</v>
      </c>
      <c r="O705" s="733">
        <v>2</v>
      </c>
      <c r="P705" s="734">
        <v>34669</v>
      </c>
      <c r="Q705" s="823">
        <v>0.7</v>
      </c>
      <c r="R705" s="736">
        <f t="shared" si="19"/>
        <v>5.6</v>
      </c>
      <c r="S705" s="735">
        <v>0.13</v>
      </c>
      <c r="T705" s="737">
        <f t="shared" si="20"/>
        <v>1.04</v>
      </c>
    </row>
    <row r="706" spans="1:256" s="730" customFormat="1" ht="13.2">
      <c r="A706">
        <v>1</v>
      </c>
      <c r="B706" s="730" t="s">
        <v>141</v>
      </c>
      <c r="D706" s="730" t="s">
        <v>676</v>
      </c>
      <c r="F706" s="730" t="s">
        <v>1022</v>
      </c>
      <c r="G706" s="731" t="s">
        <v>677</v>
      </c>
      <c r="H706" s="718" t="s">
        <v>560</v>
      </c>
      <c r="I706" s="730" t="s">
        <v>674</v>
      </c>
      <c r="K706" s="730" t="s">
        <v>678</v>
      </c>
      <c r="L706" s="720" t="s">
        <v>560</v>
      </c>
      <c r="O706" s="733">
        <v>1</v>
      </c>
      <c r="P706" s="734"/>
      <c r="Q706" s="735">
        <v>200</v>
      </c>
      <c r="R706" s="736">
        <f t="shared" si="19"/>
        <v>200</v>
      </c>
      <c r="S706" s="735"/>
      <c r="T706" s="737">
        <f t="shared" si="20"/>
        <v>0</v>
      </c>
    </row>
    <row r="707" spans="1:256" s="730" customFormat="1" ht="13.2">
      <c r="A707" s="167">
        <v>1</v>
      </c>
      <c r="B707" s="730" t="s">
        <v>141</v>
      </c>
      <c r="D707" s="730" t="s">
        <v>1039</v>
      </c>
      <c r="G707" s="731" t="s">
        <v>1040</v>
      </c>
      <c r="H707" s="718" t="s">
        <v>560</v>
      </c>
      <c r="I707" s="730" t="s">
        <v>686</v>
      </c>
      <c r="L707" s="720" t="s">
        <v>560</v>
      </c>
      <c r="O707" s="733">
        <v>1</v>
      </c>
      <c r="P707" s="734"/>
      <c r="Q707" s="735"/>
      <c r="R707" s="736">
        <f t="shared" si="19"/>
        <v>0</v>
      </c>
      <c r="S707" s="735">
        <v>4</v>
      </c>
      <c r="T707" s="737">
        <f t="shared" si="20"/>
        <v>4</v>
      </c>
    </row>
    <row r="708" spans="1:256" s="730" customFormat="1" ht="13.2">
      <c r="A708"/>
      <c r="D708" s="867" t="s">
        <v>1018</v>
      </c>
      <c r="G708" s="731"/>
      <c r="H708" s="718" t="s">
        <v>560</v>
      </c>
      <c r="L708" s="720" t="s">
        <v>560</v>
      </c>
      <c r="O708" s="733"/>
      <c r="P708" s="734"/>
      <c r="Q708" s="823"/>
      <c r="R708" s="736"/>
      <c r="S708" s="735"/>
      <c r="T708" s="737"/>
    </row>
    <row r="709" spans="1:256" s="730" customFormat="1" ht="13.2">
      <c r="A709" s="167">
        <v>1</v>
      </c>
      <c r="B709" s="730" t="s">
        <v>141</v>
      </c>
      <c r="D709" s="730" t="s">
        <v>1011</v>
      </c>
      <c r="E709" s="730" t="s">
        <v>1012</v>
      </c>
      <c r="F709" s="806" t="s">
        <v>1013</v>
      </c>
      <c r="G709" s="731" t="s">
        <v>1014</v>
      </c>
      <c r="H709" s="718" t="s">
        <v>560</v>
      </c>
      <c r="I709" s="730" t="s">
        <v>674</v>
      </c>
      <c r="K709" s="730" t="s">
        <v>1015</v>
      </c>
      <c r="L709" s="720" t="s">
        <v>560</v>
      </c>
      <c r="O709" s="733">
        <v>1</v>
      </c>
      <c r="P709" s="734"/>
      <c r="Q709" s="735">
        <v>10</v>
      </c>
      <c r="R709" s="736">
        <f>$A709*Q709</f>
        <v>10</v>
      </c>
      <c r="S709" s="735">
        <f>12/3</f>
        <v>4</v>
      </c>
      <c r="T709" s="737">
        <f>$A709*S709*$T$1</f>
        <v>4</v>
      </c>
    </row>
    <row r="710" spans="1:256" s="714" customFormat="1" ht="13.2">
      <c r="A710" s="167">
        <v>10</v>
      </c>
      <c r="B710" s="730" t="s">
        <v>141</v>
      </c>
      <c r="C710" s="730"/>
      <c r="D710" s="730" t="s">
        <v>1016</v>
      </c>
      <c r="E710" s="866"/>
      <c r="F710" s="730"/>
      <c r="G710" s="731" t="s">
        <v>1017</v>
      </c>
      <c r="H710" s="718" t="s">
        <v>560</v>
      </c>
      <c r="I710" s="730" t="s">
        <v>674</v>
      </c>
      <c r="J710" s="730"/>
      <c r="K710" s="730" t="s">
        <v>780</v>
      </c>
      <c r="L710" s="720" t="s">
        <v>560</v>
      </c>
      <c r="M710" s="730"/>
      <c r="N710" s="730"/>
      <c r="O710" s="733">
        <v>1</v>
      </c>
      <c r="P710" s="734">
        <v>34669</v>
      </c>
      <c r="Q710" s="735">
        <v>0.3</v>
      </c>
      <c r="R710" s="736">
        <f>$A710*Q710</f>
        <v>3</v>
      </c>
      <c r="S710" s="735"/>
      <c r="T710" s="737">
        <f>$A710*S710*$T$1</f>
        <v>0</v>
      </c>
      <c r="U710" s="730"/>
      <c r="V710" s="730"/>
      <c r="W710" s="730"/>
      <c r="X710" s="730"/>
      <c r="Y710" s="730"/>
      <c r="Z710" s="730"/>
      <c r="AA710" s="730"/>
      <c r="AB710" s="730"/>
      <c r="AC710" s="730"/>
      <c r="AD710" s="730"/>
      <c r="AE710" s="730"/>
      <c r="AF710" s="730"/>
      <c r="AG710" s="730"/>
      <c r="AH710" s="730"/>
      <c r="AI710" s="730"/>
      <c r="AJ710" s="730"/>
      <c r="AK710" s="730"/>
      <c r="AL710" s="730"/>
      <c r="AM710" s="730"/>
      <c r="AN710" s="730"/>
      <c r="AO710" s="730"/>
      <c r="AP710" s="730"/>
      <c r="AQ710" s="730"/>
      <c r="AR710" s="730"/>
      <c r="AS710" s="730"/>
      <c r="AT710" s="730"/>
      <c r="AU710" s="730"/>
      <c r="AV710" s="730"/>
      <c r="AW710" s="730"/>
      <c r="AX710" s="730"/>
      <c r="AY710" s="730"/>
      <c r="AZ710" s="730"/>
      <c r="BA710" s="730"/>
      <c r="BB710" s="730"/>
      <c r="BC710" s="730"/>
      <c r="BD710" s="730"/>
      <c r="BE710" s="730"/>
      <c r="BF710" s="730"/>
      <c r="BG710" s="730"/>
      <c r="BH710" s="730"/>
      <c r="BI710" s="730"/>
      <c r="BJ710" s="730"/>
      <c r="BK710" s="730"/>
      <c r="BL710" s="730"/>
      <c r="BM710" s="730"/>
      <c r="BN710" s="730"/>
      <c r="BO710" s="730"/>
      <c r="BP710" s="730"/>
      <c r="BQ710" s="730"/>
      <c r="BR710" s="730"/>
      <c r="BS710" s="730"/>
      <c r="BT710" s="730"/>
      <c r="BU710" s="730"/>
      <c r="BV710" s="730"/>
      <c r="BW710" s="730"/>
      <c r="BX710" s="730"/>
      <c r="BY710" s="730"/>
      <c r="BZ710" s="730"/>
      <c r="CA710" s="730"/>
      <c r="CB710" s="730"/>
      <c r="CC710" s="730"/>
      <c r="CD710" s="730"/>
      <c r="CE710" s="730"/>
      <c r="CF710" s="730"/>
      <c r="CG710" s="730"/>
      <c r="CH710" s="730"/>
      <c r="CI710" s="730"/>
      <c r="CJ710" s="730"/>
      <c r="CK710" s="730"/>
      <c r="CL710" s="730"/>
      <c r="CM710" s="730"/>
      <c r="CN710" s="730"/>
      <c r="CO710" s="730"/>
      <c r="CP710" s="730"/>
      <c r="CQ710" s="730"/>
      <c r="CR710" s="730"/>
      <c r="CS710" s="730"/>
      <c r="CT710" s="730"/>
      <c r="CU710" s="730"/>
      <c r="CV710" s="730"/>
      <c r="CW710" s="730"/>
      <c r="CX710" s="730"/>
      <c r="CY710" s="730"/>
      <c r="CZ710" s="730"/>
      <c r="DA710" s="730"/>
      <c r="DB710" s="730"/>
      <c r="DC710" s="730"/>
      <c r="DD710" s="730"/>
      <c r="DE710" s="730"/>
      <c r="DF710" s="730"/>
      <c r="DG710" s="730"/>
      <c r="DH710" s="730"/>
      <c r="DI710" s="730"/>
      <c r="DJ710" s="730"/>
      <c r="DK710" s="730"/>
      <c r="DL710" s="730"/>
      <c r="DM710" s="730"/>
      <c r="DN710" s="730"/>
      <c r="DO710" s="730"/>
      <c r="DP710" s="730"/>
      <c r="DQ710" s="730"/>
      <c r="DR710" s="730"/>
      <c r="DS710" s="730"/>
      <c r="DT710" s="730"/>
      <c r="DU710" s="730"/>
      <c r="DV710" s="730"/>
      <c r="DW710" s="730"/>
      <c r="DX710" s="730"/>
      <c r="DY710" s="730"/>
      <c r="DZ710" s="730"/>
      <c r="EA710" s="730"/>
      <c r="EB710" s="730"/>
      <c r="EC710" s="730"/>
      <c r="ED710" s="730"/>
      <c r="EE710" s="730"/>
      <c r="EF710" s="730"/>
      <c r="EG710" s="730"/>
      <c r="EH710" s="730"/>
      <c r="EI710" s="730"/>
      <c r="EJ710" s="730"/>
      <c r="EK710" s="730"/>
      <c r="EL710" s="730"/>
      <c r="EM710" s="730"/>
      <c r="EN710" s="730"/>
      <c r="EO710" s="730"/>
      <c r="EP710" s="730"/>
      <c r="EQ710" s="730"/>
      <c r="ER710" s="730"/>
      <c r="ES710" s="730"/>
      <c r="ET710" s="730"/>
      <c r="EU710" s="730"/>
      <c r="EV710" s="730"/>
      <c r="EW710" s="730"/>
      <c r="EX710" s="730"/>
      <c r="EY710" s="730"/>
      <c r="EZ710" s="730"/>
      <c r="FA710" s="730"/>
      <c r="FB710" s="730"/>
      <c r="FC710" s="730"/>
      <c r="FD710" s="730"/>
      <c r="FE710" s="730"/>
      <c r="FF710" s="730"/>
      <c r="FG710" s="730"/>
      <c r="FH710" s="730"/>
      <c r="FI710" s="730"/>
      <c r="FJ710" s="730"/>
      <c r="FK710" s="730"/>
      <c r="FL710" s="730"/>
      <c r="FM710" s="730"/>
      <c r="FN710" s="730"/>
      <c r="FO710" s="730"/>
      <c r="FP710" s="730"/>
      <c r="FQ710" s="730"/>
      <c r="FR710" s="730"/>
      <c r="FS710" s="730"/>
      <c r="FT710" s="730"/>
      <c r="FU710" s="730"/>
      <c r="FV710" s="730"/>
      <c r="FW710" s="730"/>
      <c r="FX710" s="730"/>
      <c r="FY710" s="730"/>
      <c r="FZ710" s="730"/>
      <c r="GA710" s="730"/>
      <c r="GB710" s="730"/>
      <c r="GC710" s="730"/>
      <c r="GD710" s="730"/>
      <c r="GE710" s="730"/>
      <c r="GF710" s="730"/>
      <c r="GG710" s="730"/>
      <c r="GH710" s="730"/>
      <c r="GI710" s="730"/>
      <c r="GJ710" s="730"/>
      <c r="GK710" s="730"/>
      <c r="GL710" s="730"/>
      <c r="GM710" s="730"/>
      <c r="GN710" s="730"/>
      <c r="GO710" s="730"/>
      <c r="GP710" s="730"/>
      <c r="GQ710" s="730"/>
      <c r="GR710" s="730"/>
      <c r="GS710" s="730"/>
      <c r="GT710" s="730"/>
      <c r="GU710" s="730"/>
      <c r="GV710" s="730"/>
      <c r="GW710" s="730"/>
      <c r="GX710" s="730"/>
      <c r="GY710" s="730"/>
      <c r="GZ710" s="730"/>
      <c r="HA710" s="730"/>
      <c r="HB710" s="730"/>
      <c r="HC710" s="730"/>
      <c r="HD710" s="730"/>
      <c r="HE710" s="730"/>
      <c r="HF710" s="730"/>
      <c r="HG710" s="730"/>
      <c r="HH710" s="730"/>
      <c r="HI710" s="730"/>
      <c r="HJ710" s="730"/>
      <c r="HK710" s="730"/>
      <c r="HL710" s="730"/>
      <c r="HM710" s="730"/>
      <c r="HN710" s="730"/>
      <c r="HO710" s="730"/>
      <c r="HP710" s="730"/>
      <c r="HQ710" s="730"/>
      <c r="HR710" s="730"/>
      <c r="HS710" s="730"/>
      <c r="HT710" s="730"/>
      <c r="HU710" s="730"/>
      <c r="HV710" s="730"/>
      <c r="HW710" s="730"/>
      <c r="HX710" s="730"/>
      <c r="HY710" s="730"/>
      <c r="HZ710" s="730"/>
      <c r="IA710" s="730"/>
      <c r="IB710" s="730"/>
      <c r="IC710" s="730"/>
      <c r="ID710" s="730"/>
      <c r="IE710" s="730"/>
      <c r="IF710" s="730"/>
      <c r="IG710" s="730"/>
      <c r="IH710" s="730"/>
      <c r="II710" s="730"/>
      <c r="IJ710" s="730"/>
      <c r="IK710" s="730"/>
      <c r="IL710" s="730"/>
      <c r="IM710" s="730"/>
      <c r="IN710" s="730"/>
      <c r="IO710" s="730"/>
      <c r="IP710" s="730"/>
      <c r="IQ710" s="730"/>
      <c r="IR710" s="730"/>
      <c r="IS710" s="730"/>
      <c r="IT710" s="730"/>
      <c r="IU710" s="730"/>
      <c r="IV710" s="730"/>
    </row>
    <row r="711" spans="1:256" s="730" customFormat="1" ht="12.6">
      <c r="A711" s="713"/>
      <c r="B711" s="714"/>
      <c r="C711" s="714"/>
      <c r="D711" s="867" t="s">
        <v>738</v>
      </c>
      <c r="E711" s="715"/>
      <c r="F711" s="716"/>
      <c r="G711" s="714"/>
      <c r="H711" s="678"/>
      <c r="I711" s="714"/>
      <c r="J711" s="714"/>
      <c r="K711" s="714"/>
      <c r="L711" s="709"/>
      <c r="M711" s="714"/>
      <c r="N711" s="721"/>
      <c r="O711" s="721"/>
      <c r="P711" s="723"/>
      <c r="Q711" s="724"/>
      <c r="R711" s="726"/>
      <c r="S711" s="724"/>
      <c r="T711" s="727"/>
      <c r="U711" s="714"/>
      <c r="V711" s="714"/>
      <c r="W711" s="714"/>
      <c r="X711" s="714"/>
      <c r="Y711" s="714"/>
      <c r="Z711" s="714"/>
      <c r="AA711" s="714"/>
      <c r="AB711" s="714"/>
      <c r="AC711" s="714"/>
      <c r="AD711" s="714"/>
      <c r="AE711" s="714"/>
      <c r="AF711" s="714"/>
      <c r="AG711" s="714"/>
      <c r="AH711" s="714"/>
      <c r="AI711" s="714"/>
      <c r="AJ711" s="714"/>
      <c r="AK711" s="714"/>
      <c r="AL711" s="714"/>
      <c r="AM711" s="714"/>
      <c r="AN711" s="714"/>
      <c r="AO711" s="714"/>
      <c r="AP711" s="714"/>
      <c r="AQ711" s="714"/>
      <c r="AR711" s="714"/>
      <c r="AS711" s="714"/>
      <c r="AT711" s="714"/>
      <c r="AU711" s="714"/>
      <c r="AV711" s="714"/>
      <c r="AW711" s="714"/>
      <c r="AX711" s="714"/>
      <c r="AY711" s="714"/>
      <c r="AZ711" s="714"/>
      <c r="BA711" s="714"/>
      <c r="BB711" s="714"/>
      <c r="BC711" s="714"/>
      <c r="BD711" s="714"/>
      <c r="BE711" s="714"/>
      <c r="BF711" s="714"/>
      <c r="BG711" s="714"/>
      <c r="BH711" s="714"/>
      <c r="BI711" s="714"/>
      <c r="BJ711" s="714"/>
      <c r="BK711" s="714"/>
      <c r="BL711" s="714"/>
      <c r="BM711" s="714"/>
      <c r="BN711" s="714"/>
      <c r="BO711" s="714"/>
      <c r="BP711" s="714"/>
      <c r="BQ711" s="714"/>
      <c r="BR711" s="714"/>
      <c r="BS711" s="714"/>
      <c r="BT711" s="714"/>
      <c r="BU711" s="714"/>
      <c r="BV711" s="714"/>
      <c r="BW711" s="714"/>
      <c r="BX711" s="714"/>
      <c r="BY711" s="714"/>
      <c r="BZ711" s="714"/>
      <c r="CA711" s="714"/>
      <c r="CB711" s="714"/>
      <c r="CC711" s="714"/>
      <c r="CD711" s="714"/>
      <c r="CE711" s="714"/>
      <c r="CF711" s="714"/>
      <c r="CG711" s="714"/>
      <c r="CH711" s="714"/>
      <c r="CI711" s="714"/>
      <c r="CJ711" s="714"/>
      <c r="CK711" s="714"/>
      <c r="CL711" s="714"/>
      <c r="CM711" s="714"/>
      <c r="CN711" s="714"/>
      <c r="CO711" s="714"/>
      <c r="CP711" s="714"/>
      <c r="CQ711" s="714"/>
      <c r="CR711" s="714"/>
      <c r="CS711" s="714"/>
      <c r="CT711" s="714"/>
      <c r="CU711" s="714"/>
      <c r="CV711" s="714"/>
      <c r="CW711" s="714"/>
      <c r="CX711" s="714"/>
      <c r="CY711" s="714"/>
      <c r="CZ711" s="714"/>
      <c r="DA711" s="714"/>
      <c r="DB711" s="714"/>
      <c r="DC711" s="714"/>
      <c r="DD711" s="714"/>
      <c r="DE711" s="714"/>
      <c r="DF711" s="714"/>
      <c r="DG711" s="714"/>
      <c r="DH711" s="714"/>
      <c r="DI711" s="714"/>
      <c r="DJ711" s="714"/>
      <c r="DK711" s="714"/>
      <c r="DL711" s="714"/>
      <c r="DM711" s="714"/>
      <c r="DN711" s="714"/>
      <c r="DO711" s="714"/>
      <c r="DP711" s="714"/>
      <c r="DQ711" s="714"/>
      <c r="DR711" s="714"/>
      <c r="DS711" s="714"/>
      <c r="DT711" s="714"/>
      <c r="DU711" s="714"/>
      <c r="DV711" s="714"/>
      <c r="DW711" s="714"/>
      <c r="DX711" s="714"/>
      <c r="DY711" s="714"/>
      <c r="DZ711" s="714"/>
      <c r="EA711" s="714"/>
      <c r="EB711" s="714"/>
      <c r="EC711" s="714"/>
      <c r="ED711" s="714"/>
      <c r="EE711" s="714"/>
      <c r="EF711" s="714"/>
      <c r="EG711" s="714"/>
      <c r="EH711" s="714"/>
      <c r="EI711" s="714"/>
      <c r="EJ711" s="714"/>
      <c r="EK711" s="714"/>
      <c r="EL711" s="714"/>
      <c r="EM711" s="714"/>
      <c r="EN711" s="714"/>
      <c r="EO711" s="714"/>
      <c r="EP711" s="714"/>
      <c r="EQ711" s="714"/>
      <c r="ER711" s="714"/>
      <c r="ES711" s="714"/>
      <c r="ET711" s="714"/>
      <c r="EU711" s="714"/>
      <c r="EV711" s="714"/>
      <c r="EW711" s="714"/>
      <c r="EX711" s="714"/>
      <c r="EY711" s="714"/>
      <c r="EZ711" s="714"/>
      <c r="FA711" s="714"/>
      <c r="FB711" s="714"/>
      <c r="FC711" s="714"/>
      <c r="FD711" s="714"/>
      <c r="FE711" s="714"/>
      <c r="FF711" s="714"/>
      <c r="FG711" s="714"/>
      <c r="FH711" s="714"/>
      <c r="FI711" s="714"/>
      <c r="FJ711" s="714"/>
      <c r="FK711" s="714"/>
      <c r="FL711" s="714"/>
      <c r="FM711" s="714"/>
      <c r="FN711" s="714"/>
      <c r="FO711" s="714"/>
      <c r="FP711" s="714"/>
      <c r="FQ711" s="714"/>
      <c r="FR711" s="714"/>
      <c r="FS711" s="714"/>
      <c r="FT711" s="714"/>
      <c r="FU711" s="714"/>
      <c r="FV711" s="714"/>
      <c r="FW711" s="714"/>
      <c r="FX711" s="714"/>
      <c r="FY711" s="714"/>
      <c r="FZ711" s="714"/>
      <c r="GA711" s="714"/>
      <c r="GB711" s="714"/>
      <c r="GC711" s="714"/>
      <c r="GD711" s="714"/>
      <c r="GE711" s="714"/>
      <c r="GF711" s="714"/>
      <c r="GG711" s="714"/>
      <c r="GH711" s="714"/>
      <c r="GI711" s="714"/>
      <c r="GJ711" s="714"/>
      <c r="GK711" s="714"/>
      <c r="GL711" s="714"/>
      <c r="GM711" s="714"/>
      <c r="GN711" s="714"/>
      <c r="GO711" s="714"/>
      <c r="GP711" s="714"/>
      <c r="GQ711" s="714"/>
      <c r="GR711" s="714"/>
      <c r="GS711" s="714"/>
      <c r="GT711" s="714"/>
      <c r="GU711" s="714"/>
      <c r="GV711" s="714"/>
      <c r="GW711" s="714"/>
      <c r="GX711" s="714"/>
      <c r="GY711" s="714"/>
      <c r="GZ711" s="714"/>
      <c r="HA711" s="714"/>
      <c r="HB711" s="714"/>
      <c r="HC711" s="714"/>
      <c r="HD711" s="714"/>
      <c r="HE711" s="714"/>
      <c r="HF711" s="714"/>
      <c r="HG711" s="714"/>
      <c r="HH711" s="714"/>
      <c r="HI711" s="714"/>
      <c r="HJ711" s="714"/>
      <c r="HK711" s="714"/>
      <c r="HL711" s="714"/>
      <c r="HM711" s="714"/>
      <c r="HN711" s="714"/>
      <c r="HO711" s="714"/>
      <c r="HP711" s="714"/>
      <c r="HQ711" s="714"/>
      <c r="HR711" s="714"/>
      <c r="HS711" s="714"/>
      <c r="HT711" s="714"/>
      <c r="HU711" s="714"/>
      <c r="HV711" s="714"/>
      <c r="HW711" s="714"/>
      <c r="HX711" s="714"/>
      <c r="HY711" s="714"/>
      <c r="HZ711" s="714"/>
      <c r="IA711" s="714"/>
      <c r="IB711" s="714"/>
      <c r="IC711" s="714"/>
      <c r="ID711" s="714"/>
      <c r="IE711" s="714"/>
      <c r="IF711" s="714"/>
      <c r="IG711" s="714"/>
      <c r="IH711" s="714"/>
      <c r="II711" s="714"/>
      <c r="IJ711" s="714"/>
      <c r="IK711" s="714"/>
      <c r="IL711" s="714"/>
      <c r="IM711" s="714"/>
      <c r="IN711" s="714"/>
      <c r="IO711" s="714"/>
      <c r="IP711" s="714"/>
      <c r="IQ711" s="714"/>
      <c r="IR711" s="714"/>
      <c r="IS711" s="714"/>
      <c r="IT711" s="714"/>
      <c r="IU711" s="714"/>
      <c r="IV711" s="714"/>
    </row>
    <row r="712" spans="1:256" s="730" customFormat="1" ht="13.2">
      <c r="A712">
        <v>1</v>
      </c>
      <c r="B712" s="730" t="s">
        <v>141</v>
      </c>
      <c r="D712" s="730" t="s">
        <v>761</v>
      </c>
      <c r="F712" s="730" t="s">
        <v>1062</v>
      </c>
      <c r="G712" s="731" t="s">
        <v>737</v>
      </c>
      <c r="H712" s="718" t="s">
        <v>560</v>
      </c>
      <c r="I712" s="730" t="s">
        <v>674</v>
      </c>
      <c r="L712" s="720" t="s">
        <v>560</v>
      </c>
      <c r="O712" s="733">
        <v>2</v>
      </c>
      <c r="P712" s="734">
        <v>38443</v>
      </c>
      <c r="Q712" s="735">
        <v>700</v>
      </c>
      <c r="R712" s="736">
        <f>$A712*Q712</f>
        <v>700</v>
      </c>
      <c r="S712" s="735">
        <v>4</v>
      </c>
      <c r="T712" s="737">
        <f>$A712*S712*$T$1</f>
        <v>4</v>
      </c>
    </row>
    <row r="713" spans="1:256" s="602" customFormat="1" ht="13.2">
      <c r="A713">
        <v>1</v>
      </c>
      <c r="B713" s="730" t="s">
        <v>141</v>
      </c>
      <c r="C713" s="730"/>
      <c r="D713" s="730" t="s">
        <v>676</v>
      </c>
      <c r="E713" s="730"/>
      <c r="F713" s="730"/>
      <c r="G713" s="731" t="s">
        <v>677</v>
      </c>
      <c r="H713" s="718" t="s">
        <v>560</v>
      </c>
      <c r="I713" s="730" t="s">
        <v>674</v>
      </c>
      <c r="J713" s="730"/>
      <c r="K713" s="730" t="s">
        <v>678</v>
      </c>
      <c r="L713" s="720" t="s">
        <v>560</v>
      </c>
      <c r="M713" s="730"/>
      <c r="N713" s="730"/>
      <c r="O713" s="733">
        <v>1</v>
      </c>
      <c r="P713" s="734"/>
      <c r="Q713" s="735">
        <v>50</v>
      </c>
      <c r="R713" s="736">
        <f>$A713*Q713</f>
        <v>50</v>
      </c>
      <c r="S713" s="735"/>
      <c r="T713" s="737">
        <f>$A713*S713*$T$1</f>
        <v>0</v>
      </c>
      <c r="U713" s="730"/>
      <c r="V713" s="730"/>
      <c r="W713" s="730"/>
      <c r="X713" s="730"/>
      <c r="Y713" s="730"/>
      <c r="Z713" s="730"/>
      <c r="AA713" s="730"/>
      <c r="AB713" s="730"/>
      <c r="AC713" s="730"/>
      <c r="AD713" s="730"/>
      <c r="AE713" s="730"/>
      <c r="AF713" s="730"/>
      <c r="AG713" s="730"/>
      <c r="AH713" s="730"/>
      <c r="AI713" s="730"/>
      <c r="AJ713" s="730"/>
      <c r="AK713" s="730"/>
      <c r="AL713" s="730"/>
      <c r="AM713" s="730"/>
      <c r="AN713" s="730"/>
      <c r="AO713" s="730"/>
      <c r="AP713" s="730"/>
      <c r="AQ713" s="730"/>
      <c r="AR713" s="730"/>
      <c r="AS713" s="730"/>
      <c r="AT713" s="730"/>
      <c r="AU713" s="730"/>
      <c r="AV713" s="730"/>
      <c r="AW713" s="730"/>
      <c r="AX713" s="730"/>
      <c r="AY713" s="730"/>
      <c r="AZ713" s="730"/>
      <c r="BA713" s="730"/>
      <c r="BB713" s="730"/>
      <c r="BC713" s="730"/>
      <c r="BD713" s="730"/>
      <c r="BE713" s="730"/>
      <c r="BF713" s="730"/>
      <c r="BG713" s="730"/>
      <c r="BH713" s="730"/>
      <c r="BI713" s="730"/>
      <c r="BJ713" s="730"/>
      <c r="BK713" s="730"/>
      <c r="BL713" s="730"/>
      <c r="BM713" s="730"/>
      <c r="BN713" s="730"/>
      <c r="BO713" s="730"/>
      <c r="BP713" s="730"/>
      <c r="BQ713" s="730"/>
      <c r="BR713" s="730"/>
      <c r="BS713" s="730"/>
      <c r="BT713" s="730"/>
      <c r="BU713" s="730"/>
      <c r="BV713" s="730"/>
      <c r="BW713" s="730"/>
      <c r="BX713" s="730"/>
      <c r="BY713" s="730"/>
      <c r="BZ713" s="730"/>
      <c r="CA713" s="730"/>
      <c r="CB713" s="730"/>
      <c r="CC713" s="730"/>
      <c r="CD713" s="730"/>
      <c r="CE713" s="730"/>
      <c r="CF713" s="730"/>
      <c r="CG713" s="730"/>
      <c r="CH713" s="730"/>
      <c r="CI713" s="730"/>
      <c r="CJ713" s="730"/>
      <c r="CK713" s="730"/>
      <c r="CL713" s="730"/>
      <c r="CM713" s="730"/>
      <c r="CN713" s="730"/>
      <c r="CO713" s="730"/>
      <c r="CP713" s="730"/>
      <c r="CQ713" s="730"/>
      <c r="CR713" s="730"/>
      <c r="CS713" s="730"/>
      <c r="CT713" s="730"/>
      <c r="CU713" s="730"/>
      <c r="CV713" s="730"/>
      <c r="CW713" s="730"/>
      <c r="CX713" s="730"/>
      <c r="CY713" s="730"/>
      <c r="CZ713" s="730"/>
      <c r="DA713" s="730"/>
      <c r="DB713" s="730"/>
      <c r="DC713" s="730"/>
      <c r="DD713" s="730"/>
      <c r="DE713" s="730"/>
      <c r="DF713" s="730"/>
      <c r="DG713" s="730"/>
      <c r="DH713" s="730"/>
      <c r="DI713" s="730"/>
      <c r="DJ713" s="730"/>
      <c r="DK713" s="730"/>
      <c r="DL713" s="730"/>
      <c r="DM713" s="730"/>
      <c r="DN713" s="730"/>
      <c r="DO713" s="730"/>
      <c r="DP713" s="730"/>
      <c r="DQ713" s="730"/>
      <c r="DR713" s="730"/>
      <c r="DS713" s="730"/>
      <c r="DT713" s="730"/>
      <c r="DU713" s="730"/>
      <c r="DV713" s="730"/>
      <c r="DW713" s="730"/>
      <c r="DX713" s="730"/>
      <c r="DY713" s="730"/>
      <c r="DZ713" s="730"/>
      <c r="EA713" s="730"/>
      <c r="EB713" s="730"/>
      <c r="EC713" s="730"/>
      <c r="ED713" s="730"/>
      <c r="EE713" s="730"/>
      <c r="EF713" s="730"/>
      <c r="EG713" s="730"/>
      <c r="EH713" s="730"/>
      <c r="EI713" s="730"/>
      <c r="EJ713" s="730"/>
      <c r="EK713" s="730"/>
      <c r="EL713" s="730"/>
      <c r="EM713" s="730"/>
      <c r="EN713" s="730"/>
      <c r="EO713" s="730"/>
      <c r="EP713" s="730"/>
      <c r="EQ713" s="730"/>
      <c r="ER713" s="730"/>
      <c r="ES713" s="730"/>
      <c r="ET713" s="730"/>
      <c r="EU713" s="730"/>
      <c r="EV713" s="730"/>
      <c r="EW713" s="730"/>
      <c r="EX713" s="730"/>
      <c r="EY713" s="730"/>
      <c r="EZ713" s="730"/>
      <c r="FA713" s="730"/>
      <c r="FB713" s="730"/>
      <c r="FC713" s="730"/>
      <c r="FD713" s="730"/>
      <c r="FE713" s="730"/>
      <c r="FF713" s="730"/>
      <c r="FG713" s="730"/>
      <c r="FH713" s="730"/>
      <c r="FI713" s="730"/>
      <c r="FJ713" s="730"/>
      <c r="FK713" s="730"/>
      <c r="FL713" s="730"/>
      <c r="FM713" s="730"/>
      <c r="FN713" s="730"/>
      <c r="FO713" s="730"/>
      <c r="FP713" s="730"/>
      <c r="FQ713" s="730"/>
      <c r="FR713" s="730"/>
      <c r="FS713" s="730"/>
      <c r="FT713" s="730"/>
      <c r="FU713" s="730"/>
      <c r="FV713" s="730"/>
      <c r="FW713" s="730"/>
      <c r="FX713" s="730"/>
      <c r="FY713" s="730"/>
      <c r="FZ713" s="730"/>
      <c r="GA713" s="730"/>
      <c r="GB713" s="730"/>
      <c r="GC713" s="730"/>
      <c r="GD713" s="730"/>
      <c r="GE713" s="730"/>
      <c r="GF713" s="730"/>
      <c r="GG713" s="730"/>
      <c r="GH713" s="730"/>
      <c r="GI713" s="730"/>
      <c r="GJ713" s="730"/>
      <c r="GK713" s="730"/>
      <c r="GL713" s="730"/>
      <c r="GM713" s="730"/>
      <c r="GN713" s="730"/>
      <c r="GO713" s="730"/>
      <c r="GP713" s="730"/>
      <c r="GQ713" s="730"/>
      <c r="GR713" s="730"/>
      <c r="GS713" s="730"/>
      <c r="GT713" s="730"/>
      <c r="GU713" s="730"/>
      <c r="GV713" s="730"/>
      <c r="GW713" s="730"/>
      <c r="GX713" s="730"/>
      <c r="GY713" s="730"/>
      <c r="GZ713" s="730"/>
      <c r="HA713" s="730"/>
      <c r="HB713" s="730"/>
      <c r="HC713" s="730"/>
      <c r="HD713" s="730"/>
      <c r="HE713" s="730"/>
      <c r="HF713" s="730"/>
      <c r="HG713" s="730"/>
      <c r="HH713" s="730"/>
      <c r="HI713" s="730"/>
      <c r="HJ713" s="730"/>
      <c r="HK713" s="730"/>
      <c r="HL713" s="730"/>
      <c r="HM713" s="730"/>
      <c r="HN713" s="730"/>
      <c r="HO713" s="730"/>
      <c r="HP713" s="730"/>
      <c r="HQ713" s="730"/>
      <c r="HR713" s="730"/>
      <c r="HS713" s="730"/>
      <c r="HT713" s="730"/>
      <c r="HU713" s="730"/>
      <c r="HV713" s="730"/>
      <c r="HW713" s="730"/>
      <c r="HX713" s="730"/>
      <c r="HY713" s="730"/>
      <c r="HZ713" s="730"/>
      <c r="IA713" s="730"/>
      <c r="IB713" s="730"/>
      <c r="IC713" s="730"/>
      <c r="ID713" s="730"/>
      <c r="IE713" s="730"/>
      <c r="IF713" s="730"/>
      <c r="IG713" s="730"/>
      <c r="IH713" s="730"/>
      <c r="II713" s="730"/>
      <c r="IJ713" s="730"/>
      <c r="IK713" s="730"/>
      <c r="IL713" s="730"/>
      <c r="IM713" s="730"/>
      <c r="IN713" s="730"/>
      <c r="IO713" s="730"/>
      <c r="IP713" s="730"/>
      <c r="IQ713" s="730"/>
      <c r="IR713" s="730"/>
      <c r="IS713" s="730"/>
      <c r="IT713" s="730"/>
      <c r="IU713" s="730"/>
      <c r="IV713" s="730"/>
    </row>
    <row r="714" spans="1:256" s="730" customFormat="1" ht="12.6">
      <c r="A714" s="63"/>
      <c r="B714" s="663"/>
      <c r="C714" s="663"/>
      <c r="D714" s="867" t="s">
        <v>1019</v>
      </c>
      <c r="E714" s="663"/>
      <c r="F714" s="664"/>
      <c r="G714" s="663"/>
      <c r="H714" s="663"/>
      <c r="I714" s="601"/>
      <c r="J714" s="663"/>
      <c r="K714" s="663"/>
      <c r="L714" s="709"/>
      <c r="M714" s="663"/>
      <c r="N714" s="663"/>
      <c r="O714" s="663"/>
      <c r="P714" s="663"/>
      <c r="Q714" s="601"/>
      <c r="R714" s="666"/>
      <c r="S714" s="601"/>
      <c r="T714" s="681"/>
      <c r="U714" s="602"/>
      <c r="V714" s="602"/>
      <c r="W714" s="602"/>
      <c r="X714" s="602"/>
      <c r="Y714" s="602"/>
      <c r="Z714" s="602"/>
      <c r="AA714" s="602"/>
      <c r="AB714" s="602"/>
      <c r="AC714" s="602"/>
      <c r="AD714" s="602"/>
      <c r="AE714" s="602"/>
      <c r="AF714" s="602"/>
      <c r="AG714" s="602"/>
      <c r="AH714" s="602"/>
      <c r="AI714" s="602"/>
      <c r="AJ714" s="602"/>
      <c r="AK714" s="602"/>
      <c r="AL714" s="602"/>
      <c r="AM714" s="602"/>
      <c r="AN714" s="602"/>
      <c r="AO714" s="602"/>
      <c r="AP714" s="602"/>
      <c r="AQ714" s="602"/>
      <c r="AR714" s="602"/>
      <c r="AS714" s="602"/>
      <c r="AT714" s="602"/>
      <c r="AU714" s="602"/>
      <c r="AV714" s="602"/>
      <c r="AW714" s="602"/>
      <c r="AX714" s="602"/>
      <c r="AY714" s="602"/>
      <c r="AZ714" s="602"/>
      <c r="BA714" s="602"/>
      <c r="BB714" s="602"/>
      <c r="BC714" s="602"/>
      <c r="BD714" s="602"/>
      <c r="BE714" s="602"/>
      <c r="BF714" s="602"/>
      <c r="BG714" s="602"/>
      <c r="BH714" s="602"/>
      <c r="BI714" s="602"/>
      <c r="BJ714" s="602"/>
      <c r="BK714" s="602"/>
      <c r="BL714" s="602"/>
      <c r="BM714" s="602"/>
      <c r="BN714" s="602"/>
      <c r="BO714" s="602"/>
      <c r="BP714" s="602"/>
      <c r="BQ714" s="602"/>
      <c r="BR714" s="602"/>
      <c r="BS714" s="602"/>
      <c r="BT714" s="602"/>
      <c r="BU714" s="602"/>
      <c r="BV714" s="602"/>
      <c r="BW714" s="602"/>
      <c r="BX714" s="602"/>
      <c r="BY714" s="602"/>
      <c r="BZ714" s="602"/>
      <c r="CA714" s="602"/>
      <c r="CB714" s="602"/>
      <c r="CC714" s="602"/>
      <c r="CD714" s="602"/>
      <c r="CE714" s="602"/>
      <c r="CF714" s="602"/>
      <c r="CG714" s="602"/>
      <c r="CH714" s="602"/>
      <c r="CI714" s="602"/>
      <c r="CJ714" s="602"/>
      <c r="CK714" s="602"/>
      <c r="CL714" s="602"/>
      <c r="CM714" s="602"/>
      <c r="CN714" s="602"/>
      <c r="CO714" s="602"/>
      <c r="CP714" s="602"/>
      <c r="CQ714" s="602"/>
      <c r="CR714" s="602"/>
      <c r="CS714" s="602"/>
      <c r="CT714" s="602"/>
      <c r="CU714" s="602"/>
      <c r="CV714" s="602"/>
      <c r="CW714" s="602"/>
      <c r="CX714" s="602"/>
      <c r="CY714" s="602"/>
      <c r="CZ714" s="602"/>
      <c r="DA714" s="602"/>
      <c r="DB714" s="602"/>
      <c r="DC714" s="602"/>
      <c r="DD714" s="602"/>
      <c r="DE714" s="602"/>
      <c r="DF714" s="602"/>
      <c r="DG714" s="602"/>
      <c r="DH714" s="602"/>
      <c r="DI714" s="602"/>
      <c r="DJ714" s="602"/>
      <c r="DK714" s="602"/>
      <c r="DL714" s="602"/>
      <c r="DM714" s="602"/>
      <c r="DN714" s="602"/>
      <c r="DO714" s="602"/>
      <c r="DP714" s="602"/>
      <c r="DQ714" s="602"/>
      <c r="DR714" s="602"/>
      <c r="DS714" s="602"/>
      <c r="DT714" s="602"/>
      <c r="DU714" s="602"/>
      <c r="DV714" s="602"/>
      <c r="DW714" s="602"/>
      <c r="DX714" s="602"/>
      <c r="DY714" s="602"/>
      <c r="DZ714" s="602"/>
      <c r="EA714" s="602"/>
      <c r="EB714" s="602"/>
      <c r="EC714" s="602"/>
      <c r="ED714" s="602"/>
      <c r="EE714" s="602"/>
      <c r="EF714" s="602"/>
      <c r="EG714" s="602"/>
      <c r="EH714" s="602"/>
      <c r="EI714" s="602"/>
      <c r="EJ714" s="602"/>
      <c r="EK714" s="602"/>
      <c r="EL714" s="602"/>
      <c r="EM714" s="602"/>
      <c r="EN714" s="602"/>
      <c r="EO714" s="602"/>
      <c r="EP714" s="602"/>
      <c r="EQ714" s="602"/>
      <c r="ER714" s="602"/>
      <c r="ES714" s="602"/>
      <c r="ET714" s="602"/>
      <c r="EU714" s="602"/>
      <c r="EV714" s="602"/>
      <c r="EW714" s="602"/>
      <c r="EX714" s="602"/>
      <c r="EY714" s="602"/>
      <c r="EZ714" s="602"/>
      <c r="FA714" s="602"/>
      <c r="FB714" s="602"/>
      <c r="FC714" s="602"/>
      <c r="FD714" s="602"/>
      <c r="FE714" s="602"/>
      <c r="FF714" s="602"/>
      <c r="FG714" s="602"/>
      <c r="FH714" s="602"/>
      <c r="FI714" s="602"/>
      <c r="FJ714" s="602"/>
      <c r="FK714" s="602"/>
      <c r="FL714" s="602"/>
      <c r="FM714" s="602"/>
      <c r="FN714" s="602"/>
      <c r="FO714" s="602"/>
      <c r="FP714" s="602"/>
      <c r="FQ714" s="602"/>
      <c r="FR714" s="602"/>
      <c r="FS714" s="602"/>
      <c r="FT714" s="602"/>
      <c r="FU714" s="602"/>
      <c r="FV714" s="602"/>
      <c r="FW714" s="602"/>
      <c r="FX714" s="602"/>
      <c r="FY714" s="602"/>
      <c r="FZ714" s="602"/>
      <c r="GA714" s="602"/>
      <c r="GB714" s="602"/>
      <c r="GC714" s="602"/>
      <c r="GD714" s="602"/>
      <c r="GE714" s="602"/>
      <c r="GF714" s="602"/>
      <c r="GG714" s="602"/>
      <c r="GH714" s="602"/>
      <c r="GI714" s="602"/>
      <c r="GJ714" s="602"/>
      <c r="GK714" s="602"/>
      <c r="GL714" s="602"/>
      <c r="GM714" s="602"/>
      <c r="GN714" s="602"/>
      <c r="GO714" s="602"/>
      <c r="GP714" s="602"/>
      <c r="GQ714" s="602"/>
      <c r="GR714" s="602"/>
      <c r="GS714" s="602"/>
      <c r="GT714" s="602"/>
      <c r="GU714" s="602"/>
      <c r="GV714" s="602"/>
      <c r="GW714" s="602"/>
      <c r="GX714" s="602"/>
      <c r="GY714" s="602"/>
      <c r="GZ714" s="602"/>
      <c r="HA714" s="602"/>
      <c r="HB714" s="602"/>
      <c r="HC714" s="602"/>
      <c r="HD714" s="602"/>
      <c r="HE714" s="602"/>
      <c r="HF714" s="602"/>
      <c r="HG714" s="602"/>
      <c r="HH714" s="602"/>
      <c r="HI714" s="602"/>
      <c r="HJ714" s="602"/>
      <c r="HK714" s="602"/>
      <c r="HL714" s="602"/>
      <c r="HM714" s="602"/>
      <c r="HN714" s="602"/>
      <c r="HO714" s="602"/>
      <c r="HP714" s="602"/>
      <c r="HQ714" s="602"/>
      <c r="HR714" s="602"/>
      <c r="HS714" s="602"/>
      <c r="HT714" s="602"/>
      <c r="HU714" s="602"/>
      <c r="HV714" s="602"/>
      <c r="HW714" s="602"/>
      <c r="HX714" s="602"/>
      <c r="HY714" s="602"/>
      <c r="HZ714" s="602"/>
      <c r="IA714" s="602"/>
      <c r="IB714" s="602"/>
      <c r="IC714" s="602"/>
      <c r="ID714" s="602"/>
      <c r="IE714" s="602"/>
      <c r="IF714" s="602"/>
      <c r="IG714" s="602"/>
      <c r="IH714" s="602"/>
      <c r="II714" s="602"/>
      <c r="IJ714" s="602"/>
      <c r="IK714" s="602"/>
      <c r="IL714" s="602"/>
      <c r="IM714" s="602"/>
      <c r="IN714" s="602"/>
      <c r="IO714" s="602"/>
      <c r="IP714" s="602"/>
      <c r="IQ714" s="602"/>
      <c r="IR714" s="602"/>
      <c r="IS714" s="602"/>
      <c r="IT714" s="602"/>
      <c r="IU714" s="602"/>
      <c r="IV714" s="602"/>
    </row>
    <row r="715" spans="1:256" s="730" customFormat="1" ht="13.2">
      <c r="A715">
        <f>2*3</f>
        <v>6</v>
      </c>
      <c r="B715" s="730" t="s">
        <v>326</v>
      </c>
      <c r="D715" s="730" t="s">
        <v>814</v>
      </c>
      <c r="G715" s="731" t="s">
        <v>812</v>
      </c>
      <c r="H715" s="718" t="s">
        <v>560</v>
      </c>
      <c r="I715" s="730" t="s">
        <v>561</v>
      </c>
      <c r="J715" s="730" t="s">
        <v>813</v>
      </c>
      <c r="O715" s="733">
        <v>2</v>
      </c>
      <c r="P715" s="734">
        <v>40767</v>
      </c>
      <c r="Q715" s="735"/>
      <c r="R715" s="736">
        <f t="shared" ref="R715:R722" si="21">$A715*Q715</f>
        <v>0</v>
      </c>
      <c r="S715" s="735">
        <v>0.22</v>
      </c>
      <c r="T715" s="737">
        <f t="shared" ref="T715:T722" si="22">$A715*S715*$T$1</f>
        <v>1.32</v>
      </c>
    </row>
    <row r="716" spans="1:256" s="730" customFormat="1" ht="13.2">
      <c r="A716" s="167">
        <v>1</v>
      </c>
      <c r="B716" s="730" t="s">
        <v>141</v>
      </c>
      <c r="D716" s="730" t="s">
        <v>744</v>
      </c>
      <c r="F716" s="730" t="s">
        <v>1023</v>
      </c>
      <c r="G716" s="731" t="s">
        <v>745</v>
      </c>
      <c r="H716" s="718" t="s">
        <v>560</v>
      </c>
      <c r="I716" s="730" t="s">
        <v>686</v>
      </c>
      <c r="L716" s="720" t="s">
        <v>560</v>
      </c>
      <c r="O716" s="733">
        <v>2</v>
      </c>
      <c r="P716" s="734"/>
      <c r="Q716" s="735"/>
      <c r="R716" s="736">
        <f t="shared" si="21"/>
        <v>0</v>
      </c>
      <c r="S716" s="735">
        <v>2</v>
      </c>
      <c r="T716" s="737">
        <f t="shared" si="22"/>
        <v>2</v>
      </c>
    </row>
    <row r="717" spans="1:256" s="730" customFormat="1" ht="12">
      <c r="A717" s="63">
        <v>15</v>
      </c>
      <c r="B717" s="730" t="s">
        <v>141</v>
      </c>
      <c r="D717" s="730" t="s">
        <v>815</v>
      </c>
      <c r="G717" s="731" t="s">
        <v>816</v>
      </c>
      <c r="H717" s="718" t="s">
        <v>560</v>
      </c>
      <c r="I717" s="730" t="s">
        <v>674</v>
      </c>
      <c r="K717" s="730" t="s">
        <v>817</v>
      </c>
      <c r="L717" s="720" t="s">
        <v>560</v>
      </c>
      <c r="O717" s="733">
        <v>1</v>
      </c>
      <c r="P717" s="734">
        <v>34669</v>
      </c>
      <c r="Q717" s="735">
        <v>0.05</v>
      </c>
      <c r="R717" s="736">
        <f t="shared" si="21"/>
        <v>0.75</v>
      </c>
      <c r="S717" s="735"/>
      <c r="T717" s="737">
        <f t="shared" si="22"/>
        <v>0</v>
      </c>
    </row>
    <row r="718" spans="1:256" s="730" customFormat="1" ht="13.2">
      <c r="A718">
        <v>4</v>
      </c>
      <c r="B718" s="730" t="s">
        <v>141</v>
      </c>
      <c r="D718" s="730" t="s">
        <v>818</v>
      </c>
      <c r="G718" s="731" t="s">
        <v>819</v>
      </c>
      <c r="H718" s="718" t="s">
        <v>560</v>
      </c>
      <c r="I718" s="730" t="s">
        <v>741</v>
      </c>
      <c r="L718" s="720" t="s">
        <v>560</v>
      </c>
      <c r="O718" s="733">
        <v>2</v>
      </c>
      <c r="P718" s="734">
        <v>35431</v>
      </c>
      <c r="Q718" s="735">
        <v>24.53</v>
      </c>
      <c r="R718" s="736">
        <f t="shared" si="21"/>
        <v>98.12</v>
      </c>
      <c r="S718" s="735">
        <v>0.70000000000000007</v>
      </c>
      <c r="T718" s="737">
        <f t="shared" si="22"/>
        <v>2.8000000000000003</v>
      </c>
    </row>
    <row r="719" spans="1:256" s="730" customFormat="1" ht="13.2">
      <c r="A719">
        <v>4</v>
      </c>
      <c r="B719" s="730" t="s">
        <v>326</v>
      </c>
      <c r="D719" s="730" t="s">
        <v>703</v>
      </c>
      <c r="G719" s="731" t="s">
        <v>704</v>
      </c>
      <c r="H719" s="718" t="s">
        <v>560</v>
      </c>
      <c r="I719" s="730" t="s">
        <v>674</v>
      </c>
      <c r="L719" s="720" t="s">
        <v>560</v>
      </c>
      <c r="O719" s="733">
        <v>2</v>
      </c>
      <c r="P719" s="734">
        <v>38148</v>
      </c>
      <c r="Q719" s="735">
        <v>1.5</v>
      </c>
      <c r="R719" s="736">
        <f t="shared" si="21"/>
        <v>6</v>
      </c>
      <c r="S719" s="735">
        <v>0.08</v>
      </c>
      <c r="T719" s="737">
        <f t="shared" si="22"/>
        <v>0.32</v>
      </c>
    </row>
    <row r="720" spans="1:256" s="730" customFormat="1" ht="13.2">
      <c r="A720">
        <v>16</v>
      </c>
      <c r="B720" s="730" t="s">
        <v>141</v>
      </c>
      <c r="D720" s="730" t="s">
        <v>820</v>
      </c>
      <c r="G720" s="731" t="s">
        <v>821</v>
      </c>
      <c r="H720" s="718" t="s">
        <v>560</v>
      </c>
      <c r="I720" s="730" t="s">
        <v>702</v>
      </c>
      <c r="L720" s="720" t="s">
        <v>560</v>
      </c>
      <c r="O720" s="733">
        <v>2</v>
      </c>
      <c r="P720" s="734">
        <v>34669</v>
      </c>
      <c r="Q720" s="823">
        <v>0.7</v>
      </c>
      <c r="R720" s="736">
        <f t="shared" si="21"/>
        <v>11.2</v>
      </c>
      <c r="S720" s="735">
        <v>0.13</v>
      </c>
      <c r="T720" s="737">
        <f t="shared" si="22"/>
        <v>2.08</v>
      </c>
    </row>
    <row r="721" spans="1:256" s="602" customFormat="1" ht="13.2">
      <c r="A721" s="167">
        <v>1</v>
      </c>
      <c r="B721" s="730" t="s">
        <v>141</v>
      </c>
      <c r="C721" s="730"/>
      <c r="D721" s="730" t="s">
        <v>751</v>
      </c>
      <c r="E721" s="730"/>
      <c r="F721" s="730"/>
      <c r="G721" s="731" t="s">
        <v>752</v>
      </c>
      <c r="H721" s="718" t="s">
        <v>560</v>
      </c>
      <c r="I721" s="730" t="s">
        <v>686</v>
      </c>
      <c r="J721" s="730"/>
      <c r="K721" s="730"/>
      <c r="L721" s="720" t="s">
        <v>560</v>
      </c>
      <c r="M721" s="730"/>
      <c r="N721" s="730"/>
      <c r="O721" s="733">
        <v>3</v>
      </c>
      <c r="P721" s="734">
        <v>34790</v>
      </c>
      <c r="Q721" s="735"/>
      <c r="R721" s="736">
        <f t="shared" si="21"/>
        <v>0</v>
      </c>
      <c r="S721" s="735"/>
      <c r="T721" s="737">
        <f t="shared" si="22"/>
        <v>0</v>
      </c>
      <c r="U721" s="730"/>
      <c r="V721" s="730"/>
      <c r="W721" s="730"/>
      <c r="X721" s="730"/>
      <c r="Y721" s="730"/>
      <c r="Z721" s="730"/>
      <c r="AA721" s="730"/>
      <c r="AB721" s="730"/>
      <c r="AC721" s="730"/>
      <c r="AD721" s="730"/>
      <c r="AE721" s="730"/>
      <c r="AF721" s="730"/>
      <c r="AG721" s="730"/>
      <c r="AH721" s="730"/>
      <c r="AI721" s="730"/>
      <c r="AJ721" s="730"/>
      <c r="AK721" s="730"/>
      <c r="AL721" s="730"/>
      <c r="AM721" s="730"/>
      <c r="AN721" s="730"/>
      <c r="AO721" s="730"/>
      <c r="AP721" s="730"/>
      <c r="AQ721" s="730"/>
      <c r="AR721" s="730"/>
      <c r="AS721" s="730"/>
      <c r="AT721" s="730"/>
      <c r="AU721" s="730"/>
      <c r="AV721" s="730"/>
      <c r="AW721" s="730"/>
      <c r="AX721" s="730"/>
      <c r="AY721" s="730"/>
      <c r="AZ721" s="730"/>
      <c r="BA721" s="730"/>
      <c r="BB721" s="730"/>
      <c r="BC721" s="730"/>
      <c r="BD721" s="730"/>
      <c r="BE721" s="730"/>
      <c r="BF721" s="730"/>
      <c r="BG721" s="730"/>
      <c r="BH721" s="730"/>
      <c r="BI721" s="730"/>
      <c r="BJ721" s="730"/>
      <c r="BK721" s="730"/>
      <c r="BL721" s="730"/>
      <c r="BM721" s="730"/>
      <c r="BN721" s="730"/>
      <c r="BO721" s="730"/>
      <c r="BP721" s="730"/>
      <c r="BQ721" s="730"/>
      <c r="BR721" s="730"/>
      <c r="BS721" s="730"/>
      <c r="BT721" s="730"/>
      <c r="BU721" s="730"/>
      <c r="BV721" s="730"/>
      <c r="BW721" s="730"/>
      <c r="BX721" s="730"/>
      <c r="BY721" s="730"/>
      <c r="BZ721" s="730"/>
      <c r="CA721" s="730"/>
      <c r="CB721" s="730"/>
      <c r="CC721" s="730"/>
      <c r="CD721" s="730"/>
      <c r="CE721" s="730"/>
      <c r="CF721" s="730"/>
      <c r="CG721" s="730"/>
      <c r="CH721" s="730"/>
      <c r="CI721" s="730"/>
      <c r="CJ721" s="730"/>
      <c r="CK721" s="730"/>
      <c r="CL721" s="730"/>
      <c r="CM721" s="730"/>
      <c r="CN721" s="730"/>
      <c r="CO721" s="730"/>
      <c r="CP721" s="730"/>
      <c r="CQ721" s="730"/>
      <c r="CR721" s="730"/>
      <c r="CS721" s="730"/>
      <c r="CT721" s="730"/>
      <c r="CU721" s="730"/>
      <c r="CV721" s="730"/>
      <c r="CW721" s="730"/>
      <c r="CX721" s="730"/>
      <c r="CY721" s="730"/>
      <c r="CZ721" s="730"/>
      <c r="DA721" s="730"/>
      <c r="DB721" s="730"/>
      <c r="DC721" s="730"/>
      <c r="DD721" s="730"/>
      <c r="DE721" s="730"/>
      <c r="DF721" s="730"/>
      <c r="DG721" s="730"/>
      <c r="DH721" s="730"/>
      <c r="DI721" s="730"/>
      <c r="DJ721" s="730"/>
      <c r="DK721" s="730"/>
      <c r="DL721" s="730"/>
      <c r="DM721" s="730"/>
      <c r="DN721" s="730"/>
      <c r="DO721" s="730"/>
      <c r="DP721" s="730"/>
      <c r="DQ721" s="730"/>
      <c r="DR721" s="730"/>
      <c r="DS721" s="730"/>
      <c r="DT721" s="730"/>
      <c r="DU721" s="730"/>
      <c r="DV721" s="730"/>
      <c r="DW721" s="730"/>
      <c r="DX721" s="730"/>
      <c r="DY721" s="730"/>
      <c r="DZ721" s="730"/>
      <c r="EA721" s="730"/>
      <c r="EB721" s="730"/>
      <c r="EC721" s="730"/>
      <c r="ED721" s="730"/>
      <c r="EE721" s="730"/>
      <c r="EF721" s="730"/>
      <c r="EG721" s="730"/>
      <c r="EH721" s="730"/>
      <c r="EI721" s="730"/>
      <c r="EJ721" s="730"/>
      <c r="EK721" s="730"/>
      <c r="EL721" s="730"/>
      <c r="EM721" s="730"/>
      <c r="EN721" s="730"/>
      <c r="EO721" s="730"/>
      <c r="EP721" s="730"/>
      <c r="EQ721" s="730"/>
      <c r="ER721" s="730"/>
      <c r="ES721" s="730"/>
      <c r="ET721" s="730"/>
      <c r="EU721" s="730"/>
      <c r="EV721" s="730"/>
      <c r="EW721" s="730"/>
      <c r="EX721" s="730"/>
      <c r="EY721" s="730"/>
      <c r="EZ721" s="730"/>
      <c r="FA721" s="730"/>
      <c r="FB721" s="730"/>
      <c r="FC721" s="730"/>
      <c r="FD721" s="730"/>
      <c r="FE721" s="730"/>
      <c r="FF721" s="730"/>
      <c r="FG721" s="730"/>
      <c r="FH721" s="730"/>
      <c r="FI721" s="730"/>
      <c r="FJ721" s="730"/>
      <c r="FK721" s="730"/>
      <c r="FL721" s="730"/>
      <c r="FM721" s="730"/>
      <c r="FN721" s="730"/>
      <c r="FO721" s="730"/>
      <c r="FP721" s="730"/>
      <c r="FQ721" s="730"/>
      <c r="FR721" s="730"/>
      <c r="FS721" s="730"/>
      <c r="FT721" s="730"/>
      <c r="FU721" s="730"/>
      <c r="FV721" s="730"/>
      <c r="FW721" s="730"/>
      <c r="FX721" s="730"/>
      <c r="FY721" s="730"/>
      <c r="FZ721" s="730"/>
      <c r="GA721" s="730"/>
      <c r="GB721" s="730"/>
      <c r="GC721" s="730"/>
      <c r="GD721" s="730"/>
      <c r="GE721" s="730"/>
      <c r="GF721" s="730"/>
      <c r="GG721" s="730"/>
      <c r="GH721" s="730"/>
      <c r="GI721" s="730"/>
      <c r="GJ721" s="730"/>
      <c r="GK721" s="730"/>
      <c r="GL721" s="730"/>
      <c r="GM721" s="730"/>
      <c r="GN721" s="730"/>
      <c r="GO721" s="730"/>
      <c r="GP721" s="730"/>
      <c r="GQ721" s="730"/>
      <c r="GR721" s="730"/>
      <c r="GS721" s="730"/>
      <c r="GT721" s="730"/>
      <c r="GU721" s="730"/>
      <c r="GV721" s="730"/>
      <c r="GW721" s="730"/>
      <c r="GX721" s="730"/>
      <c r="GY721" s="730"/>
      <c r="GZ721" s="730"/>
      <c r="HA721" s="730"/>
      <c r="HB721" s="730"/>
      <c r="HC721" s="730"/>
      <c r="HD721" s="730"/>
      <c r="HE721" s="730"/>
      <c r="HF721" s="730"/>
      <c r="HG721" s="730"/>
      <c r="HH721" s="730"/>
      <c r="HI721" s="730"/>
      <c r="HJ721" s="730"/>
      <c r="HK721" s="730"/>
      <c r="HL721" s="730"/>
      <c r="HM721" s="730"/>
      <c r="HN721" s="730"/>
      <c r="HO721" s="730"/>
      <c r="HP721" s="730"/>
      <c r="HQ721" s="730"/>
      <c r="HR721" s="730"/>
      <c r="HS721" s="730"/>
      <c r="HT721" s="730"/>
      <c r="HU721" s="730"/>
      <c r="HV721" s="730"/>
      <c r="HW721" s="730"/>
      <c r="HX721" s="730"/>
      <c r="HY721" s="730"/>
      <c r="HZ721" s="730"/>
      <c r="IA721" s="730"/>
      <c r="IB721" s="730"/>
      <c r="IC721" s="730"/>
      <c r="ID721" s="730"/>
      <c r="IE721" s="730"/>
      <c r="IF721" s="730"/>
      <c r="IG721" s="730"/>
      <c r="IH721" s="730"/>
      <c r="II721" s="730"/>
      <c r="IJ721" s="730"/>
      <c r="IK721" s="730"/>
      <c r="IL721" s="730"/>
      <c r="IM721" s="730"/>
      <c r="IN721" s="730"/>
      <c r="IO721" s="730"/>
      <c r="IP721" s="730"/>
      <c r="IQ721" s="730"/>
      <c r="IR721" s="730"/>
      <c r="IS721" s="730"/>
      <c r="IT721" s="730"/>
      <c r="IU721" s="730"/>
      <c r="IV721" s="730"/>
    </row>
    <row r="722" spans="1:256" s="602" customFormat="1" ht="12">
      <c r="A722" s="663"/>
      <c r="B722" s="663"/>
      <c r="C722" s="663"/>
      <c r="D722" s="663"/>
      <c r="E722" s="663"/>
      <c r="F722" s="664"/>
      <c r="G722" s="663"/>
      <c r="H722" s="663"/>
      <c r="I722" s="601"/>
      <c r="J722" s="663"/>
      <c r="K722" s="663"/>
      <c r="L722" s="709"/>
      <c r="M722" s="663"/>
      <c r="N722" s="663"/>
      <c r="O722" s="663"/>
      <c r="P722" s="663"/>
      <c r="Q722" s="601"/>
      <c r="R722" s="666">
        <f t="shared" si="21"/>
        <v>0</v>
      </c>
      <c r="S722" s="601"/>
      <c r="T722" s="681">
        <f t="shared" si="22"/>
        <v>0</v>
      </c>
    </row>
    <row r="723" spans="1:256" s="602" customFormat="1" ht="12.6" thickBot="1">
      <c r="A723" s="682" t="s">
        <v>145</v>
      </c>
      <c r="B723" s="683">
        <f>(R722+T722)</f>
        <v>0</v>
      </c>
      <c r="C723" s="684"/>
      <c r="D723" s="684"/>
      <c r="E723" s="684"/>
      <c r="F723" s="685"/>
      <c r="G723" s="684" t="s">
        <v>146</v>
      </c>
      <c r="H723" s="684"/>
      <c r="I723" s="686"/>
      <c r="J723" s="684"/>
      <c r="K723" s="728"/>
      <c r="L723" s="729" t="s">
        <v>556</v>
      </c>
      <c r="M723" s="687"/>
      <c r="N723" s="687"/>
      <c r="O723" s="687"/>
      <c r="P723" s="687"/>
      <c r="Q723" s="688"/>
      <c r="R723" s="689">
        <f>SUM(R701:R722)</f>
        <v>1144.2700000000002</v>
      </c>
      <c r="S723" s="684"/>
      <c r="T723" s="689">
        <f>SUM(T701:T722)</f>
        <v>31.32</v>
      </c>
      <c r="U723" s="611"/>
      <c r="V723" s="611"/>
      <c r="W723" s="611"/>
      <c r="X723" s="611"/>
      <c r="Y723" s="611"/>
      <c r="Z723" s="611"/>
      <c r="AA723" s="611"/>
      <c r="AB723" s="611"/>
      <c r="AC723" s="611"/>
      <c r="AD723" s="611"/>
      <c r="AE723" s="611"/>
      <c r="AF723" s="611"/>
      <c r="AG723" s="611"/>
      <c r="AH723" s="611"/>
      <c r="AI723" s="611"/>
      <c r="AJ723" s="611"/>
      <c r="AK723" s="611"/>
      <c r="AL723" s="611"/>
      <c r="AM723" s="611"/>
      <c r="AN723" s="611"/>
      <c r="AO723" s="611"/>
    </row>
    <row r="724" spans="1:256" s="602" customFormat="1" ht="12" customHeight="1" thickTop="1">
      <c r="A724" s="63"/>
      <c r="B724" s="41"/>
      <c r="C724" s="63"/>
      <c r="E724" s="42" t="s">
        <v>138</v>
      </c>
      <c r="F724" s="42" t="s">
        <v>139</v>
      </c>
      <c r="G724" s="63"/>
      <c r="H724" s="63"/>
      <c r="I724" s="63"/>
      <c r="J724" s="63"/>
      <c r="K724" s="63" t="s">
        <v>140</v>
      </c>
      <c r="L724" s="63"/>
      <c r="M724" s="63"/>
      <c r="N724" s="63"/>
      <c r="O724" s="64"/>
      <c r="P724" s="63"/>
      <c r="Q724" s="63"/>
      <c r="R724" s="63"/>
      <c r="S724" s="63"/>
      <c r="T724" s="41"/>
      <c r="AG724" s="667" t="s">
        <v>278</v>
      </c>
      <c r="AH724" s="667" t="s">
        <v>279</v>
      </c>
      <c r="AI724" s="667" t="s">
        <v>280</v>
      </c>
      <c r="AJ724" s="667" t="s">
        <v>281</v>
      </c>
      <c r="AK724" s="667" t="s">
        <v>282</v>
      </c>
      <c r="AM724" s="668" t="s">
        <v>291</v>
      </c>
      <c r="AN724" s="669" t="s">
        <v>292</v>
      </c>
      <c r="AO724" s="603" t="s">
        <v>288</v>
      </c>
    </row>
    <row r="725" spans="1:256" s="602" customFormat="1" ht="13.2">
      <c r="A725" s="670">
        <v>1</v>
      </c>
      <c r="B725" s="671" t="s">
        <v>312</v>
      </c>
      <c r="C725" s="672"/>
      <c r="D725" s="673" t="s">
        <v>504</v>
      </c>
      <c r="E725" s="674">
        <f>IF(AND($A725=0,$A$1="DIF"),0, ROUND(ROUND(($R740*$S$2+($T740*$T$2))/A725,2)*$C$2,2))</f>
        <v>955.11</v>
      </c>
      <c r="F725" s="675">
        <f>ROUND($A725*$E725,2)</f>
        <v>955.11</v>
      </c>
      <c r="G725" s="676" t="s">
        <v>142</v>
      </c>
      <c r="H725" s="664"/>
      <c r="I725" s="677"/>
      <c r="J725" s="664"/>
      <c r="K725" s="664" t="s">
        <v>3</v>
      </c>
      <c r="L725" s="678" t="s">
        <v>143</v>
      </c>
      <c r="M725" s="678"/>
      <c r="N725" s="678"/>
      <c r="O725" s="678"/>
      <c r="P725" s="678"/>
      <c r="Q725" s="63"/>
      <c r="T725" s="679" t="str">
        <f>IF(AND($R740=0,$T740=0),"0.00","mu :" &amp; ROUND($F725/$C$2/($R740+$T740*$D$9),2))</f>
        <v>mu :1.35</v>
      </c>
      <c r="W725" s="604"/>
      <c r="AG725" s="549">
        <f>IF($E725=0,0,ROUND($R740*$S$2*$C$2/$A725,2))</f>
        <v>348.64</v>
      </c>
      <c r="AH725" s="549">
        <f>$AG725*$A725</f>
        <v>348.64</v>
      </c>
      <c r="AI725" s="605">
        <f>$E725-$AG725</f>
        <v>606.47</v>
      </c>
      <c r="AJ725" s="605">
        <f>$A725*$AI725</f>
        <v>606.47</v>
      </c>
      <c r="AK725" s="606">
        <f>ROUND(($AG725+$AI725)*$A725,2)</f>
        <v>955.11</v>
      </c>
      <c r="AM725" s="607">
        <f>ROUND(R740,2)</f>
        <v>265.2</v>
      </c>
      <c r="AN725" s="608">
        <f>ROUND(T740,2)</f>
        <v>16.8</v>
      </c>
      <c r="AO725" s="609">
        <f>ROUND(AM725+AN725,2)*A725</f>
        <v>282</v>
      </c>
    </row>
    <row r="726" spans="1:256" s="602" customFormat="1" ht="13.2">
      <c r="A726" s="672"/>
      <c r="B726"/>
      <c r="C726" s="672"/>
      <c r="D726" s="1368" t="s">
        <v>505</v>
      </c>
      <c r="E726" s="1369"/>
      <c r="F726" s="1369"/>
      <c r="G726" s="1369"/>
      <c r="H726" s="1369"/>
      <c r="I726" s="1369"/>
      <c r="J726" s="1369"/>
      <c r="K726" s="1369"/>
      <c r="L726" s="1369"/>
      <c r="M726" s="1369"/>
      <c r="N726" s="1369"/>
      <c r="O726" s="1369"/>
      <c r="P726" s="1369"/>
      <c r="Q726" s="1369"/>
      <c r="R726" s="1369"/>
      <c r="S726" s="1369"/>
      <c r="T726" s="1369"/>
    </row>
    <row r="727" spans="1:256" s="730" customFormat="1" ht="13.2">
      <c r="A727" s="672"/>
      <c r="B727"/>
      <c r="C727" s="672"/>
      <c r="D727" s="867" t="s">
        <v>1024</v>
      </c>
      <c r="E727" s="865"/>
      <c r="F727" s="865"/>
      <c r="G727" s="865"/>
      <c r="H727" s="865"/>
      <c r="I727" s="865"/>
      <c r="J727" s="865"/>
      <c r="K727" s="865"/>
      <c r="L727" s="865"/>
      <c r="M727" s="865"/>
      <c r="N727" s="865"/>
      <c r="O727" s="865"/>
      <c r="P727" s="865"/>
      <c r="Q727" s="865"/>
      <c r="R727" s="865"/>
      <c r="S727" s="865"/>
      <c r="T727" s="865"/>
      <c r="U727" s="602"/>
      <c r="V727" s="602"/>
      <c r="W727" s="602"/>
      <c r="X727" s="602"/>
      <c r="Y727" s="602"/>
      <c r="Z727" s="602"/>
      <c r="AA727" s="602"/>
      <c r="AB727" s="602"/>
      <c r="AC727" s="602"/>
      <c r="AD727" s="602"/>
      <c r="AE727" s="602"/>
      <c r="AF727" s="602"/>
      <c r="AG727" s="602"/>
      <c r="AH727" s="602"/>
      <c r="AI727" s="602"/>
      <c r="AJ727" s="602"/>
      <c r="AK727" s="602"/>
      <c r="AL727" s="602"/>
      <c r="AM727" s="602"/>
      <c r="AN727" s="602"/>
      <c r="AO727" s="602"/>
      <c r="AP727" s="602"/>
      <c r="AQ727" s="602"/>
      <c r="AR727" s="602"/>
      <c r="AS727" s="602"/>
      <c r="AT727" s="602"/>
      <c r="AU727" s="602"/>
      <c r="AV727" s="602"/>
      <c r="AW727" s="602"/>
      <c r="AX727" s="602"/>
      <c r="AY727" s="602"/>
      <c r="AZ727" s="602"/>
      <c r="BA727" s="602"/>
      <c r="BB727" s="602"/>
      <c r="BC727" s="602"/>
      <c r="BD727" s="602"/>
      <c r="BE727" s="602"/>
      <c r="BF727" s="602"/>
      <c r="BG727" s="602"/>
      <c r="BH727" s="602"/>
      <c r="BI727" s="602"/>
      <c r="BJ727" s="602"/>
      <c r="BK727" s="602"/>
      <c r="BL727" s="602"/>
      <c r="BM727" s="602"/>
      <c r="BN727" s="602"/>
      <c r="BO727" s="602"/>
      <c r="BP727" s="602"/>
      <c r="BQ727" s="602"/>
      <c r="BR727" s="602"/>
      <c r="BS727" s="602"/>
      <c r="BT727" s="602"/>
      <c r="BU727" s="602"/>
      <c r="BV727" s="602"/>
      <c r="BW727" s="602"/>
      <c r="BX727" s="602"/>
      <c r="BY727" s="602"/>
      <c r="BZ727" s="602"/>
      <c r="CA727" s="602"/>
      <c r="CB727" s="602"/>
      <c r="CC727" s="602"/>
      <c r="CD727" s="602"/>
      <c r="CE727" s="602"/>
      <c r="CF727" s="602"/>
      <c r="CG727" s="602"/>
      <c r="CH727" s="602"/>
      <c r="CI727" s="602"/>
      <c r="CJ727" s="602"/>
      <c r="CK727" s="602"/>
      <c r="CL727" s="602"/>
      <c r="CM727" s="602"/>
      <c r="CN727" s="602"/>
      <c r="CO727" s="602"/>
      <c r="CP727" s="602"/>
      <c r="CQ727" s="602"/>
      <c r="CR727" s="602"/>
      <c r="CS727" s="602"/>
      <c r="CT727" s="602"/>
      <c r="CU727" s="602"/>
      <c r="CV727" s="602"/>
      <c r="CW727" s="602"/>
      <c r="CX727" s="602"/>
      <c r="CY727" s="602"/>
      <c r="CZ727" s="602"/>
      <c r="DA727" s="602"/>
      <c r="DB727" s="602"/>
      <c r="DC727" s="602"/>
      <c r="DD727" s="602"/>
      <c r="DE727" s="602"/>
      <c r="DF727" s="602"/>
      <c r="DG727" s="602"/>
      <c r="DH727" s="602"/>
      <c r="DI727" s="602"/>
      <c r="DJ727" s="602"/>
      <c r="DK727" s="602"/>
      <c r="DL727" s="602"/>
      <c r="DM727" s="602"/>
      <c r="DN727" s="602"/>
      <c r="DO727" s="602"/>
      <c r="DP727" s="602"/>
      <c r="DQ727" s="602"/>
      <c r="DR727" s="602"/>
      <c r="DS727" s="602"/>
      <c r="DT727" s="602"/>
      <c r="DU727" s="602"/>
      <c r="DV727" s="602"/>
      <c r="DW727" s="602"/>
      <c r="DX727" s="602"/>
      <c r="DY727" s="602"/>
      <c r="DZ727" s="602"/>
      <c r="EA727" s="602"/>
      <c r="EB727" s="602"/>
      <c r="EC727" s="602"/>
      <c r="ED727" s="602"/>
      <c r="EE727" s="602"/>
      <c r="EF727" s="602"/>
      <c r="EG727" s="602"/>
      <c r="EH727" s="602"/>
      <c r="EI727" s="602"/>
      <c r="EJ727" s="602"/>
      <c r="EK727" s="602"/>
      <c r="EL727" s="602"/>
      <c r="EM727" s="602"/>
      <c r="EN727" s="602"/>
      <c r="EO727" s="602"/>
      <c r="EP727" s="602"/>
      <c r="EQ727" s="602"/>
      <c r="ER727" s="602"/>
      <c r="ES727" s="602"/>
      <c r="ET727" s="602"/>
      <c r="EU727" s="602"/>
      <c r="EV727" s="602"/>
      <c r="EW727" s="602"/>
      <c r="EX727" s="602"/>
      <c r="EY727" s="602"/>
      <c r="EZ727" s="602"/>
      <c r="FA727" s="602"/>
      <c r="FB727" s="602"/>
      <c r="FC727" s="602"/>
      <c r="FD727" s="602"/>
      <c r="FE727" s="602"/>
      <c r="FF727" s="602"/>
      <c r="FG727" s="602"/>
      <c r="FH727" s="602"/>
      <c r="FI727" s="602"/>
      <c r="FJ727" s="602"/>
      <c r="FK727" s="602"/>
      <c r="FL727" s="602"/>
      <c r="FM727" s="602"/>
      <c r="FN727" s="602"/>
      <c r="FO727" s="602"/>
      <c r="FP727" s="602"/>
      <c r="FQ727" s="602"/>
      <c r="FR727" s="602"/>
      <c r="FS727" s="602"/>
      <c r="FT727" s="602"/>
      <c r="FU727" s="602"/>
      <c r="FV727" s="602"/>
      <c r="FW727" s="602"/>
      <c r="FX727" s="602"/>
      <c r="FY727" s="602"/>
      <c r="FZ727" s="602"/>
      <c r="GA727" s="602"/>
      <c r="GB727" s="602"/>
      <c r="GC727" s="602"/>
      <c r="GD727" s="602"/>
      <c r="GE727" s="602"/>
      <c r="GF727" s="602"/>
      <c r="GG727" s="602"/>
      <c r="GH727" s="602"/>
      <c r="GI727" s="602"/>
      <c r="GJ727" s="602"/>
      <c r="GK727" s="602"/>
      <c r="GL727" s="602"/>
      <c r="GM727" s="602"/>
      <c r="GN727" s="602"/>
      <c r="GO727" s="602"/>
      <c r="GP727" s="602"/>
      <c r="GQ727" s="602"/>
      <c r="GR727" s="602"/>
      <c r="GS727" s="602"/>
      <c r="GT727" s="602"/>
      <c r="GU727" s="602"/>
      <c r="GV727" s="602"/>
      <c r="GW727" s="602"/>
      <c r="GX727" s="602"/>
      <c r="GY727" s="602"/>
      <c r="GZ727" s="602"/>
      <c r="HA727" s="602"/>
      <c r="HB727" s="602"/>
      <c r="HC727" s="602"/>
      <c r="HD727" s="602"/>
      <c r="HE727" s="602"/>
      <c r="HF727" s="602"/>
      <c r="HG727" s="602"/>
      <c r="HH727" s="602"/>
      <c r="HI727" s="602"/>
      <c r="HJ727" s="602"/>
      <c r="HK727" s="602"/>
      <c r="HL727" s="602"/>
      <c r="HM727" s="602"/>
      <c r="HN727" s="602"/>
      <c r="HO727" s="602"/>
      <c r="HP727" s="602"/>
      <c r="HQ727" s="602"/>
      <c r="HR727" s="602"/>
      <c r="HS727" s="602"/>
      <c r="HT727" s="602"/>
      <c r="HU727" s="602"/>
      <c r="HV727" s="602"/>
      <c r="HW727" s="602"/>
      <c r="HX727" s="602"/>
      <c r="HY727" s="602"/>
      <c r="HZ727" s="602"/>
      <c r="IA727" s="602"/>
      <c r="IB727" s="602"/>
      <c r="IC727" s="602"/>
      <c r="ID727" s="602"/>
      <c r="IE727" s="602"/>
      <c r="IF727" s="602"/>
      <c r="IG727" s="602"/>
      <c r="IH727" s="602"/>
      <c r="II727" s="602"/>
      <c r="IJ727" s="602"/>
      <c r="IK727" s="602"/>
      <c r="IL727" s="602"/>
      <c r="IM727" s="602"/>
      <c r="IN727" s="602"/>
      <c r="IO727" s="602"/>
      <c r="IP727" s="602"/>
      <c r="IQ727" s="602"/>
      <c r="IR727" s="602"/>
      <c r="IS727" s="602"/>
      <c r="IT727" s="602"/>
      <c r="IU727" s="602"/>
      <c r="IV727" s="602"/>
    </row>
    <row r="728" spans="1:256" s="730" customFormat="1" ht="13.2">
      <c r="A728" s="167">
        <v>1</v>
      </c>
      <c r="B728" s="730" t="s">
        <v>141</v>
      </c>
      <c r="D728" s="730" t="s">
        <v>744</v>
      </c>
      <c r="F728" s="730" t="s">
        <v>1020</v>
      </c>
      <c r="G728" s="731" t="s">
        <v>745</v>
      </c>
      <c r="H728" s="732">
        <v>900</v>
      </c>
      <c r="I728" s="730" t="s">
        <v>686</v>
      </c>
      <c r="O728" s="733">
        <v>2</v>
      </c>
      <c r="P728" s="734"/>
      <c r="Q728" s="735"/>
      <c r="R728" s="736">
        <f t="shared" ref="R728:R733" si="23">$A728*Q728</f>
        <v>0</v>
      </c>
      <c r="S728" s="735">
        <v>4</v>
      </c>
      <c r="T728" s="737">
        <f t="shared" ref="T728:T733" si="24">$A728*S728*$T$1</f>
        <v>4</v>
      </c>
    </row>
    <row r="729" spans="1:256" s="730" customFormat="1" ht="13.2">
      <c r="A729">
        <v>1</v>
      </c>
      <c r="B729" s="730" t="s">
        <v>141</v>
      </c>
      <c r="D729" s="730" t="s">
        <v>1009</v>
      </c>
      <c r="G729" s="731" t="s">
        <v>1010</v>
      </c>
      <c r="H729" s="732">
        <v>620</v>
      </c>
      <c r="I729" s="730" t="s">
        <v>741</v>
      </c>
      <c r="O729" s="733">
        <v>2</v>
      </c>
      <c r="P729" s="734">
        <v>35431</v>
      </c>
      <c r="Q729" s="823">
        <v>28.3</v>
      </c>
      <c r="R729" s="736">
        <f t="shared" si="23"/>
        <v>28.3</v>
      </c>
      <c r="S729" s="735">
        <v>0.8</v>
      </c>
      <c r="T729" s="737">
        <f t="shared" si="24"/>
        <v>0.8</v>
      </c>
    </row>
    <row r="730" spans="1:256" s="730" customFormat="1" ht="13.2">
      <c r="A730">
        <v>1</v>
      </c>
      <c r="B730" s="730" t="s">
        <v>326</v>
      </c>
      <c r="D730" s="730" t="s">
        <v>703</v>
      </c>
      <c r="G730" s="731" t="s">
        <v>704</v>
      </c>
      <c r="H730" s="732">
        <v>620</v>
      </c>
      <c r="I730" s="730" t="s">
        <v>674</v>
      </c>
      <c r="O730" s="733">
        <v>2</v>
      </c>
      <c r="P730" s="734">
        <v>38148</v>
      </c>
      <c r="Q730" s="735">
        <v>1.5</v>
      </c>
      <c r="R730" s="736">
        <f t="shared" si="23"/>
        <v>1.5</v>
      </c>
      <c r="S730" s="735">
        <v>0.08</v>
      </c>
      <c r="T730" s="737">
        <f t="shared" si="24"/>
        <v>0.08</v>
      </c>
    </row>
    <row r="731" spans="1:256" s="730" customFormat="1" ht="13.2">
      <c r="A731">
        <v>4</v>
      </c>
      <c r="B731" s="730" t="s">
        <v>141</v>
      </c>
      <c r="D731" s="730" t="s">
        <v>820</v>
      </c>
      <c r="G731" s="731" t="s">
        <v>821</v>
      </c>
      <c r="H731" s="732">
        <v>620</v>
      </c>
      <c r="I731" s="730" t="s">
        <v>702</v>
      </c>
      <c r="O731" s="733">
        <v>2</v>
      </c>
      <c r="P731" s="734">
        <v>34669</v>
      </c>
      <c r="Q731" s="823">
        <v>0.7</v>
      </c>
      <c r="R731" s="736">
        <f t="shared" si="23"/>
        <v>2.8</v>
      </c>
      <c r="S731" s="735">
        <v>0.13</v>
      </c>
      <c r="T731" s="737">
        <f t="shared" si="24"/>
        <v>0.52</v>
      </c>
    </row>
    <row r="732" spans="1:256" s="602" customFormat="1" ht="13.2">
      <c r="A732">
        <v>1</v>
      </c>
      <c r="B732" s="730" t="s">
        <v>141</v>
      </c>
      <c r="C732" s="730"/>
      <c r="D732" s="730" t="s">
        <v>676</v>
      </c>
      <c r="E732" s="730"/>
      <c r="F732" s="730" t="s">
        <v>1022</v>
      </c>
      <c r="G732" s="731" t="s">
        <v>677</v>
      </c>
      <c r="H732" s="732">
        <v>501</v>
      </c>
      <c r="I732" s="730" t="s">
        <v>674</v>
      </c>
      <c r="J732" s="730"/>
      <c r="K732" s="730" t="s">
        <v>678</v>
      </c>
      <c r="L732" s="730"/>
      <c r="M732" s="730"/>
      <c r="N732" s="730"/>
      <c r="O732" s="733">
        <v>1</v>
      </c>
      <c r="P732" s="734"/>
      <c r="Q732" s="735">
        <v>200</v>
      </c>
      <c r="R732" s="736">
        <f t="shared" si="23"/>
        <v>200</v>
      </c>
      <c r="S732" s="735"/>
      <c r="T732" s="737">
        <f t="shared" si="24"/>
        <v>0</v>
      </c>
      <c r="U732" s="730"/>
      <c r="V732" s="730"/>
      <c r="W732" s="730"/>
      <c r="X732" s="730"/>
      <c r="Y732" s="730"/>
      <c r="Z732" s="730"/>
      <c r="AA732" s="730"/>
      <c r="AB732" s="730"/>
      <c r="AC732" s="730"/>
      <c r="AD732" s="730"/>
      <c r="AE732" s="730"/>
      <c r="AF732" s="730"/>
      <c r="AG732" s="730"/>
      <c r="AH732" s="730"/>
      <c r="AI732" s="730"/>
      <c r="AJ732" s="730"/>
      <c r="AK732" s="730"/>
      <c r="AL732" s="730"/>
      <c r="AM732" s="730"/>
      <c r="AN732" s="730"/>
      <c r="AO732" s="730"/>
      <c r="AP732" s="730"/>
      <c r="AQ732" s="730"/>
      <c r="AR732" s="730"/>
      <c r="AS732" s="730"/>
      <c r="AT732" s="730"/>
      <c r="AU732" s="730"/>
      <c r="AV732" s="730"/>
      <c r="AW732" s="730"/>
      <c r="AX732" s="730"/>
      <c r="AY732" s="730"/>
      <c r="AZ732" s="730"/>
      <c r="BA732" s="730"/>
      <c r="BB732" s="730"/>
      <c r="BC732" s="730"/>
      <c r="BD732" s="730"/>
      <c r="BE732" s="730"/>
      <c r="BF732" s="730"/>
      <c r="BG732" s="730"/>
      <c r="BH732" s="730"/>
      <c r="BI732" s="730"/>
      <c r="BJ732" s="730"/>
      <c r="BK732" s="730"/>
      <c r="BL732" s="730"/>
      <c r="BM732" s="730"/>
      <c r="BN732" s="730"/>
      <c r="BO732" s="730"/>
      <c r="BP732" s="730"/>
      <c r="BQ732" s="730"/>
      <c r="BR732" s="730"/>
      <c r="BS732" s="730"/>
      <c r="BT732" s="730"/>
      <c r="BU732" s="730"/>
      <c r="BV732" s="730"/>
      <c r="BW732" s="730"/>
      <c r="BX732" s="730"/>
      <c r="BY732" s="730"/>
      <c r="BZ732" s="730"/>
      <c r="CA732" s="730"/>
      <c r="CB732" s="730"/>
      <c r="CC732" s="730"/>
      <c r="CD732" s="730"/>
      <c r="CE732" s="730"/>
      <c r="CF732" s="730"/>
      <c r="CG732" s="730"/>
      <c r="CH732" s="730"/>
      <c r="CI732" s="730"/>
      <c r="CJ732" s="730"/>
      <c r="CK732" s="730"/>
      <c r="CL732" s="730"/>
      <c r="CM732" s="730"/>
      <c r="CN732" s="730"/>
      <c r="CO732" s="730"/>
      <c r="CP732" s="730"/>
      <c r="CQ732" s="730"/>
      <c r="CR732" s="730"/>
      <c r="CS732" s="730"/>
      <c r="CT732" s="730"/>
      <c r="CU732" s="730"/>
      <c r="CV732" s="730"/>
      <c r="CW732" s="730"/>
      <c r="CX732" s="730"/>
      <c r="CY732" s="730"/>
      <c r="CZ732" s="730"/>
      <c r="DA732" s="730"/>
      <c r="DB732" s="730"/>
      <c r="DC732" s="730"/>
      <c r="DD732" s="730"/>
      <c r="DE732" s="730"/>
      <c r="DF732" s="730"/>
      <c r="DG732" s="730"/>
      <c r="DH732" s="730"/>
      <c r="DI732" s="730"/>
      <c r="DJ732" s="730"/>
      <c r="DK732" s="730"/>
      <c r="DL732" s="730"/>
      <c r="DM732" s="730"/>
      <c r="DN732" s="730"/>
      <c r="DO732" s="730"/>
      <c r="DP732" s="730"/>
      <c r="DQ732" s="730"/>
      <c r="DR732" s="730"/>
      <c r="DS732" s="730"/>
      <c r="DT732" s="730"/>
      <c r="DU732" s="730"/>
      <c r="DV732" s="730"/>
      <c r="DW732" s="730"/>
      <c r="DX732" s="730"/>
      <c r="DY732" s="730"/>
      <c r="DZ732" s="730"/>
      <c r="EA732" s="730"/>
      <c r="EB732" s="730"/>
      <c r="EC732" s="730"/>
      <c r="ED732" s="730"/>
      <c r="EE732" s="730"/>
      <c r="EF732" s="730"/>
      <c r="EG732" s="730"/>
      <c r="EH732" s="730"/>
      <c r="EI732" s="730"/>
      <c r="EJ732" s="730"/>
      <c r="EK732" s="730"/>
      <c r="EL732" s="730"/>
      <c r="EM732" s="730"/>
      <c r="EN732" s="730"/>
      <c r="EO732" s="730"/>
      <c r="EP732" s="730"/>
      <c r="EQ732" s="730"/>
      <c r="ER732" s="730"/>
      <c r="ES732" s="730"/>
      <c r="ET732" s="730"/>
      <c r="EU732" s="730"/>
      <c r="EV732" s="730"/>
      <c r="EW732" s="730"/>
      <c r="EX732" s="730"/>
      <c r="EY732" s="730"/>
      <c r="EZ732" s="730"/>
      <c r="FA732" s="730"/>
      <c r="FB732" s="730"/>
      <c r="FC732" s="730"/>
      <c r="FD732" s="730"/>
      <c r="FE732" s="730"/>
      <c r="FF732" s="730"/>
      <c r="FG732" s="730"/>
      <c r="FH732" s="730"/>
      <c r="FI732" s="730"/>
      <c r="FJ732" s="730"/>
      <c r="FK732" s="730"/>
      <c r="FL732" s="730"/>
      <c r="FM732" s="730"/>
      <c r="FN732" s="730"/>
      <c r="FO732" s="730"/>
      <c r="FP732" s="730"/>
      <c r="FQ732" s="730"/>
      <c r="FR732" s="730"/>
      <c r="FS732" s="730"/>
      <c r="FT732" s="730"/>
      <c r="FU732" s="730"/>
      <c r="FV732" s="730"/>
      <c r="FW732" s="730"/>
      <c r="FX732" s="730"/>
      <c r="FY732" s="730"/>
      <c r="FZ732" s="730"/>
      <c r="GA732" s="730"/>
      <c r="GB732" s="730"/>
      <c r="GC732" s="730"/>
      <c r="GD732" s="730"/>
      <c r="GE732" s="730"/>
      <c r="GF732" s="730"/>
      <c r="GG732" s="730"/>
      <c r="GH732" s="730"/>
      <c r="GI732" s="730"/>
      <c r="GJ732" s="730"/>
      <c r="GK732" s="730"/>
      <c r="GL732" s="730"/>
      <c r="GM732" s="730"/>
      <c r="GN732" s="730"/>
      <c r="GO732" s="730"/>
      <c r="GP732" s="730"/>
      <c r="GQ732" s="730"/>
      <c r="GR732" s="730"/>
      <c r="GS732" s="730"/>
      <c r="GT732" s="730"/>
      <c r="GU732" s="730"/>
      <c r="GV732" s="730"/>
      <c r="GW732" s="730"/>
      <c r="GX732" s="730"/>
      <c r="GY732" s="730"/>
      <c r="GZ732" s="730"/>
      <c r="HA732" s="730"/>
      <c r="HB732" s="730"/>
      <c r="HC732" s="730"/>
      <c r="HD732" s="730"/>
      <c r="HE732" s="730"/>
      <c r="HF732" s="730"/>
      <c r="HG732" s="730"/>
      <c r="HH732" s="730"/>
      <c r="HI732" s="730"/>
      <c r="HJ732" s="730"/>
      <c r="HK732" s="730"/>
      <c r="HL732" s="730"/>
      <c r="HM732" s="730"/>
      <c r="HN732" s="730"/>
      <c r="HO732" s="730"/>
      <c r="HP732" s="730"/>
      <c r="HQ732" s="730"/>
      <c r="HR732" s="730"/>
      <c r="HS732" s="730"/>
      <c r="HT732" s="730"/>
      <c r="HU732" s="730"/>
      <c r="HV732" s="730"/>
      <c r="HW732" s="730"/>
      <c r="HX732" s="730"/>
      <c r="HY732" s="730"/>
      <c r="HZ732" s="730"/>
      <c r="IA732" s="730"/>
      <c r="IB732" s="730"/>
      <c r="IC732" s="730"/>
      <c r="ID732" s="730"/>
      <c r="IE732" s="730"/>
      <c r="IF732" s="730"/>
      <c r="IG732" s="730"/>
      <c r="IH732" s="730"/>
      <c r="II732" s="730"/>
      <c r="IJ732" s="730"/>
      <c r="IK732" s="730"/>
      <c r="IL732" s="730"/>
      <c r="IM732" s="730"/>
      <c r="IN732" s="730"/>
      <c r="IO732" s="730"/>
      <c r="IP732" s="730"/>
      <c r="IQ732" s="730"/>
      <c r="IR732" s="730"/>
      <c r="IS732" s="730"/>
      <c r="IT732" s="730"/>
      <c r="IU732" s="730"/>
      <c r="IV732" s="730"/>
    </row>
    <row r="733" spans="1:256" s="730" customFormat="1" ht="13.2">
      <c r="A733" s="167">
        <v>1</v>
      </c>
      <c r="B733" s="730" t="s">
        <v>141</v>
      </c>
      <c r="D733" s="730" t="s">
        <v>1039</v>
      </c>
      <c r="G733" s="731" t="s">
        <v>1040</v>
      </c>
      <c r="H733" s="732">
        <v>900</v>
      </c>
      <c r="I733" s="730" t="s">
        <v>686</v>
      </c>
      <c r="O733" s="733">
        <v>1</v>
      </c>
      <c r="P733" s="734"/>
      <c r="Q733" s="735"/>
      <c r="R733" s="736">
        <f t="shared" si="23"/>
        <v>0</v>
      </c>
      <c r="S733" s="735">
        <v>2</v>
      </c>
      <c r="T733" s="737">
        <f t="shared" si="24"/>
        <v>2</v>
      </c>
    </row>
    <row r="734" spans="1:256" s="730" customFormat="1" ht="13.2">
      <c r="A734" s="672"/>
      <c r="B734"/>
      <c r="C734" s="672"/>
      <c r="D734" s="867" t="s">
        <v>1025</v>
      </c>
      <c r="E734" s="865"/>
      <c r="F734" s="865"/>
      <c r="G734" s="865"/>
      <c r="H734" s="865"/>
      <c r="I734" s="865"/>
      <c r="J734" s="865"/>
      <c r="K734" s="865"/>
      <c r="L734" s="865"/>
      <c r="M734" s="865"/>
      <c r="N734" s="865"/>
      <c r="O734" s="865"/>
      <c r="P734" s="865"/>
      <c r="Q734" s="865"/>
      <c r="R734" s="865"/>
      <c r="S734" s="865"/>
      <c r="T734" s="865"/>
      <c r="U734" s="602"/>
      <c r="V734" s="602"/>
      <c r="W734" s="602"/>
      <c r="X734" s="602"/>
      <c r="Y734" s="602"/>
      <c r="Z734" s="602"/>
      <c r="AA734" s="602"/>
      <c r="AB734" s="602"/>
      <c r="AC734" s="602"/>
      <c r="AD734" s="602"/>
      <c r="AE734" s="602"/>
      <c r="AF734" s="602"/>
      <c r="AG734" s="602"/>
      <c r="AH734" s="602"/>
      <c r="AI734" s="602"/>
      <c r="AJ734" s="602"/>
      <c r="AK734" s="602"/>
      <c r="AL734" s="602"/>
      <c r="AM734" s="602"/>
      <c r="AN734" s="602"/>
      <c r="AO734" s="602"/>
      <c r="AP734" s="602"/>
      <c r="AQ734" s="602"/>
      <c r="AR734" s="602"/>
      <c r="AS734" s="602"/>
      <c r="AT734" s="602"/>
      <c r="AU734" s="602"/>
      <c r="AV734" s="602"/>
      <c r="AW734" s="602"/>
      <c r="AX734" s="602"/>
      <c r="AY734" s="602"/>
      <c r="AZ734" s="602"/>
      <c r="BA734" s="602"/>
      <c r="BB734" s="602"/>
      <c r="BC734" s="602"/>
      <c r="BD734" s="602"/>
      <c r="BE734" s="602"/>
      <c r="BF734" s="602"/>
      <c r="BG734" s="602"/>
      <c r="BH734" s="602"/>
      <c r="BI734" s="602"/>
      <c r="BJ734" s="602"/>
      <c r="BK734" s="602"/>
      <c r="BL734" s="602"/>
      <c r="BM734" s="602"/>
      <c r="BN734" s="602"/>
      <c r="BO734" s="602"/>
      <c r="BP734" s="602"/>
      <c r="BQ734" s="602"/>
      <c r="BR734" s="602"/>
      <c r="BS734" s="602"/>
      <c r="BT734" s="602"/>
      <c r="BU734" s="602"/>
      <c r="BV734" s="602"/>
      <c r="BW734" s="602"/>
      <c r="BX734" s="602"/>
      <c r="BY734" s="602"/>
      <c r="BZ734" s="602"/>
      <c r="CA734" s="602"/>
      <c r="CB734" s="602"/>
      <c r="CC734" s="602"/>
      <c r="CD734" s="602"/>
      <c r="CE734" s="602"/>
      <c r="CF734" s="602"/>
      <c r="CG734" s="602"/>
      <c r="CH734" s="602"/>
      <c r="CI734" s="602"/>
      <c r="CJ734" s="602"/>
      <c r="CK734" s="602"/>
      <c r="CL734" s="602"/>
      <c r="CM734" s="602"/>
      <c r="CN734" s="602"/>
      <c r="CO734" s="602"/>
      <c r="CP734" s="602"/>
      <c r="CQ734" s="602"/>
      <c r="CR734" s="602"/>
      <c r="CS734" s="602"/>
      <c r="CT734" s="602"/>
      <c r="CU734" s="602"/>
      <c r="CV734" s="602"/>
      <c r="CW734" s="602"/>
      <c r="CX734" s="602"/>
      <c r="CY734" s="602"/>
      <c r="CZ734" s="602"/>
      <c r="DA734" s="602"/>
      <c r="DB734" s="602"/>
      <c r="DC734" s="602"/>
      <c r="DD734" s="602"/>
      <c r="DE734" s="602"/>
      <c r="DF734" s="602"/>
      <c r="DG734" s="602"/>
      <c r="DH734" s="602"/>
      <c r="DI734" s="602"/>
      <c r="DJ734" s="602"/>
      <c r="DK734" s="602"/>
      <c r="DL734" s="602"/>
      <c r="DM734" s="602"/>
      <c r="DN734" s="602"/>
      <c r="DO734" s="602"/>
      <c r="DP734" s="602"/>
      <c r="DQ734" s="602"/>
      <c r="DR734" s="602"/>
      <c r="DS734" s="602"/>
      <c r="DT734" s="602"/>
      <c r="DU734" s="602"/>
      <c r="DV734" s="602"/>
      <c r="DW734" s="602"/>
      <c r="DX734" s="602"/>
      <c r="DY734" s="602"/>
      <c r="DZ734" s="602"/>
      <c r="EA734" s="602"/>
      <c r="EB734" s="602"/>
      <c r="EC734" s="602"/>
      <c r="ED734" s="602"/>
      <c r="EE734" s="602"/>
      <c r="EF734" s="602"/>
      <c r="EG734" s="602"/>
      <c r="EH734" s="602"/>
      <c r="EI734" s="602"/>
      <c r="EJ734" s="602"/>
      <c r="EK734" s="602"/>
      <c r="EL734" s="602"/>
      <c r="EM734" s="602"/>
      <c r="EN734" s="602"/>
      <c r="EO734" s="602"/>
      <c r="EP734" s="602"/>
      <c r="EQ734" s="602"/>
      <c r="ER734" s="602"/>
      <c r="ES734" s="602"/>
      <c r="ET734" s="602"/>
      <c r="EU734" s="602"/>
      <c r="EV734" s="602"/>
      <c r="EW734" s="602"/>
      <c r="EX734" s="602"/>
      <c r="EY734" s="602"/>
      <c r="EZ734" s="602"/>
      <c r="FA734" s="602"/>
      <c r="FB734" s="602"/>
      <c r="FC734" s="602"/>
      <c r="FD734" s="602"/>
      <c r="FE734" s="602"/>
      <c r="FF734" s="602"/>
      <c r="FG734" s="602"/>
      <c r="FH734" s="602"/>
      <c r="FI734" s="602"/>
      <c r="FJ734" s="602"/>
      <c r="FK734" s="602"/>
      <c r="FL734" s="602"/>
      <c r="FM734" s="602"/>
      <c r="FN734" s="602"/>
      <c r="FO734" s="602"/>
      <c r="FP734" s="602"/>
      <c r="FQ734" s="602"/>
      <c r="FR734" s="602"/>
      <c r="FS734" s="602"/>
      <c r="FT734" s="602"/>
      <c r="FU734" s="602"/>
      <c r="FV734" s="602"/>
      <c r="FW734" s="602"/>
      <c r="FX734" s="602"/>
      <c r="FY734" s="602"/>
      <c r="FZ734" s="602"/>
      <c r="GA734" s="602"/>
      <c r="GB734" s="602"/>
      <c r="GC734" s="602"/>
      <c r="GD734" s="602"/>
      <c r="GE734" s="602"/>
      <c r="GF734" s="602"/>
      <c r="GG734" s="602"/>
      <c r="GH734" s="602"/>
      <c r="GI734" s="602"/>
      <c r="GJ734" s="602"/>
      <c r="GK734" s="602"/>
      <c r="GL734" s="602"/>
      <c r="GM734" s="602"/>
      <c r="GN734" s="602"/>
      <c r="GO734" s="602"/>
      <c r="GP734" s="602"/>
      <c r="GQ734" s="602"/>
      <c r="GR734" s="602"/>
      <c r="GS734" s="602"/>
      <c r="GT734" s="602"/>
      <c r="GU734" s="602"/>
      <c r="GV734" s="602"/>
      <c r="GW734" s="602"/>
      <c r="GX734" s="602"/>
      <c r="GY734" s="602"/>
      <c r="GZ734" s="602"/>
      <c r="HA734" s="602"/>
      <c r="HB734" s="602"/>
      <c r="HC734" s="602"/>
      <c r="HD734" s="602"/>
      <c r="HE734" s="602"/>
      <c r="HF734" s="602"/>
      <c r="HG734" s="602"/>
      <c r="HH734" s="602"/>
      <c r="HI734" s="602"/>
      <c r="HJ734" s="602"/>
      <c r="HK734" s="602"/>
      <c r="HL734" s="602"/>
      <c r="HM734" s="602"/>
      <c r="HN734" s="602"/>
      <c r="HO734" s="602"/>
      <c r="HP734" s="602"/>
      <c r="HQ734" s="602"/>
      <c r="HR734" s="602"/>
      <c r="HS734" s="602"/>
      <c r="HT734" s="602"/>
      <c r="HU734" s="602"/>
      <c r="HV734" s="602"/>
      <c r="HW734" s="602"/>
      <c r="HX734" s="602"/>
      <c r="HY734" s="602"/>
      <c r="HZ734" s="602"/>
      <c r="IA734" s="602"/>
      <c r="IB734" s="602"/>
      <c r="IC734" s="602"/>
      <c r="ID734" s="602"/>
      <c r="IE734" s="602"/>
      <c r="IF734" s="602"/>
      <c r="IG734" s="602"/>
      <c r="IH734" s="602"/>
      <c r="II734" s="602"/>
      <c r="IJ734" s="602"/>
      <c r="IK734" s="602"/>
      <c r="IL734" s="602"/>
      <c r="IM734" s="602"/>
      <c r="IN734" s="602"/>
      <c r="IO734" s="602"/>
      <c r="IP734" s="602"/>
      <c r="IQ734" s="602"/>
      <c r="IR734" s="602"/>
      <c r="IS734" s="602"/>
      <c r="IT734" s="602"/>
      <c r="IU734" s="602"/>
      <c r="IV734" s="602"/>
    </row>
    <row r="735" spans="1:256" s="730" customFormat="1" ht="13.2">
      <c r="A735" s="167">
        <v>1</v>
      </c>
      <c r="B735" s="730" t="s">
        <v>141</v>
      </c>
      <c r="D735" s="730" t="s">
        <v>744</v>
      </c>
      <c r="F735" s="730" t="s">
        <v>1020</v>
      </c>
      <c r="G735" s="731" t="s">
        <v>745</v>
      </c>
      <c r="H735" s="732">
        <v>900</v>
      </c>
      <c r="I735" s="730" t="s">
        <v>686</v>
      </c>
      <c r="O735" s="733">
        <v>2</v>
      </c>
      <c r="P735" s="734"/>
      <c r="Q735" s="735"/>
      <c r="R735" s="736">
        <f>$A735*Q735</f>
        <v>0</v>
      </c>
      <c r="S735" s="735">
        <v>8</v>
      </c>
      <c r="T735" s="737">
        <f>$A735*S735*$T$1</f>
        <v>8</v>
      </c>
    </row>
    <row r="736" spans="1:256" s="730" customFormat="1" ht="13.2">
      <c r="A736">
        <v>1</v>
      </c>
      <c r="B736" s="730" t="s">
        <v>141</v>
      </c>
      <c r="D736" s="730" t="s">
        <v>1009</v>
      </c>
      <c r="G736" s="731" t="s">
        <v>1010</v>
      </c>
      <c r="H736" s="732">
        <v>620</v>
      </c>
      <c r="I736" s="730" t="s">
        <v>741</v>
      </c>
      <c r="O736" s="733">
        <v>2</v>
      </c>
      <c r="P736" s="734">
        <v>35431</v>
      </c>
      <c r="Q736" s="823">
        <v>28.3</v>
      </c>
      <c r="R736" s="736">
        <f>$A736*Q736</f>
        <v>28.3</v>
      </c>
      <c r="S736" s="735">
        <v>0.8</v>
      </c>
      <c r="T736" s="737">
        <f>$A736*S736*$T$1</f>
        <v>0.8</v>
      </c>
    </row>
    <row r="737" spans="1:256" s="730" customFormat="1" ht="13.2">
      <c r="A737">
        <v>1</v>
      </c>
      <c r="B737" s="730" t="s">
        <v>326</v>
      </c>
      <c r="D737" s="730" t="s">
        <v>703</v>
      </c>
      <c r="G737" s="731" t="s">
        <v>704</v>
      </c>
      <c r="H737" s="732">
        <v>620</v>
      </c>
      <c r="I737" s="730" t="s">
        <v>674</v>
      </c>
      <c r="O737" s="733">
        <v>2</v>
      </c>
      <c r="P737" s="734">
        <v>38148</v>
      </c>
      <c r="Q737" s="735">
        <v>1.5</v>
      </c>
      <c r="R737" s="736">
        <f>$A737*Q737</f>
        <v>1.5</v>
      </c>
      <c r="S737" s="735">
        <v>0.08</v>
      </c>
      <c r="T737" s="737">
        <f>$A737*S737*$T$1</f>
        <v>0.08</v>
      </c>
    </row>
    <row r="738" spans="1:256" s="602" customFormat="1" ht="13.2">
      <c r="A738">
        <v>4</v>
      </c>
      <c r="B738" s="730" t="s">
        <v>141</v>
      </c>
      <c r="C738" s="730"/>
      <c r="D738" s="730" t="s">
        <v>820</v>
      </c>
      <c r="E738" s="730"/>
      <c r="F738" s="730"/>
      <c r="G738" s="731" t="s">
        <v>821</v>
      </c>
      <c r="H738" s="732">
        <v>620</v>
      </c>
      <c r="I738" s="730" t="s">
        <v>702</v>
      </c>
      <c r="J738" s="730"/>
      <c r="K738" s="730"/>
      <c r="L738" s="730"/>
      <c r="M738" s="730"/>
      <c r="N738" s="730"/>
      <c r="O738" s="733">
        <v>2</v>
      </c>
      <c r="P738" s="734">
        <v>34669</v>
      </c>
      <c r="Q738" s="823">
        <v>0.7</v>
      </c>
      <c r="R738" s="736">
        <f>$A738*Q738</f>
        <v>2.8</v>
      </c>
      <c r="S738" s="735">
        <v>0.13</v>
      </c>
      <c r="T738" s="737">
        <f>$A738*S738*$T$1</f>
        <v>0.52</v>
      </c>
      <c r="U738" s="730"/>
      <c r="V738" s="730"/>
      <c r="W738" s="730"/>
      <c r="X738" s="730"/>
      <c r="Y738" s="730"/>
      <c r="Z738" s="730"/>
      <c r="AA738" s="730"/>
      <c r="AB738" s="730"/>
      <c r="AC738" s="730"/>
      <c r="AD738" s="730"/>
      <c r="AE738" s="730"/>
      <c r="AF738" s="730"/>
      <c r="AG738" s="730"/>
      <c r="AH738" s="730"/>
      <c r="AI738" s="730"/>
      <c r="AJ738" s="730"/>
      <c r="AK738" s="730"/>
      <c r="AL738" s="730"/>
      <c r="AM738" s="730"/>
      <c r="AN738" s="730"/>
      <c r="AO738" s="730"/>
      <c r="AP738" s="730"/>
      <c r="AQ738" s="730"/>
      <c r="AR738" s="730"/>
      <c r="AS738" s="730"/>
      <c r="AT738" s="730"/>
      <c r="AU738" s="730"/>
      <c r="AV738" s="730"/>
      <c r="AW738" s="730"/>
      <c r="AX738" s="730"/>
      <c r="AY738" s="730"/>
      <c r="AZ738" s="730"/>
      <c r="BA738" s="730"/>
      <c r="BB738" s="730"/>
      <c r="BC738" s="730"/>
      <c r="BD738" s="730"/>
      <c r="BE738" s="730"/>
      <c r="BF738" s="730"/>
      <c r="BG738" s="730"/>
      <c r="BH738" s="730"/>
      <c r="BI738" s="730"/>
      <c r="BJ738" s="730"/>
      <c r="BK738" s="730"/>
      <c r="BL738" s="730"/>
      <c r="BM738" s="730"/>
      <c r="BN738" s="730"/>
      <c r="BO738" s="730"/>
      <c r="BP738" s="730"/>
      <c r="BQ738" s="730"/>
      <c r="BR738" s="730"/>
      <c r="BS738" s="730"/>
      <c r="BT738" s="730"/>
      <c r="BU738" s="730"/>
      <c r="BV738" s="730"/>
      <c r="BW738" s="730"/>
      <c r="BX738" s="730"/>
      <c r="BY738" s="730"/>
      <c r="BZ738" s="730"/>
      <c r="CA738" s="730"/>
      <c r="CB738" s="730"/>
      <c r="CC738" s="730"/>
      <c r="CD738" s="730"/>
      <c r="CE738" s="730"/>
      <c r="CF738" s="730"/>
      <c r="CG738" s="730"/>
      <c r="CH738" s="730"/>
      <c r="CI738" s="730"/>
      <c r="CJ738" s="730"/>
      <c r="CK738" s="730"/>
      <c r="CL738" s="730"/>
      <c r="CM738" s="730"/>
      <c r="CN738" s="730"/>
      <c r="CO738" s="730"/>
      <c r="CP738" s="730"/>
      <c r="CQ738" s="730"/>
      <c r="CR738" s="730"/>
      <c r="CS738" s="730"/>
      <c r="CT738" s="730"/>
      <c r="CU738" s="730"/>
      <c r="CV738" s="730"/>
      <c r="CW738" s="730"/>
      <c r="CX738" s="730"/>
      <c r="CY738" s="730"/>
      <c r="CZ738" s="730"/>
      <c r="DA738" s="730"/>
      <c r="DB738" s="730"/>
      <c r="DC738" s="730"/>
      <c r="DD738" s="730"/>
      <c r="DE738" s="730"/>
      <c r="DF738" s="730"/>
      <c r="DG738" s="730"/>
      <c r="DH738" s="730"/>
      <c r="DI738" s="730"/>
      <c r="DJ738" s="730"/>
      <c r="DK738" s="730"/>
      <c r="DL738" s="730"/>
      <c r="DM738" s="730"/>
      <c r="DN738" s="730"/>
      <c r="DO738" s="730"/>
      <c r="DP738" s="730"/>
      <c r="DQ738" s="730"/>
      <c r="DR738" s="730"/>
      <c r="DS738" s="730"/>
      <c r="DT738" s="730"/>
      <c r="DU738" s="730"/>
      <c r="DV738" s="730"/>
      <c r="DW738" s="730"/>
      <c r="DX738" s="730"/>
      <c r="DY738" s="730"/>
      <c r="DZ738" s="730"/>
      <c r="EA738" s="730"/>
      <c r="EB738" s="730"/>
      <c r="EC738" s="730"/>
      <c r="ED738" s="730"/>
      <c r="EE738" s="730"/>
      <c r="EF738" s="730"/>
      <c r="EG738" s="730"/>
      <c r="EH738" s="730"/>
      <c r="EI738" s="730"/>
      <c r="EJ738" s="730"/>
      <c r="EK738" s="730"/>
      <c r="EL738" s="730"/>
      <c r="EM738" s="730"/>
      <c r="EN738" s="730"/>
      <c r="EO738" s="730"/>
      <c r="EP738" s="730"/>
      <c r="EQ738" s="730"/>
      <c r="ER738" s="730"/>
      <c r="ES738" s="730"/>
      <c r="ET738" s="730"/>
      <c r="EU738" s="730"/>
      <c r="EV738" s="730"/>
      <c r="EW738" s="730"/>
      <c r="EX738" s="730"/>
      <c r="EY738" s="730"/>
      <c r="EZ738" s="730"/>
      <c r="FA738" s="730"/>
      <c r="FB738" s="730"/>
      <c r="FC738" s="730"/>
      <c r="FD738" s="730"/>
      <c r="FE738" s="730"/>
      <c r="FF738" s="730"/>
      <c r="FG738" s="730"/>
      <c r="FH738" s="730"/>
      <c r="FI738" s="730"/>
      <c r="FJ738" s="730"/>
      <c r="FK738" s="730"/>
      <c r="FL738" s="730"/>
      <c r="FM738" s="730"/>
      <c r="FN738" s="730"/>
      <c r="FO738" s="730"/>
      <c r="FP738" s="730"/>
      <c r="FQ738" s="730"/>
      <c r="FR738" s="730"/>
      <c r="FS738" s="730"/>
      <c r="FT738" s="730"/>
      <c r="FU738" s="730"/>
      <c r="FV738" s="730"/>
      <c r="FW738" s="730"/>
      <c r="FX738" s="730"/>
      <c r="FY738" s="730"/>
      <c r="FZ738" s="730"/>
      <c r="GA738" s="730"/>
      <c r="GB738" s="730"/>
      <c r="GC738" s="730"/>
      <c r="GD738" s="730"/>
      <c r="GE738" s="730"/>
      <c r="GF738" s="730"/>
      <c r="GG738" s="730"/>
      <c r="GH738" s="730"/>
      <c r="GI738" s="730"/>
      <c r="GJ738" s="730"/>
      <c r="GK738" s="730"/>
      <c r="GL738" s="730"/>
      <c r="GM738" s="730"/>
      <c r="GN738" s="730"/>
      <c r="GO738" s="730"/>
      <c r="GP738" s="730"/>
      <c r="GQ738" s="730"/>
      <c r="GR738" s="730"/>
      <c r="GS738" s="730"/>
      <c r="GT738" s="730"/>
      <c r="GU738" s="730"/>
      <c r="GV738" s="730"/>
      <c r="GW738" s="730"/>
      <c r="GX738" s="730"/>
      <c r="GY738" s="730"/>
      <c r="GZ738" s="730"/>
      <c r="HA738" s="730"/>
      <c r="HB738" s="730"/>
      <c r="HC738" s="730"/>
      <c r="HD738" s="730"/>
      <c r="HE738" s="730"/>
      <c r="HF738" s="730"/>
      <c r="HG738" s="730"/>
      <c r="HH738" s="730"/>
      <c r="HI738" s="730"/>
      <c r="HJ738" s="730"/>
      <c r="HK738" s="730"/>
      <c r="HL738" s="730"/>
      <c r="HM738" s="730"/>
      <c r="HN738" s="730"/>
      <c r="HO738" s="730"/>
      <c r="HP738" s="730"/>
      <c r="HQ738" s="730"/>
      <c r="HR738" s="730"/>
      <c r="HS738" s="730"/>
      <c r="HT738" s="730"/>
      <c r="HU738" s="730"/>
      <c r="HV738" s="730"/>
      <c r="HW738" s="730"/>
      <c r="HX738" s="730"/>
      <c r="HY738" s="730"/>
      <c r="HZ738" s="730"/>
      <c r="IA738" s="730"/>
      <c r="IB738" s="730"/>
      <c r="IC738" s="730"/>
      <c r="ID738" s="730"/>
      <c r="IE738" s="730"/>
      <c r="IF738" s="730"/>
      <c r="IG738" s="730"/>
      <c r="IH738" s="730"/>
      <c r="II738" s="730"/>
      <c r="IJ738" s="730"/>
      <c r="IK738" s="730"/>
      <c r="IL738" s="730"/>
      <c r="IM738" s="730"/>
      <c r="IN738" s="730"/>
      <c r="IO738" s="730"/>
      <c r="IP738" s="730"/>
      <c r="IQ738" s="730"/>
      <c r="IR738" s="730"/>
      <c r="IS738" s="730"/>
      <c r="IT738" s="730"/>
      <c r="IU738" s="730"/>
      <c r="IV738" s="730"/>
    </row>
    <row r="739" spans="1:256" s="602" customFormat="1" ht="12">
      <c r="A739" s="663"/>
      <c r="B739" s="663"/>
      <c r="C739" s="663"/>
      <c r="D739" s="663"/>
      <c r="E739" s="663"/>
      <c r="F739" s="664"/>
      <c r="G739" s="663"/>
      <c r="H739" s="663"/>
      <c r="I739" s="601"/>
      <c r="J739" s="663"/>
      <c r="K739" s="663"/>
      <c r="L739" s="663"/>
      <c r="M739" s="663"/>
      <c r="N739" s="663"/>
      <c r="O739" s="663"/>
      <c r="P739" s="663"/>
      <c r="Q739" s="601"/>
      <c r="R739" s="666">
        <f>$A739*Q739</f>
        <v>0</v>
      </c>
      <c r="S739" s="601"/>
      <c r="T739" s="681">
        <f>$A739*S739*$T$1</f>
        <v>0</v>
      </c>
    </row>
    <row r="740" spans="1:256" s="602" customFormat="1" ht="12.6" thickBot="1">
      <c r="A740" s="682" t="s">
        <v>145</v>
      </c>
      <c r="B740" s="683">
        <f>(R739+T739)</f>
        <v>0</v>
      </c>
      <c r="C740" s="684"/>
      <c r="D740" s="684"/>
      <c r="E740" s="684"/>
      <c r="F740" s="685"/>
      <c r="G740" s="684" t="s">
        <v>146</v>
      </c>
      <c r="H740" s="684"/>
      <c r="I740" s="686"/>
      <c r="J740" s="684"/>
      <c r="K740" s="684" t="s">
        <v>3</v>
      </c>
      <c r="L740" s="687" t="s">
        <v>143</v>
      </c>
      <c r="M740" s="687"/>
      <c r="N740" s="687"/>
      <c r="O740" s="687"/>
      <c r="P740" s="687"/>
      <c r="Q740" s="688"/>
      <c r="R740" s="689">
        <f>SUM(R726:R739)</f>
        <v>265.2</v>
      </c>
      <c r="S740" s="684"/>
      <c r="T740" s="689">
        <f>SUM(T726:T739)</f>
        <v>16.799999999999997</v>
      </c>
      <c r="U740" s="611"/>
      <c r="V740" s="611"/>
      <c r="W740" s="611"/>
      <c r="X740" s="611"/>
      <c r="Y740" s="611"/>
      <c r="Z740" s="611"/>
      <c r="AA740" s="611"/>
      <c r="AB740" s="611"/>
      <c r="AC740" s="611"/>
      <c r="AD740" s="611"/>
      <c r="AE740" s="611"/>
      <c r="AF740" s="611"/>
      <c r="AG740" s="611"/>
      <c r="AH740" s="611"/>
      <c r="AI740" s="611"/>
      <c r="AJ740" s="611"/>
      <c r="AK740" s="611"/>
      <c r="AL740" s="611"/>
      <c r="AM740" s="611"/>
      <c r="AN740" s="611"/>
      <c r="AO740" s="611"/>
    </row>
    <row r="741" spans="1:256" s="602" customFormat="1" ht="12" customHeight="1" thickTop="1">
      <c r="A741" s="63"/>
      <c r="B741" s="41"/>
      <c r="C741" s="63"/>
      <c r="E741" s="42" t="s">
        <v>138</v>
      </c>
      <c r="F741" s="42" t="s">
        <v>139</v>
      </c>
      <c r="G741" s="63"/>
      <c r="H741" s="63"/>
      <c r="I741" s="63"/>
      <c r="J741" s="63"/>
      <c r="K741" s="63" t="s">
        <v>140</v>
      </c>
      <c r="L741" s="63"/>
      <c r="M741" s="63"/>
      <c r="N741" s="63"/>
      <c r="O741" s="64"/>
      <c r="P741" s="63"/>
      <c r="Q741" s="63"/>
      <c r="R741" s="63"/>
      <c r="S741" s="63"/>
      <c r="T741" s="41"/>
      <c r="AG741" s="667" t="s">
        <v>278</v>
      </c>
      <c r="AH741" s="667" t="s">
        <v>279</v>
      </c>
      <c r="AI741" s="667" t="s">
        <v>280</v>
      </c>
      <c r="AJ741" s="667" t="s">
        <v>281</v>
      </c>
      <c r="AK741" s="667" t="s">
        <v>282</v>
      </c>
      <c r="AM741" s="668" t="s">
        <v>291</v>
      </c>
      <c r="AN741" s="669" t="s">
        <v>292</v>
      </c>
      <c r="AO741" s="603" t="s">
        <v>288</v>
      </c>
    </row>
    <row r="742" spans="1:256" s="602" customFormat="1" ht="13.2">
      <c r="A742" s="670">
        <v>1</v>
      </c>
      <c r="B742" s="671" t="s">
        <v>312</v>
      </c>
      <c r="C742" s="672"/>
      <c r="D742" s="673" t="s">
        <v>506</v>
      </c>
      <c r="E742" s="674">
        <f>IF(AND($A742=0,$A$1="DIF"),0, ROUND(ROUND(($R747*$S$2+($T747*$T$2))/A742,2)*$C$2,2))</f>
        <v>216.6</v>
      </c>
      <c r="F742" s="675">
        <f>ROUND($A742*$E742,2)</f>
        <v>216.6</v>
      </c>
      <c r="G742" s="676" t="s">
        <v>142</v>
      </c>
      <c r="H742" s="664"/>
      <c r="I742" s="677"/>
      <c r="J742" s="664"/>
      <c r="K742" s="664" t="s">
        <v>3</v>
      </c>
      <c r="L742" s="678" t="s">
        <v>143</v>
      </c>
      <c r="M742" s="678"/>
      <c r="N742" s="678"/>
      <c r="O742" s="678"/>
      <c r="P742" s="678"/>
      <c r="Q742" s="63"/>
      <c r="T742" s="679" t="str">
        <f>IF(AND($R747=0,$T747=0),"0.00","mu :" &amp; ROUND($F742/$C$2/($R747+$T747*$D$9),2))</f>
        <v>mu :1.35</v>
      </c>
      <c r="W742" s="604"/>
      <c r="AG742" s="549">
        <f>IF($E742=0,0,ROUND($R747*$S$2*$C$2/$A742,2))</f>
        <v>0</v>
      </c>
      <c r="AH742" s="549">
        <f>$AG742*$A742</f>
        <v>0</v>
      </c>
      <c r="AI742" s="605">
        <f>$E742-$AG742</f>
        <v>216.6</v>
      </c>
      <c r="AJ742" s="605">
        <f>$A742*$AI742</f>
        <v>216.6</v>
      </c>
      <c r="AK742" s="606">
        <f>ROUND(($AG742+$AI742)*$A742,2)</f>
        <v>216.6</v>
      </c>
      <c r="AM742" s="607">
        <f>ROUND(R747,2)</f>
        <v>0</v>
      </c>
      <c r="AN742" s="608">
        <f>ROUND(T747,2)</f>
        <v>6</v>
      </c>
      <c r="AO742" s="609">
        <f>ROUND(AM742+AN742,2)*A742</f>
        <v>6</v>
      </c>
    </row>
    <row r="743" spans="1:256" s="730" customFormat="1" ht="13.2">
      <c r="A743" s="672"/>
      <c r="B743"/>
      <c r="C743" s="672"/>
      <c r="D743" s="1368" t="s">
        <v>507</v>
      </c>
      <c r="E743" s="1369"/>
      <c r="F743" s="1369"/>
      <c r="G743" s="1369"/>
      <c r="H743" s="1369"/>
      <c r="I743" s="1369"/>
      <c r="J743" s="1369"/>
      <c r="K743" s="1369"/>
      <c r="L743" s="1369"/>
      <c r="M743" s="1369"/>
      <c r="N743" s="1369"/>
      <c r="O743" s="1369"/>
      <c r="P743" s="1369"/>
      <c r="Q743" s="1369"/>
      <c r="R743" s="1369"/>
      <c r="S743" s="1369"/>
      <c r="T743" s="1369"/>
      <c r="U743" s="602"/>
      <c r="V743" s="602"/>
      <c r="W743" s="602"/>
      <c r="X743" s="602"/>
      <c r="Y743" s="602"/>
      <c r="Z743" s="602"/>
      <c r="AA743" s="602"/>
      <c r="AB743" s="602"/>
      <c r="AC743" s="602"/>
      <c r="AD743" s="602"/>
      <c r="AE743" s="602"/>
      <c r="AF743" s="602"/>
      <c r="AG743" s="602"/>
      <c r="AH743" s="602"/>
      <c r="AI743" s="602"/>
      <c r="AJ743" s="602"/>
      <c r="AK743" s="602"/>
      <c r="AL743" s="602"/>
      <c r="AM743" s="602"/>
      <c r="AN743" s="602"/>
      <c r="AO743" s="602"/>
      <c r="AP743" s="602"/>
      <c r="AQ743" s="602"/>
      <c r="AR743" s="602"/>
      <c r="AS743" s="602"/>
      <c r="AT743" s="602"/>
      <c r="AU743" s="602"/>
      <c r="AV743" s="602"/>
      <c r="AW743" s="602"/>
      <c r="AX743" s="602"/>
      <c r="AY743" s="602"/>
      <c r="AZ743" s="602"/>
      <c r="BA743" s="602"/>
      <c r="BB743" s="602"/>
      <c r="BC743" s="602"/>
      <c r="BD743" s="602"/>
      <c r="BE743" s="602"/>
      <c r="BF743" s="602"/>
      <c r="BG743" s="602"/>
      <c r="BH743" s="602"/>
      <c r="BI743" s="602"/>
      <c r="BJ743" s="602"/>
      <c r="BK743" s="602"/>
      <c r="BL743" s="602"/>
      <c r="BM743" s="602"/>
      <c r="BN743" s="602"/>
      <c r="BO743" s="602"/>
      <c r="BP743" s="602"/>
      <c r="BQ743" s="602"/>
      <c r="BR743" s="602"/>
      <c r="BS743" s="602"/>
      <c r="BT743" s="602"/>
      <c r="BU743" s="602"/>
      <c r="BV743" s="602"/>
      <c r="BW743" s="602"/>
      <c r="BX743" s="602"/>
      <c r="BY743" s="602"/>
      <c r="BZ743" s="602"/>
      <c r="CA743" s="602"/>
      <c r="CB743" s="602"/>
      <c r="CC743" s="602"/>
      <c r="CD743" s="602"/>
      <c r="CE743" s="602"/>
      <c r="CF743" s="602"/>
      <c r="CG743" s="602"/>
      <c r="CH743" s="602"/>
      <c r="CI743" s="602"/>
      <c r="CJ743" s="602"/>
      <c r="CK743" s="602"/>
      <c r="CL743" s="602"/>
      <c r="CM743" s="602"/>
      <c r="CN743" s="602"/>
      <c r="CO743" s="602"/>
      <c r="CP743" s="602"/>
      <c r="CQ743" s="602"/>
      <c r="CR743" s="602"/>
      <c r="CS743" s="602"/>
      <c r="CT743" s="602"/>
      <c r="CU743" s="602"/>
      <c r="CV743" s="602"/>
      <c r="CW743" s="602"/>
      <c r="CX743" s="602"/>
      <c r="CY743" s="602"/>
      <c r="CZ743" s="602"/>
      <c r="DA743" s="602"/>
      <c r="DB743" s="602"/>
      <c r="DC743" s="602"/>
      <c r="DD743" s="602"/>
      <c r="DE743" s="602"/>
      <c r="DF743" s="602"/>
      <c r="DG743" s="602"/>
      <c r="DH743" s="602"/>
      <c r="DI743" s="602"/>
      <c r="DJ743" s="602"/>
      <c r="DK743" s="602"/>
      <c r="DL743" s="602"/>
      <c r="DM743" s="602"/>
      <c r="DN743" s="602"/>
      <c r="DO743" s="602"/>
      <c r="DP743" s="602"/>
      <c r="DQ743" s="602"/>
      <c r="DR743" s="602"/>
      <c r="DS743" s="602"/>
      <c r="DT743" s="602"/>
      <c r="DU743" s="602"/>
      <c r="DV743" s="602"/>
      <c r="DW743" s="602"/>
      <c r="DX743" s="602"/>
      <c r="DY743" s="602"/>
      <c r="DZ743" s="602"/>
      <c r="EA743" s="602"/>
      <c r="EB743" s="602"/>
      <c r="EC743" s="602"/>
      <c r="ED743" s="602"/>
      <c r="EE743" s="602"/>
      <c r="EF743" s="602"/>
      <c r="EG743" s="602"/>
      <c r="EH743" s="602"/>
      <c r="EI743" s="602"/>
      <c r="EJ743" s="602"/>
      <c r="EK743" s="602"/>
      <c r="EL743" s="602"/>
      <c r="EM743" s="602"/>
      <c r="EN743" s="602"/>
      <c r="EO743" s="602"/>
      <c r="EP743" s="602"/>
      <c r="EQ743" s="602"/>
      <c r="ER743" s="602"/>
      <c r="ES743" s="602"/>
      <c r="ET743" s="602"/>
      <c r="EU743" s="602"/>
      <c r="EV743" s="602"/>
      <c r="EW743" s="602"/>
      <c r="EX743" s="602"/>
      <c r="EY743" s="602"/>
      <c r="EZ743" s="602"/>
      <c r="FA743" s="602"/>
      <c r="FB743" s="602"/>
      <c r="FC743" s="602"/>
      <c r="FD743" s="602"/>
      <c r="FE743" s="602"/>
      <c r="FF743" s="602"/>
      <c r="FG743" s="602"/>
      <c r="FH743" s="602"/>
      <c r="FI743" s="602"/>
      <c r="FJ743" s="602"/>
      <c r="FK743" s="602"/>
      <c r="FL743" s="602"/>
      <c r="FM743" s="602"/>
      <c r="FN743" s="602"/>
      <c r="FO743" s="602"/>
      <c r="FP743" s="602"/>
      <c r="FQ743" s="602"/>
      <c r="FR743" s="602"/>
      <c r="FS743" s="602"/>
      <c r="FT743" s="602"/>
      <c r="FU743" s="602"/>
      <c r="FV743" s="602"/>
      <c r="FW743" s="602"/>
      <c r="FX743" s="602"/>
      <c r="FY743" s="602"/>
      <c r="FZ743" s="602"/>
      <c r="GA743" s="602"/>
      <c r="GB743" s="602"/>
      <c r="GC743" s="602"/>
      <c r="GD743" s="602"/>
      <c r="GE743" s="602"/>
      <c r="GF743" s="602"/>
      <c r="GG743" s="602"/>
      <c r="GH743" s="602"/>
      <c r="GI743" s="602"/>
      <c r="GJ743" s="602"/>
      <c r="GK743" s="602"/>
      <c r="GL743" s="602"/>
      <c r="GM743" s="602"/>
      <c r="GN743" s="602"/>
      <c r="GO743" s="602"/>
      <c r="GP743" s="602"/>
      <c r="GQ743" s="602"/>
      <c r="GR743" s="602"/>
      <c r="GS743" s="602"/>
      <c r="GT743" s="602"/>
      <c r="GU743" s="602"/>
      <c r="GV743" s="602"/>
      <c r="GW743" s="602"/>
      <c r="GX743" s="602"/>
      <c r="GY743" s="602"/>
      <c r="GZ743" s="602"/>
      <c r="HA743" s="602"/>
      <c r="HB743" s="602"/>
      <c r="HC743" s="602"/>
      <c r="HD743" s="602"/>
      <c r="HE743" s="602"/>
      <c r="HF743" s="602"/>
      <c r="HG743" s="602"/>
      <c r="HH743" s="602"/>
      <c r="HI743" s="602"/>
      <c r="HJ743" s="602"/>
      <c r="HK743" s="602"/>
      <c r="HL743" s="602"/>
      <c r="HM743" s="602"/>
      <c r="HN743" s="602"/>
      <c r="HO743" s="602"/>
      <c r="HP743" s="602"/>
      <c r="HQ743" s="602"/>
      <c r="HR743" s="602"/>
      <c r="HS743" s="602"/>
      <c r="HT743" s="602"/>
      <c r="HU743" s="602"/>
      <c r="HV743" s="602"/>
      <c r="HW743" s="602"/>
      <c r="HX743" s="602"/>
      <c r="HY743" s="602"/>
      <c r="HZ743" s="602"/>
      <c r="IA743" s="602"/>
      <c r="IB743" s="602"/>
      <c r="IC743" s="602"/>
      <c r="ID743" s="602"/>
      <c r="IE743" s="602"/>
      <c r="IF743" s="602"/>
      <c r="IG743" s="602"/>
      <c r="IH743" s="602"/>
      <c r="II743" s="602"/>
      <c r="IJ743" s="602"/>
      <c r="IK743" s="602"/>
      <c r="IL743" s="602"/>
      <c r="IM743" s="602"/>
      <c r="IN743" s="602"/>
      <c r="IO743" s="602"/>
      <c r="IP743" s="602"/>
      <c r="IQ743" s="602"/>
      <c r="IR743" s="602"/>
      <c r="IS743" s="602"/>
      <c r="IT743" s="602"/>
      <c r="IU743" s="602"/>
      <c r="IV743" s="602"/>
    </row>
    <row r="744" spans="1:256" s="730" customFormat="1" ht="13.2">
      <c r="A744">
        <v>1</v>
      </c>
      <c r="B744" s="730" t="s">
        <v>312</v>
      </c>
      <c r="D744" s="730" t="s">
        <v>1027</v>
      </c>
      <c r="F744" s="730" t="s">
        <v>1006</v>
      </c>
      <c r="G744" s="731" t="s">
        <v>736</v>
      </c>
      <c r="H744" s="732">
        <v>901</v>
      </c>
      <c r="I744" s="730" t="s">
        <v>686</v>
      </c>
      <c r="O744" s="733">
        <v>1</v>
      </c>
      <c r="P744" s="734">
        <v>40613</v>
      </c>
      <c r="Q744" s="735"/>
      <c r="R744" s="736">
        <f>$A744*Q744</f>
        <v>0</v>
      </c>
      <c r="S744" s="735">
        <v>4</v>
      </c>
      <c r="T744" s="737">
        <f>$A744*S744*$T$1</f>
        <v>4</v>
      </c>
    </row>
    <row r="745" spans="1:256" s="602" customFormat="1" ht="13.2">
      <c r="A745">
        <v>1</v>
      </c>
      <c r="B745" s="730" t="s">
        <v>312</v>
      </c>
      <c r="C745" s="730"/>
      <c r="D745" s="730" t="s">
        <v>735</v>
      </c>
      <c r="E745" s="730"/>
      <c r="F745" s="730" t="s">
        <v>1038</v>
      </c>
      <c r="G745" s="731" t="s">
        <v>736</v>
      </c>
      <c r="H745" s="732">
        <v>901</v>
      </c>
      <c r="I745" s="730" t="s">
        <v>686</v>
      </c>
      <c r="J745" s="730"/>
      <c r="K745" s="730"/>
      <c r="L745" s="730"/>
      <c r="M745" s="730"/>
      <c r="N745" s="730"/>
      <c r="O745" s="733">
        <v>1</v>
      </c>
      <c r="P745" s="734">
        <v>40613</v>
      </c>
      <c r="Q745" s="735"/>
      <c r="R745" s="736">
        <f>$A745*Q745</f>
        <v>0</v>
      </c>
      <c r="S745" s="735">
        <v>2</v>
      </c>
      <c r="T745" s="737">
        <f>$A745*S745*$T$1</f>
        <v>2</v>
      </c>
      <c r="U745" s="730"/>
      <c r="V745" s="730"/>
      <c r="W745" s="730"/>
      <c r="X745" s="730"/>
      <c r="Y745" s="730"/>
      <c r="Z745" s="730"/>
      <c r="AA745" s="730"/>
      <c r="AB745" s="730"/>
      <c r="AC745" s="730"/>
      <c r="AD745" s="730"/>
      <c r="AE745" s="730"/>
      <c r="AF745" s="730"/>
      <c r="AG745" s="730"/>
      <c r="AH745" s="730"/>
      <c r="AI745" s="730"/>
      <c r="AJ745" s="730"/>
      <c r="AK745" s="730"/>
      <c r="AL745" s="730"/>
      <c r="AM745" s="730"/>
      <c r="AN745" s="730"/>
      <c r="AO745" s="730"/>
      <c r="AP745" s="730"/>
      <c r="AQ745" s="730"/>
      <c r="AR745" s="730"/>
      <c r="AS745" s="730"/>
      <c r="AT745" s="730"/>
      <c r="AU745" s="730"/>
      <c r="AV745" s="730"/>
      <c r="AW745" s="730"/>
      <c r="AX745" s="730"/>
      <c r="AY745" s="730"/>
      <c r="AZ745" s="730"/>
      <c r="BA745" s="730"/>
      <c r="BB745" s="730"/>
      <c r="BC745" s="730"/>
      <c r="BD745" s="730"/>
      <c r="BE745" s="730"/>
      <c r="BF745" s="730"/>
      <c r="BG745" s="730"/>
      <c r="BH745" s="730"/>
      <c r="BI745" s="730"/>
      <c r="BJ745" s="730"/>
      <c r="BK745" s="730"/>
      <c r="BL745" s="730"/>
      <c r="BM745" s="730"/>
      <c r="BN745" s="730"/>
      <c r="BO745" s="730"/>
      <c r="BP745" s="730"/>
      <c r="BQ745" s="730"/>
      <c r="BR745" s="730"/>
      <c r="BS745" s="730"/>
      <c r="BT745" s="730"/>
      <c r="BU745" s="730"/>
      <c r="BV745" s="730"/>
      <c r="BW745" s="730"/>
      <c r="BX745" s="730"/>
      <c r="BY745" s="730"/>
      <c r="BZ745" s="730"/>
      <c r="CA745" s="730"/>
      <c r="CB745" s="730"/>
      <c r="CC745" s="730"/>
      <c r="CD745" s="730"/>
      <c r="CE745" s="730"/>
      <c r="CF745" s="730"/>
      <c r="CG745" s="730"/>
      <c r="CH745" s="730"/>
      <c r="CI745" s="730"/>
      <c r="CJ745" s="730"/>
      <c r="CK745" s="730"/>
      <c r="CL745" s="730"/>
      <c r="CM745" s="730"/>
      <c r="CN745" s="730"/>
      <c r="CO745" s="730"/>
      <c r="CP745" s="730"/>
      <c r="CQ745" s="730"/>
      <c r="CR745" s="730"/>
      <c r="CS745" s="730"/>
      <c r="CT745" s="730"/>
      <c r="CU745" s="730"/>
      <c r="CV745" s="730"/>
      <c r="CW745" s="730"/>
      <c r="CX745" s="730"/>
      <c r="CY745" s="730"/>
      <c r="CZ745" s="730"/>
      <c r="DA745" s="730"/>
      <c r="DB745" s="730"/>
      <c r="DC745" s="730"/>
      <c r="DD745" s="730"/>
      <c r="DE745" s="730"/>
      <c r="DF745" s="730"/>
      <c r="DG745" s="730"/>
      <c r="DH745" s="730"/>
      <c r="DI745" s="730"/>
      <c r="DJ745" s="730"/>
      <c r="DK745" s="730"/>
      <c r="DL745" s="730"/>
      <c r="DM745" s="730"/>
      <c r="DN745" s="730"/>
      <c r="DO745" s="730"/>
      <c r="DP745" s="730"/>
      <c r="DQ745" s="730"/>
      <c r="DR745" s="730"/>
      <c r="DS745" s="730"/>
      <c r="DT745" s="730"/>
      <c r="DU745" s="730"/>
      <c r="DV745" s="730"/>
      <c r="DW745" s="730"/>
      <c r="DX745" s="730"/>
      <c r="DY745" s="730"/>
      <c r="DZ745" s="730"/>
      <c r="EA745" s="730"/>
      <c r="EB745" s="730"/>
      <c r="EC745" s="730"/>
      <c r="ED745" s="730"/>
      <c r="EE745" s="730"/>
      <c r="EF745" s="730"/>
      <c r="EG745" s="730"/>
      <c r="EH745" s="730"/>
      <c r="EI745" s="730"/>
      <c r="EJ745" s="730"/>
      <c r="EK745" s="730"/>
      <c r="EL745" s="730"/>
      <c r="EM745" s="730"/>
      <c r="EN745" s="730"/>
      <c r="EO745" s="730"/>
      <c r="EP745" s="730"/>
      <c r="EQ745" s="730"/>
      <c r="ER745" s="730"/>
      <c r="ES745" s="730"/>
      <c r="ET745" s="730"/>
      <c r="EU745" s="730"/>
      <c r="EV745" s="730"/>
      <c r="EW745" s="730"/>
      <c r="EX745" s="730"/>
      <c r="EY745" s="730"/>
      <c r="EZ745" s="730"/>
      <c r="FA745" s="730"/>
      <c r="FB745" s="730"/>
      <c r="FC745" s="730"/>
      <c r="FD745" s="730"/>
      <c r="FE745" s="730"/>
      <c r="FF745" s="730"/>
      <c r="FG745" s="730"/>
      <c r="FH745" s="730"/>
      <c r="FI745" s="730"/>
      <c r="FJ745" s="730"/>
      <c r="FK745" s="730"/>
      <c r="FL745" s="730"/>
      <c r="FM745" s="730"/>
      <c r="FN745" s="730"/>
      <c r="FO745" s="730"/>
      <c r="FP745" s="730"/>
      <c r="FQ745" s="730"/>
      <c r="FR745" s="730"/>
      <c r="FS745" s="730"/>
      <c r="FT745" s="730"/>
      <c r="FU745" s="730"/>
      <c r="FV745" s="730"/>
      <c r="FW745" s="730"/>
      <c r="FX745" s="730"/>
      <c r="FY745" s="730"/>
      <c r="FZ745" s="730"/>
      <c r="GA745" s="730"/>
      <c r="GB745" s="730"/>
      <c r="GC745" s="730"/>
      <c r="GD745" s="730"/>
      <c r="GE745" s="730"/>
      <c r="GF745" s="730"/>
      <c r="GG745" s="730"/>
      <c r="GH745" s="730"/>
      <c r="GI745" s="730"/>
      <c r="GJ745" s="730"/>
      <c r="GK745" s="730"/>
      <c r="GL745" s="730"/>
      <c r="GM745" s="730"/>
      <c r="GN745" s="730"/>
      <c r="GO745" s="730"/>
      <c r="GP745" s="730"/>
      <c r="GQ745" s="730"/>
      <c r="GR745" s="730"/>
      <c r="GS745" s="730"/>
      <c r="GT745" s="730"/>
      <c r="GU745" s="730"/>
      <c r="GV745" s="730"/>
      <c r="GW745" s="730"/>
      <c r="GX745" s="730"/>
      <c r="GY745" s="730"/>
      <c r="GZ745" s="730"/>
      <c r="HA745" s="730"/>
      <c r="HB745" s="730"/>
      <c r="HC745" s="730"/>
      <c r="HD745" s="730"/>
      <c r="HE745" s="730"/>
      <c r="HF745" s="730"/>
      <c r="HG745" s="730"/>
      <c r="HH745" s="730"/>
      <c r="HI745" s="730"/>
      <c r="HJ745" s="730"/>
      <c r="HK745" s="730"/>
      <c r="HL745" s="730"/>
      <c r="HM745" s="730"/>
      <c r="HN745" s="730"/>
      <c r="HO745" s="730"/>
      <c r="HP745" s="730"/>
      <c r="HQ745" s="730"/>
      <c r="HR745" s="730"/>
      <c r="HS745" s="730"/>
      <c r="HT745" s="730"/>
      <c r="HU745" s="730"/>
      <c r="HV745" s="730"/>
      <c r="HW745" s="730"/>
      <c r="HX745" s="730"/>
      <c r="HY745" s="730"/>
      <c r="HZ745" s="730"/>
      <c r="IA745" s="730"/>
      <c r="IB745" s="730"/>
      <c r="IC745" s="730"/>
      <c r="ID745" s="730"/>
      <c r="IE745" s="730"/>
      <c r="IF745" s="730"/>
      <c r="IG745" s="730"/>
      <c r="IH745" s="730"/>
      <c r="II745" s="730"/>
      <c r="IJ745" s="730"/>
      <c r="IK745" s="730"/>
      <c r="IL745" s="730"/>
      <c r="IM745" s="730"/>
      <c r="IN745" s="730"/>
      <c r="IO745" s="730"/>
      <c r="IP745" s="730"/>
      <c r="IQ745" s="730"/>
      <c r="IR745" s="730"/>
      <c r="IS745" s="730"/>
      <c r="IT745" s="730"/>
      <c r="IU745" s="730"/>
      <c r="IV745" s="730"/>
    </row>
    <row r="746" spans="1:256" s="602" customFormat="1" ht="12">
      <c r="A746" s="663"/>
      <c r="B746" s="663"/>
      <c r="C746" s="663"/>
      <c r="D746" s="663"/>
      <c r="E746" s="663"/>
      <c r="F746" s="664"/>
      <c r="G746" s="663"/>
      <c r="H746" s="663"/>
      <c r="I746" s="601"/>
      <c r="J746" s="663"/>
      <c r="K746" s="663"/>
      <c r="L746" s="663"/>
      <c r="M746" s="663"/>
      <c r="N746" s="663"/>
      <c r="O746" s="663"/>
      <c r="P746" s="663"/>
      <c r="Q746" s="601"/>
      <c r="R746" s="666">
        <f>$A746*Q746</f>
        <v>0</v>
      </c>
      <c r="S746" s="601"/>
      <c r="T746" s="681">
        <f>$A746*S746*$T$1</f>
        <v>0</v>
      </c>
    </row>
    <row r="747" spans="1:256" s="602" customFormat="1" ht="12.6" thickBot="1">
      <c r="A747" s="682" t="s">
        <v>145</v>
      </c>
      <c r="B747" s="683">
        <f>(R746+T746)</f>
        <v>0</v>
      </c>
      <c r="C747" s="684"/>
      <c r="D747" s="684"/>
      <c r="E747" s="684"/>
      <c r="F747" s="685"/>
      <c r="G747" s="684" t="s">
        <v>146</v>
      </c>
      <c r="H747" s="684"/>
      <c r="I747" s="686"/>
      <c r="J747" s="684"/>
      <c r="K747" s="684" t="s">
        <v>3</v>
      </c>
      <c r="L747" s="687" t="s">
        <v>143</v>
      </c>
      <c r="M747" s="687"/>
      <c r="N747" s="687"/>
      <c r="O747" s="687"/>
      <c r="P747" s="687"/>
      <c r="Q747" s="688"/>
      <c r="R747" s="689">
        <f>SUM(R743:R746)</f>
        <v>0</v>
      </c>
      <c r="S747" s="684"/>
      <c r="T747" s="689">
        <f>SUM(T743:T746)</f>
        <v>6</v>
      </c>
      <c r="U747" s="611"/>
      <c r="V747" s="611"/>
      <c r="W747" s="611"/>
      <c r="X747" s="611"/>
      <c r="Y747" s="611"/>
      <c r="Z747" s="611"/>
      <c r="AA747" s="611"/>
      <c r="AB747" s="611"/>
      <c r="AC747" s="611"/>
      <c r="AD747" s="611"/>
      <c r="AE747" s="611"/>
      <c r="AF747" s="611"/>
      <c r="AG747" s="611"/>
      <c r="AH747" s="611"/>
      <c r="AI747" s="611"/>
      <c r="AJ747" s="611"/>
      <c r="AK747" s="611"/>
      <c r="AL747" s="611"/>
      <c r="AM747" s="611"/>
      <c r="AN747" s="611"/>
      <c r="AO747" s="611"/>
    </row>
    <row r="748" spans="1:256" s="602" customFormat="1" ht="12" customHeight="1" thickTop="1">
      <c r="A748" s="63"/>
      <c r="B748" s="41"/>
      <c r="C748" s="63"/>
      <c r="E748" s="42" t="s">
        <v>138</v>
      </c>
      <c r="F748" s="42" t="s">
        <v>139</v>
      </c>
      <c r="G748" s="63"/>
      <c r="H748" s="63"/>
      <c r="I748" s="63"/>
      <c r="J748" s="63"/>
      <c r="K748" s="63" t="s">
        <v>140</v>
      </c>
      <c r="L748" s="63"/>
      <c r="M748" s="63"/>
      <c r="N748" s="63"/>
      <c r="O748" s="64"/>
      <c r="P748" s="63"/>
      <c r="Q748" s="63"/>
      <c r="R748" s="63"/>
      <c r="S748" s="63"/>
      <c r="T748" s="41"/>
      <c r="AG748" s="667" t="s">
        <v>278</v>
      </c>
      <c r="AH748" s="667" t="s">
        <v>279</v>
      </c>
      <c r="AI748" s="667" t="s">
        <v>280</v>
      </c>
      <c r="AJ748" s="667" t="s">
        <v>281</v>
      </c>
      <c r="AK748" s="667" t="s">
        <v>282</v>
      </c>
      <c r="AM748" s="668" t="s">
        <v>291</v>
      </c>
      <c r="AN748" s="669" t="s">
        <v>292</v>
      </c>
      <c r="AO748" s="603" t="s">
        <v>288</v>
      </c>
    </row>
    <row r="749" spans="1:256" s="602" customFormat="1" ht="13.2">
      <c r="A749" s="670">
        <v>1</v>
      </c>
      <c r="B749" s="671" t="s">
        <v>312</v>
      </c>
      <c r="C749" s="672"/>
      <c r="D749" s="673" t="s">
        <v>508</v>
      </c>
      <c r="E749" s="674">
        <f>IF(AND($A749=0,$A$1="DIF"),0, ROUND(ROUND(($R761*$S$2+($T761*$T$2))/A749,2)*$C$2,2))</f>
        <v>1405.39</v>
      </c>
      <c r="F749" s="675">
        <f>ROUND($A749*$E749,2)</f>
        <v>1405.39</v>
      </c>
      <c r="G749" s="676" t="s">
        <v>142</v>
      </c>
      <c r="H749" s="664"/>
      <c r="I749" s="677"/>
      <c r="J749" s="664"/>
      <c r="K749" s="664" t="s">
        <v>3</v>
      </c>
      <c r="L749" s="678" t="s">
        <v>143</v>
      </c>
      <c r="M749" s="678"/>
      <c r="N749" s="678"/>
      <c r="O749" s="678"/>
      <c r="P749" s="678"/>
      <c r="Q749" s="63"/>
      <c r="T749" s="679" t="str">
        <f>IF(AND($R761=0,$T761=0),"0.00","mu :" &amp; ROUND($F749/$C$2/($R761+$T761*$D$9),2))</f>
        <v>mu :1.35</v>
      </c>
      <c r="W749" s="604"/>
      <c r="AG749" s="549">
        <f>IF($E749=0,0,ROUND($R761*$S$2*$C$2/$A749,2))</f>
        <v>365.73</v>
      </c>
      <c r="AH749" s="549">
        <f>$AG749*$A749</f>
        <v>365.73</v>
      </c>
      <c r="AI749" s="605">
        <f>$E749-$AG749</f>
        <v>1039.6600000000001</v>
      </c>
      <c r="AJ749" s="605">
        <f>$A749*$AI749</f>
        <v>1039.6600000000001</v>
      </c>
      <c r="AK749" s="606">
        <f>ROUND(($AG749+$AI749)*$A749,2)</f>
        <v>1405.39</v>
      </c>
      <c r="AM749" s="607">
        <f>ROUND(R761,2)</f>
        <v>278.2</v>
      </c>
      <c r="AN749" s="608">
        <f>ROUND(T761,2)</f>
        <v>28.8</v>
      </c>
      <c r="AO749" s="609">
        <f>ROUND(AM749+AN749,2)*A749</f>
        <v>307</v>
      </c>
    </row>
    <row r="750" spans="1:256" s="730" customFormat="1" ht="13.2">
      <c r="A750" s="672"/>
      <c r="B750"/>
      <c r="C750" s="672"/>
      <c r="D750" s="1368" t="s">
        <v>509</v>
      </c>
      <c r="E750" s="1369"/>
      <c r="F750" s="1369"/>
      <c r="G750" s="1369"/>
      <c r="H750" s="1369"/>
      <c r="I750" s="1369"/>
      <c r="J750" s="1369"/>
      <c r="K750" s="1369"/>
      <c r="L750" s="1369"/>
      <c r="M750" s="1369"/>
      <c r="N750" s="1369"/>
      <c r="O750" s="1369"/>
      <c r="P750" s="1369"/>
      <c r="Q750" s="1369"/>
      <c r="R750" s="1369"/>
      <c r="S750" s="1369"/>
      <c r="T750" s="1369"/>
      <c r="U750" s="602"/>
      <c r="V750" s="602"/>
      <c r="W750" s="602"/>
      <c r="X750" s="602"/>
      <c r="Y750" s="602"/>
      <c r="Z750" s="602"/>
      <c r="AA750" s="602"/>
      <c r="AB750" s="602"/>
      <c r="AC750" s="602"/>
      <c r="AD750" s="602"/>
      <c r="AE750" s="602"/>
      <c r="AF750" s="602"/>
      <c r="AG750" s="602"/>
      <c r="AH750" s="602"/>
      <c r="AI750" s="602"/>
      <c r="AJ750" s="602"/>
      <c r="AK750" s="602"/>
      <c r="AL750" s="602"/>
      <c r="AM750" s="602"/>
      <c r="AN750" s="602"/>
      <c r="AO750" s="602"/>
      <c r="AP750" s="602"/>
      <c r="AQ750" s="602"/>
      <c r="AR750" s="602"/>
      <c r="AS750" s="602"/>
      <c r="AT750" s="602"/>
      <c r="AU750" s="602"/>
      <c r="AV750" s="602"/>
      <c r="AW750" s="602"/>
      <c r="AX750" s="602"/>
      <c r="AY750" s="602"/>
      <c r="AZ750" s="602"/>
      <c r="BA750" s="602"/>
      <c r="BB750" s="602"/>
      <c r="BC750" s="602"/>
      <c r="BD750" s="602"/>
      <c r="BE750" s="602"/>
      <c r="BF750" s="602"/>
      <c r="BG750" s="602"/>
      <c r="BH750" s="602"/>
      <c r="BI750" s="602"/>
      <c r="BJ750" s="602"/>
      <c r="BK750" s="602"/>
      <c r="BL750" s="602"/>
      <c r="BM750" s="602"/>
      <c r="BN750" s="602"/>
      <c r="BO750" s="602"/>
      <c r="BP750" s="602"/>
      <c r="BQ750" s="602"/>
      <c r="BR750" s="602"/>
      <c r="BS750" s="602"/>
      <c r="BT750" s="602"/>
      <c r="BU750" s="602"/>
      <c r="BV750" s="602"/>
      <c r="BW750" s="602"/>
      <c r="BX750" s="602"/>
      <c r="BY750" s="602"/>
      <c r="BZ750" s="602"/>
      <c r="CA750" s="602"/>
      <c r="CB750" s="602"/>
      <c r="CC750" s="602"/>
      <c r="CD750" s="602"/>
      <c r="CE750" s="602"/>
      <c r="CF750" s="602"/>
      <c r="CG750" s="602"/>
      <c r="CH750" s="602"/>
      <c r="CI750" s="602"/>
      <c r="CJ750" s="602"/>
      <c r="CK750" s="602"/>
      <c r="CL750" s="602"/>
      <c r="CM750" s="602"/>
      <c r="CN750" s="602"/>
      <c r="CO750" s="602"/>
      <c r="CP750" s="602"/>
      <c r="CQ750" s="602"/>
      <c r="CR750" s="602"/>
      <c r="CS750" s="602"/>
      <c r="CT750" s="602"/>
      <c r="CU750" s="602"/>
      <c r="CV750" s="602"/>
      <c r="CW750" s="602"/>
      <c r="CX750" s="602"/>
      <c r="CY750" s="602"/>
      <c r="CZ750" s="602"/>
      <c r="DA750" s="602"/>
      <c r="DB750" s="602"/>
      <c r="DC750" s="602"/>
      <c r="DD750" s="602"/>
      <c r="DE750" s="602"/>
      <c r="DF750" s="602"/>
      <c r="DG750" s="602"/>
      <c r="DH750" s="602"/>
      <c r="DI750" s="602"/>
      <c r="DJ750" s="602"/>
      <c r="DK750" s="602"/>
      <c r="DL750" s="602"/>
      <c r="DM750" s="602"/>
      <c r="DN750" s="602"/>
      <c r="DO750" s="602"/>
      <c r="DP750" s="602"/>
      <c r="DQ750" s="602"/>
      <c r="DR750" s="602"/>
      <c r="DS750" s="602"/>
      <c r="DT750" s="602"/>
      <c r="DU750" s="602"/>
      <c r="DV750" s="602"/>
      <c r="DW750" s="602"/>
      <c r="DX750" s="602"/>
      <c r="DY750" s="602"/>
      <c r="DZ750" s="602"/>
      <c r="EA750" s="602"/>
      <c r="EB750" s="602"/>
      <c r="EC750" s="602"/>
      <c r="ED750" s="602"/>
      <c r="EE750" s="602"/>
      <c r="EF750" s="602"/>
      <c r="EG750" s="602"/>
      <c r="EH750" s="602"/>
      <c r="EI750" s="602"/>
      <c r="EJ750" s="602"/>
      <c r="EK750" s="602"/>
      <c r="EL750" s="602"/>
      <c r="EM750" s="602"/>
      <c r="EN750" s="602"/>
      <c r="EO750" s="602"/>
      <c r="EP750" s="602"/>
      <c r="EQ750" s="602"/>
      <c r="ER750" s="602"/>
      <c r="ES750" s="602"/>
      <c r="ET750" s="602"/>
      <c r="EU750" s="602"/>
      <c r="EV750" s="602"/>
      <c r="EW750" s="602"/>
      <c r="EX750" s="602"/>
      <c r="EY750" s="602"/>
      <c r="EZ750" s="602"/>
      <c r="FA750" s="602"/>
      <c r="FB750" s="602"/>
      <c r="FC750" s="602"/>
      <c r="FD750" s="602"/>
      <c r="FE750" s="602"/>
      <c r="FF750" s="602"/>
      <c r="FG750" s="602"/>
      <c r="FH750" s="602"/>
      <c r="FI750" s="602"/>
      <c r="FJ750" s="602"/>
      <c r="FK750" s="602"/>
      <c r="FL750" s="602"/>
      <c r="FM750" s="602"/>
      <c r="FN750" s="602"/>
      <c r="FO750" s="602"/>
      <c r="FP750" s="602"/>
      <c r="FQ750" s="602"/>
      <c r="FR750" s="602"/>
      <c r="FS750" s="602"/>
      <c r="FT750" s="602"/>
      <c r="FU750" s="602"/>
      <c r="FV750" s="602"/>
      <c r="FW750" s="602"/>
      <c r="FX750" s="602"/>
      <c r="FY750" s="602"/>
      <c r="FZ750" s="602"/>
      <c r="GA750" s="602"/>
      <c r="GB750" s="602"/>
      <c r="GC750" s="602"/>
      <c r="GD750" s="602"/>
      <c r="GE750" s="602"/>
      <c r="GF750" s="602"/>
      <c r="GG750" s="602"/>
      <c r="GH750" s="602"/>
      <c r="GI750" s="602"/>
      <c r="GJ750" s="602"/>
      <c r="GK750" s="602"/>
      <c r="GL750" s="602"/>
      <c r="GM750" s="602"/>
      <c r="GN750" s="602"/>
      <c r="GO750" s="602"/>
      <c r="GP750" s="602"/>
      <c r="GQ750" s="602"/>
      <c r="GR750" s="602"/>
      <c r="GS750" s="602"/>
      <c r="GT750" s="602"/>
      <c r="GU750" s="602"/>
      <c r="GV750" s="602"/>
      <c r="GW750" s="602"/>
      <c r="GX750" s="602"/>
      <c r="GY750" s="602"/>
      <c r="GZ750" s="602"/>
      <c r="HA750" s="602"/>
      <c r="HB750" s="602"/>
      <c r="HC750" s="602"/>
      <c r="HD750" s="602"/>
      <c r="HE750" s="602"/>
      <c r="HF750" s="602"/>
      <c r="HG750" s="602"/>
      <c r="HH750" s="602"/>
      <c r="HI750" s="602"/>
      <c r="HJ750" s="602"/>
      <c r="HK750" s="602"/>
      <c r="HL750" s="602"/>
      <c r="HM750" s="602"/>
      <c r="HN750" s="602"/>
      <c r="HO750" s="602"/>
      <c r="HP750" s="602"/>
      <c r="HQ750" s="602"/>
      <c r="HR750" s="602"/>
      <c r="HS750" s="602"/>
      <c r="HT750" s="602"/>
      <c r="HU750" s="602"/>
      <c r="HV750" s="602"/>
      <c r="HW750" s="602"/>
      <c r="HX750" s="602"/>
      <c r="HY750" s="602"/>
      <c r="HZ750" s="602"/>
      <c r="IA750" s="602"/>
      <c r="IB750" s="602"/>
      <c r="IC750" s="602"/>
      <c r="ID750" s="602"/>
      <c r="IE750" s="602"/>
      <c r="IF750" s="602"/>
      <c r="IG750" s="602"/>
      <c r="IH750" s="602"/>
      <c r="II750" s="602"/>
      <c r="IJ750" s="602"/>
      <c r="IK750" s="602"/>
      <c r="IL750" s="602"/>
      <c r="IM750" s="602"/>
      <c r="IN750" s="602"/>
      <c r="IO750" s="602"/>
      <c r="IP750" s="602"/>
      <c r="IQ750" s="602"/>
      <c r="IR750" s="602"/>
      <c r="IS750" s="602"/>
      <c r="IT750" s="602"/>
      <c r="IU750" s="602"/>
      <c r="IV750" s="602"/>
    </row>
    <row r="751" spans="1:256" s="730" customFormat="1" ht="13.2">
      <c r="A751" s="167">
        <v>1</v>
      </c>
      <c r="B751" s="730" t="s">
        <v>141</v>
      </c>
      <c r="D751" s="730" t="s">
        <v>744</v>
      </c>
      <c r="F751" s="730" t="s">
        <v>1020</v>
      </c>
      <c r="G751" s="731" t="s">
        <v>745</v>
      </c>
      <c r="H751" s="732">
        <v>900</v>
      </c>
      <c r="I751" s="730" t="s">
        <v>686</v>
      </c>
      <c r="O751" s="733">
        <v>2</v>
      </c>
      <c r="P751" s="734"/>
      <c r="Q751" s="735"/>
      <c r="R751" s="736">
        <f t="shared" ref="R751:R756" si="25">$A751*Q751</f>
        <v>0</v>
      </c>
      <c r="S751" s="735">
        <v>18</v>
      </c>
      <c r="T751" s="737">
        <f t="shared" ref="T751:T756" si="26">$A751*S751*$T$1</f>
        <v>18</v>
      </c>
    </row>
    <row r="752" spans="1:256" s="730" customFormat="1" ht="13.2">
      <c r="A752">
        <v>2</v>
      </c>
      <c r="B752" s="730" t="s">
        <v>141</v>
      </c>
      <c r="D752" s="730" t="s">
        <v>1009</v>
      </c>
      <c r="G752" s="731" t="s">
        <v>1010</v>
      </c>
      <c r="H752" s="732">
        <v>620</v>
      </c>
      <c r="I752" s="730" t="s">
        <v>741</v>
      </c>
      <c r="O752" s="733">
        <v>2</v>
      </c>
      <c r="P752" s="734">
        <v>35431</v>
      </c>
      <c r="Q752" s="823">
        <v>28.3</v>
      </c>
      <c r="R752" s="736">
        <f t="shared" si="25"/>
        <v>56.6</v>
      </c>
      <c r="S752" s="735">
        <v>0.8</v>
      </c>
      <c r="T752" s="737">
        <f t="shared" si="26"/>
        <v>1.6</v>
      </c>
    </row>
    <row r="753" spans="1:256" s="730" customFormat="1" ht="13.2">
      <c r="A753">
        <v>2</v>
      </c>
      <c r="B753" s="730" t="s">
        <v>326</v>
      </c>
      <c r="D753" s="730" t="s">
        <v>703</v>
      </c>
      <c r="G753" s="731" t="s">
        <v>704</v>
      </c>
      <c r="H753" s="732">
        <v>620</v>
      </c>
      <c r="I753" s="730" t="s">
        <v>674</v>
      </c>
      <c r="O753" s="733">
        <v>2</v>
      </c>
      <c r="P753" s="734">
        <v>38148</v>
      </c>
      <c r="Q753" s="735">
        <v>1.5</v>
      </c>
      <c r="R753" s="736">
        <f t="shared" si="25"/>
        <v>3</v>
      </c>
      <c r="S753" s="735">
        <v>0.08</v>
      </c>
      <c r="T753" s="737">
        <f t="shared" si="26"/>
        <v>0.16</v>
      </c>
    </row>
    <row r="754" spans="1:256" s="730" customFormat="1" ht="13.2">
      <c r="A754">
        <v>8</v>
      </c>
      <c r="B754" s="730" t="s">
        <v>141</v>
      </c>
      <c r="D754" s="730" t="s">
        <v>820</v>
      </c>
      <c r="G754" s="731" t="s">
        <v>821</v>
      </c>
      <c r="H754" s="732">
        <v>620</v>
      </c>
      <c r="I754" s="730" t="s">
        <v>702</v>
      </c>
      <c r="O754" s="733">
        <v>2</v>
      </c>
      <c r="P754" s="734">
        <v>34669</v>
      </c>
      <c r="Q754" s="823">
        <v>0.7</v>
      </c>
      <c r="R754" s="736">
        <f t="shared" si="25"/>
        <v>5.6</v>
      </c>
      <c r="S754" s="735">
        <v>0.13</v>
      </c>
      <c r="T754" s="737">
        <f t="shared" si="26"/>
        <v>1.04</v>
      </c>
    </row>
    <row r="755" spans="1:256" s="730" customFormat="1" ht="13.2">
      <c r="A755">
        <v>1</v>
      </c>
      <c r="B755" s="730" t="s">
        <v>141</v>
      </c>
      <c r="D755" s="730" t="s">
        <v>676</v>
      </c>
      <c r="F755" s="730" t="s">
        <v>1022</v>
      </c>
      <c r="G755" s="731" t="s">
        <v>677</v>
      </c>
      <c r="H755" s="732">
        <v>501</v>
      </c>
      <c r="I755" s="730" t="s">
        <v>674</v>
      </c>
      <c r="K755" s="730" t="s">
        <v>678</v>
      </c>
      <c r="O755" s="733">
        <v>1</v>
      </c>
      <c r="P755" s="734"/>
      <c r="Q755" s="735">
        <v>200</v>
      </c>
      <c r="R755" s="736">
        <f t="shared" si="25"/>
        <v>200</v>
      </c>
      <c r="S755" s="735"/>
      <c r="T755" s="737">
        <f t="shared" si="26"/>
        <v>0</v>
      </c>
    </row>
    <row r="756" spans="1:256" s="730" customFormat="1" ht="13.2">
      <c r="A756" s="167">
        <v>1</v>
      </c>
      <c r="B756" s="730" t="s">
        <v>141</v>
      </c>
      <c r="D756" s="730" t="s">
        <v>1039</v>
      </c>
      <c r="G756" s="731" t="s">
        <v>1040</v>
      </c>
      <c r="H756" s="732">
        <v>900</v>
      </c>
      <c r="I756" s="730" t="s">
        <v>686</v>
      </c>
      <c r="O756" s="733">
        <v>1</v>
      </c>
      <c r="P756" s="734"/>
      <c r="Q756" s="735"/>
      <c r="R756" s="736">
        <f t="shared" si="25"/>
        <v>0</v>
      </c>
      <c r="S756" s="735">
        <v>4</v>
      </c>
      <c r="T756" s="737">
        <f t="shared" si="26"/>
        <v>4</v>
      </c>
    </row>
    <row r="757" spans="1:256" s="730" customFormat="1" ht="13.2">
      <c r="A757"/>
      <c r="D757" s="867" t="s">
        <v>1018</v>
      </c>
      <c r="G757" s="731"/>
      <c r="H757" s="732"/>
      <c r="O757" s="733"/>
      <c r="P757" s="734"/>
      <c r="Q757" s="823"/>
      <c r="R757" s="736"/>
      <c r="S757" s="735"/>
      <c r="T757" s="737"/>
    </row>
    <row r="758" spans="1:256" s="730" customFormat="1" ht="13.2">
      <c r="A758" s="167">
        <v>1</v>
      </c>
      <c r="B758" s="730" t="s">
        <v>141</v>
      </c>
      <c r="D758" s="730" t="s">
        <v>1011</v>
      </c>
      <c r="E758" s="730" t="s">
        <v>1012</v>
      </c>
      <c r="F758" s="806" t="s">
        <v>1021</v>
      </c>
      <c r="G758" s="731" t="s">
        <v>1014</v>
      </c>
      <c r="H758" s="732">
        <v>875</v>
      </c>
      <c r="I758" s="730" t="s">
        <v>674</v>
      </c>
      <c r="K758" s="730" t="s">
        <v>1015</v>
      </c>
      <c r="O758" s="733">
        <v>1</v>
      </c>
      <c r="P758" s="734"/>
      <c r="Q758" s="735">
        <v>10</v>
      </c>
      <c r="R758" s="736">
        <f>$A758*Q758</f>
        <v>10</v>
      </c>
      <c r="S758" s="735">
        <f>12/3</f>
        <v>4</v>
      </c>
      <c r="T758" s="737">
        <f>$A758*S758*$T$1</f>
        <v>4</v>
      </c>
    </row>
    <row r="759" spans="1:256" s="602" customFormat="1" ht="13.2">
      <c r="A759" s="167">
        <v>10</v>
      </c>
      <c r="B759" s="730" t="s">
        <v>141</v>
      </c>
      <c r="C759" s="730"/>
      <c r="D759" s="730" t="s">
        <v>1016</v>
      </c>
      <c r="E759" s="866"/>
      <c r="F759" s="730"/>
      <c r="G759" s="731" t="s">
        <v>1017</v>
      </c>
      <c r="H759" s="732">
        <v>875</v>
      </c>
      <c r="I759" s="730" t="s">
        <v>674</v>
      </c>
      <c r="J759" s="730"/>
      <c r="K759" s="730" t="s">
        <v>780</v>
      </c>
      <c r="L759" s="730"/>
      <c r="M759" s="730"/>
      <c r="N759" s="730"/>
      <c r="O759" s="733">
        <v>1</v>
      </c>
      <c r="P759" s="734">
        <v>34669</v>
      </c>
      <c r="Q759" s="735">
        <v>0.3</v>
      </c>
      <c r="R759" s="736">
        <f>$A759*Q759</f>
        <v>3</v>
      </c>
      <c r="S759" s="735"/>
      <c r="T759" s="737">
        <f>$A759*S759*$T$1</f>
        <v>0</v>
      </c>
      <c r="U759" s="730"/>
      <c r="V759" s="730"/>
      <c r="W759" s="730"/>
      <c r="X759" s="730"/>
      <c r="Y759" s="730"/>
      <c r="Z759" s="730"/>
      <c r="AA759" s="730"/>
      <c r="AB759" s="730"/>
      <c r="AC759" s="730"/>
      <c r="AD759" s="730"/>
      <c r="AE759" s="730"/>
      <c r="AF759" s="730"/>
      <c r="AG759" s="730"/>
      <c r="AH759" s="730"/>
      <c r="AI759" s="730"/>
      <c r="AJ759" s="730"/>
      <c r="AK759" s="730"/>
      <c r="AL759" s="730"/>
      <c r="AM759" s="730"/>
      <c r="AN759" s="730"/>
      <c r="AO759" s="730"/>
      <c r="AP759" s="730"/>
      <c r="AQ759" s="730"/>
      <c r="AR759" s="730"/>
      <c r="AS759" s="730"/>
      <c r="AT759" s="730"/>
      <c r="AU759" s="730"/>
      <c r="AV759" s="730"/>
      <c r="AW759" s="730"/>
      <c r="AX759" s="730"/>
      <c r="AY759" s="730"/>
      <c r="AZ759" s="730"/>
      <c r="BA759" s="730"/>
      <c r="BB759" s="730"/>
      <c r="BC759" s="730"/>
      <c r="BD759" s="730"/>
      <c r="BE759" s="730"/>
      <c r="BF759" s="730"/>
      <c r="BG759" s="730"/>
      <c r="BH759" s="730"/>
      <c r="BI759" s="730"/>
      <c r="BJ759" s="730"/>
      <c r="BK759" s="730"/>
      <c r="BL759" s="730"/>
      <c r="BM759" s="730"/>
      <c r="BN759" s="730"/>
      <c r="BO759" s="730"/>
      <c r="BP759" s="730"/>
      <c r="BQ759" s="730"/>
      <c r="BR759" s="730"/>
      <c r="BS759" s="730"/>
      <c r="BT759" s="730"/>
      <c r="BU759" s="730"/>
      <c r="BV759" s="730"/>
      <c r="BW759" s="730"/>
      <c r="BX759" s="730"/>
      <c r="BY759" s="730"/>
      <c r="BZ759" s="730"/>
      <c r="CA759" s="730"/>
      <c r="CB759" s="730"/>
      <c r="CC759" s="730"/>
      <c r="CD759" s="730"/>
      <c r="CE759" s="730"/>
      <c r="CF759" s="730"/>
      <c r="CG759" s="730"/>
      <c r="CH759" s="730"/>
      <c r="CI759" s="730"/>
      <c r="CJ759" s="730"/>
      <c r="CK759" s="730"/>
      <c r="CL759" s="730"/>
      <c r="CM759" s="730"/>
      <c r="CN759" s="730"/>
      <c r="CO759" s="730"/>
      <c r="CP759" s="730"/>
      <c r="CQ759" s="730"/>
      <c r="CR759" s="730"/>
      <c r="CS759" s="730"/>
      <c r="CT759" s="730"/>
      <c r="CU759" s="730"/>
      <c r="CV759" s="730"/>
      <c r="CW759" s="730"/>
      <c r="CX759" s="730"/>
      <c r="CY759" s="730"/>
      <c r="CZ759" s="730"/>
      <c r="DA759" s="730"/>
      <c r="DB759" s="730"/>
      <c r="DC759" s="730"/>
      <c r="DD759" s="730"/>
      <c r="DE759" s="730"/>
      <c r="DF759" s="730"/>
      <c r="DG759" s="730"/>
      <c r="DH759" s="730"/>
      <c r="DI759" s="730"/>
      <c r="DJ759" s="730"/>
      <c r="DK759" s="730"/>
      <c r="DL759" s="730"/>
      <c r="DM759" s="730"/>
      <c r="DN759" s="730"/>
      <c r="DO759" s="730"/>
      <c r="DP759" s="730"/>
      <c r="DQ759" s="730"/>
      <c r="DR759" s="730"/>
      <c r="DS759" s="730"/>
      <c r="DT759" s="730"/>
      <c r="DU759" s="730"/>
      <c r="DV759" s="730"/>
      <c r="DW759" s="730"/>
      <c r="DX759" s="730"/>
      <c r="DY759" s="730"/>
      <c r="DZ759" s="730"/>
      <c r="EA759" s="730"/>
      <c r="EB759" s="730"/>
      <c r="EC759" s="730"/>
      <c r="ED759" s="730"/>
      <c r="EE759" s="730"/>
      <c r="EF759" s="730"/>
      <c r="EG759" s="730"/>
      <c r="EH759" s="730"/>
      <c r="EI759" s="730"/>
      <c r="EJ759" s="730"/>
      <c r="EK759" s="730"/>
      <c r="EL759" s="730"/>
      <c r="EM759" s="730"/>
      <c r="EN759" s="730"/>
      <c r="EO759" s="730"/>
      <c r="EP759" s="730"/>
      <c r="EQ759" s="730"/>
      <c r="ER759" s="730"/>
      <c r="ES759" s="730"/>
      <c r="ET759" s="730"/>
      <c r="EU759" s="730"/>
      <c r="EV759" s="730"/>
      <c r="EW759" s="730"/>
      <c r="EX759" s="730"/>
      <c r="EY759" s="730"/>
      <c r="EZ759" s="730"/>
      <c r="FA759" s="730"/>
      <c r="FB759" s="730"/>
      <c r="FC759" s="730"/>
      <c r="FD759" s="730"/>
      <c r="FE759" s="730"/>
      <c r="FF759" s="730"/>
      <c r="FG759" s="730"/>
      <c r="FH759" s="730"/>
      <c r="FI759" s="730"/>
      <c r="FJ759" s="730"/>
      <c r="FK759" s="730"/>
      <c r="FL759" s="730"/>
      <c r="FM759" s="730"/>
      <c r="FN759" s="730"/>
      <c r="FO759" s="730"/>
      <c r="FP759" s="730"/>
      <c r="FQ759" s="730"/>
      <c r="FR759" s="730"/>
      <c r="FS759" s="730"/>
      <c r="FT759" s="730"/>
      <c r="FU759" s="730"/>
      <c r="FV759" s="730"/>
      <c r="FW759" s="730"/>
      <c r="FX759" s="730"/>
      <c r="FY759" s="730"/>
      <c r="FZ759" s="730"/>
      <c r="GA759" s="730"/>
      <c r="GB759" s="730"/>
      <c r="GC759" s="730"/>
      <c r="GD759" s="730"/>
      <c r="GE759" s="730"/>
      <c r="GF759" s="730"/>
      <c r="GG759" s="730"/>
      <c r="GH759" s="730"/>
      <c r="GI759" s="730"/>
      <c r="GJ759" s="730"/>
      <c r="GK759" s="730"/>
      <c r="GL759" s="730"/>
      <c r="GM759" s="730"/>
      <c r="GN759" s="730"/>
      <c r="GO759" s="730"/>
      <c r="GP759" s="730"/>
      <c r="GQ759" s="730"/>
      <c r="GR759" s="730"/>
      <c r="GS759" s="730"/>
      <c r="GT759" s="730"/>
      <c r="GU759" s="730"/>
      <c r="GV759" s="730"/>
      <c r="GW759" s="730"/>
      <c r="GX759" s="730"/>
      <c r="GY759" s="730"/>
      <c r="GZ759" s="730"/>
      <c r="HA759" s="730"/>
      <c r="HB759" s="730"/>
      <c r="HC759" s="730"/>
      <c r="HD759" s="730"/>
      <c r="HE759" s="730"/>
      <c r="HF759" s="730"/>
      <c r="HG759" s="730"/>
      <c r="HH759" s="730"/>
      <c r="HI759" s="730"/>
      <c r="HJ759" s="730"/>
      <c r="HK759" s="730"/>
      <c r="HL759" s="730"/>
      <c r="HM759" s="730"/>
      <c r="HN759" s="730"/>
      <c r="HO759" s="730"/>
      <c r="HP759" s="730"/>
      <c r="HQ759" s="730"/>
      <c r="HR759" s="730"/>
      <c r="HS759" s="730"/>
      <c r="HT759" s="730"/>
      <c r="HU759" s="730"/>
      <c r="HV759" s="730"/>
      <c r="HW759" s="730"/>
      <c r="HX759" s="730"/>
      <c r="HY759" s="730"/>
      <c r="HZ759" s="730"/>
      <c r="IA759" s="730"/>
      <c r="IB759" s="730"/>
      <c r="IC759" s="730"/>
      <c r="ID759" s="730"/>
      <c r="IE759" s="730"/>
      <c r="IF759" s="730"/>
      <c r="IG759" s="730"/>
      <c r="IH759" s="730"/>
      <c r="II759" s="730"/>
      <c r="IJ759" s="730"/>
      <c r="IK759" s="730"/>
      <c r="IL759" s="730"/>
      <c r="IM759" s="730"/>
      <c r="IN759" s="730"/>
      <c r="IO759" s="730"/>
      <c r="IP759" s="730"/>
      <c r="IQ759" s="730"/>
      <c r="IR759" s="730"/>
      <c r="IS759" s="730"/>
      <c r="IT759" s="730"/>
      <c r="IU759" s="730"/>
      <c r="IV759" s="730"/>
    </row>
    <row r="760" spans="1:256" s="602" customFormat="1" ht="12">
      <c r="A760" s="663"/>
      <c r="B760" s="663"/>
      <c r="C760" s="663"/>
      <c r="D760" s="663"/>
      <c r="E760" s="663"/>
      <c r="F760" s="664"/>
      <c r="G760" s="663"/>
      <c r="H760" s="663"/>
      <c r="I760" s="601"/>
      <c r="J760" s="663"/>
      <c r="K760" s="663"/>
      <c r="L760" s="663"/>
      <c r="M760" s="663"/>
      <c r="N760" s="663"/>
      <c r="O760" s="663"/>
      <c r="P760" s="663"/>
      <c r="Q760" s="601"/>
      <c r="R760" s="666">
        <f>$A760*Q760</f>
        <v>0</v>
      </c>
      <c r="S760" s="601"/>
      <c r="T760" s="681">
        <f>$A760*S760*$T$1</f>
        <v>0</v>
      </c>
    </row>
    <row r="761" spans="1:256" s="602" customFormat="1" ht="12.6" thickBot="1">
      <c r="A761" s="682" t="s">
        <v>145</v>
      </c>
      <c r="B761" s="683">
        <f>(R760+T760)</f>
        <v>0</v>
      </c>
      <c r="C761" s="684"/>
      <c r="D761" s="684"/>
      <c r="E761" s="684"/>
      <c r="F761" s="685"/>
      <c r="G761" s="684" t="s">
        <v>146</v>
      </c>
      <c r="H761" s="684"/>
      <c r="I761" s="686"/>
      <c r="J761" s="684"/>
      <c r="K761" s="684" t="s">
        <v>3</v>
      </c>
      <c r="L761" s="687" t="s">
        <v>143</v>
      </c>
      <c r="M761" s="687"/>
      <c r="N761" s="687"/>
      <c r="O761" s="687"/>
      <c r="P761" s="687"/>
      <c r="Q761" s="688"/>
      <c r="R761" s="689">
        <f>SUM(R750:R760)</f>
        <v>278.2</v>
      </c>
      <c r="S761" s="684"/>
      <c r="T761" s="689">
        <f>SUM(T750:T760)</f>
        <v>28.8</v>
      </c>
      <c r="U761" s="611"/>
      <c r="V761" s="611"/>
      <c r="W761" s="611"/>
      <c r="X761" s="611"/>
      <c r="Y761" s="611"/>
      <c r="Z761" s="611"/>
      <c r="AA761" s="611"/>
      <c r="AB761" s="611"/>
      <c r="AC761" s="611"/>
      <c r="AD761" s="611"/>
      <c r="AE761" s="611"/>
      <c r="AF761" s="611"/>
      <c r="AG761" s="611"/>
      <c r="AH761" s="611"/>
      <c r="AI761" s="611"/>
      <c r="AJ761" s="611"/>
      <c r="AK761" s="611"/>
      <c r="AL761" s="611"/>
      <c r="AM761" s="611"/>
      <c r="AN761" s="611"/>
      <c r="AO761" s="611"/>
    </row>
    <row r="762" spans="1:256" s="602" customFormat="1" thickTop="1">
      <c r="A762" s="63"/>
      <c r="B762" s="41"/>
      <c r="C762" s="63"/>
      <c r="E762" s="42" t="s">
        <v>138</v>
      </c>
      <c r="F762"/>
      <c r="G762" s="63"/>
      <c r="H762" s="63"/>
      <c r="I762" s="63"/>
      <c r="J762" s="63"/>
      <c r="K762" s="63" t="s">
        <v>140</v>
      </c>
      <c r="L762" s="709"/>
      <c r="M762" s="63"/>
      <c r="N762" s="63"/>
      <c r="O762" s="64"/>
      <c r="P762" s="63"/>
      <c r="Q762" s="63"/>
      <c r="R762" s="63"/>
      <c r="S762" s="63"/>
      <c r="T762" s="41"/>
      <c r="AG762" s="667" t="s">
        <v>278</v>
      </c>
      <c r="AH762" s="710"/>
      <c r="AI762" s="667" t="s">
        <v>280</v>
      </c>
      <c r="AM762" s="668" t="s">
        <v>291</v>
      </c>
      <c r="AN762" s="669" t="s">
        <v>292</v>
      </c>
      <c r="AO762" s="603" t="s">
        <v>288</v>
      </c>
    </row>
    <row r="763" spans="1:256" s="602" customFormat="1" ht="13.2">
      <c r="A763" s="670">
        <v>1</v>
      </c>
      <c r="B763" s="838" t="s">
        <v>746</v>
      </c>
      <c r="C763" s="672"/>
      <c r="D763" s="673" t="s">
        <v>510</v>
      </c>
      <c r="E763" s="711">
        <f>IF(AND($A763=0,$A$1="DIF"),0, ROUND(ROUND(($R786*$S$2+($T786*$T$2))/A763,2)*$C$2,2))</f>
        <v>2634.92</v>
      </c>
      <c r="F763"/>
      <c r="G763" s="676" t="s">
        <v>142</v>
      </c>
      <c r="H763" s="664"/>
      <c r="I763" s="677"/>
      <c r="J763" s="664"/>
      <c r="K763" s="712" t="s">
        <v>556</v>
      </c>
      <c r="L763" s="709" t="s">
        <v>143</v>
      </c>
      <c r="M763" s="678"/>
      <c r="N763" s="678"/>
      <c r="O763" s="678"/>
      <c r="P763" s="678"/>
      <c r="Q763" s="63"/>
      <c r="T763" s="679" t="str">
        <f>IF(AND($R786=0,$T786=0),"0.00","mu :" &amp; ROUND($A763*$E763/$C$2/($R786+$T786*$D$9),2))</f>
        <v>mu :1.35</v>
      </c>
      <c r="W763" s="604"/>
      <c r="AG763" s="605">
        <f>IF($E763=0,0,ROUND($R786*$S$2*$C$2/$A763,2))</f>
        <v>1504.28</v>
      </c>
      <c r="AH763" s="710"/>
      <c r="AI763" s="605">
        <f>$E763-$AG763</f>
        <v>1130.6400000000001</v>
      </c>
      <c r="AM763" s="607">
        <f>ROUND(R786,2)</f>
        <v>1144.27</v>
      </c>
      <c r="AN763" s="608">
        <f>ROUND(T786,2)</f>
        <v>31.32</v>
      </c>
      <c r="AO763" s="609">
        <f>ROUND(AM763+AN763,2)*A763</f>
        <v>1175.5899999999999</v>
      </c>
    </row>
    <row r="764" spans="1:256" s="730" customFormat="1" ht="13.2">
      <c r="A764" s="672"/>
      <c r="B764"/>
      <c r="C764" s="672"/>
      <c r="D764" s="1368" t="s">
        <v>511</v>
      </c>
      <c r="E764" s="1369"/>
      <c r="F764" s="1369"/>
      <c r="G764" s="1369"/>
      <c r="H764" s="1369"/>
      <c r="I764" s="1369"/>
      <c r="J764" s="1369"/>
      <c r="K764" s="1369"/>
      <c r="L764" s="1369"/>
      <c r="M764" s="1369"/>
      <c r="N764" s="1369"/>
      <c r="O764" s="1369"/>
      <c r="P764" s="1369"/>
      <c r="Q764" s="1369"/>
      <c r="R764" s="1369"/>
      <c r="S764" s="1369"/>
      <c r="T764" s="1369"/>
      <c r="U764" s="602"/>
      <c r="V764" s="602"/>
      <c r="W764" s="602"/>
      <c r="X764" s="602"/>
      <c r="Y764" s="602"/>
      <c r="Z764" s="602"/>
      <c r="AA764" s="602"/>
      <c r="AB764" s="602"/>
      <c r="AC764" s="602"/>
      <c r="AD764" s="602"/>
      <c r="AE764" s="602"/>
      <c r="AF764" s="602"/>
      <c r="AG764" s="602"/>
      <c r="AH764" s="602"/>
      <c r="AI764" s="602"/>
      <c r="AJ764" s="602"/>
      <c r="AK764" s="602"/>
      <c r="AL764" s="602"/>
      <c r="AM764" s="602"/>
      <c r="AN764" s="602"/>
      <c r="AO764" s="602"/>
      <c r="AP764" s="602"/>
      <c r="AQ764" s="602"/>
      <c r="AR764" s="602"/>
      <c r="AS764" s="602"/>
      <c r="AT764" s="602"/>
      <c r="AU764" s="602"/>
      <c r="AV764" s="602"/>
      <c r="AW764" s="602"/>
      <c r="AX764" s="602"/>
      <c r="AY764" s="602"/>
      <c r="AZ764" s="602"/>
      <c r="BA764" s="602"/>
      <c r="BB764" s="602"/>
      <c r="BC764" s="602"/>
      <c r="BD764" s="602"/>
      <c r="BE764" s="602"/>
      <c r="BF764" s="602"/>
      <c r="BG764" s="602"/>
      <c r="BH764" s="602"/>
      <c r="BI764" s="602"/>
      <c r="BJ764" s="602"/>
      <c r="BK764" s="602"/>
      <c r="BL764" s="602"/>
      <c r="BM764" s="602"/>
      <c r="BN764" s="602"/>
      <c r="BO764" s="602"/>
      <c r="BP764" s="602"/>
      <c r="BQ764" s="602"/>
      <c r="BR764" s="602"/>
      <c r="BS764" s="602"/>
      <c r="BT764" s="602"/>
      <c r="BU764" s="602"/>
      <c r="BV764" s="602"/>
      <c r="BW764" s="602"/>
      <c r="BX764" s="602"/>
      <c r="BY764" s="602"/>
      <c r="BZ764" s="602"/>
      <c r="CA764" s="602"/>
      <c r="CB764" s="602"/>
      <c r="CC764" s="602"/>
      <c r="CD764" s="602"/>
      <c r="CE764" s="602"/>
      <c r="CF764" s="602"/>
      <c r="CG764" s="602"/>
      <c r="CH764" s="602"/>
      <c r="CI764" s="602"/>
      <c r="CJ764" s="602"/>
      <c r="CK764" s="602"/>
      <c r="CL764" s="602"/>
      <c r="CM764" s="602"/>
      <c r="CN764" s="602"/>
      <c r="CO764" s="602"/>
      <c r="CP764" s="602"/>
      <c r="CQ764" s="602"/>
      <c r="CR764" s="602"/>
      <c r="CS764" s="602"/>
      <c r="CT764" s="602"/>
      <c r="CU764" s="602"/>
      <c r="CV764" s="602"/>
      <c r="CW764" s="602"/>
      <c r="CX764" s="602"/>
      <c r="CY764" s="602"/>
      <c r="CZ764" s="602"/>
      <c r="DA764" s="602"/>
      <c r="DB764" s="602"/>
      <c r="DC764" s="602"/>
      <c r="DD764" s="602"/>
      <c r="DE764" s="602"/>
      <c r="DF764" s="602"/>
      <c r="DG764" s="602"/>
      <c r="DH764" s="602"/>
      <c r="DI764" s="602"/>
      <c r="DJ764" s="602"/>
      <c r="DK764" s="602"/>
      <c r="DL764" s="602"/>
      <c r="DM764" s="602"/>
      <c r="DN764" s="602"/>
      <c r="DO764" s="602"/>
      <c r="DP764" s="602"/>
      <c r="DQ764" s="602"/>
      <c r="DR764" s="602"/>
      <c r="DS764" s="602"/>
      <c r="DT764" s="602"/>
      <c r="DU764" s="602"/>
      <c r="DV764" s="602"/>
      <c r="DW764" s="602"/>
      <c r="DX764" s="602"/>
      <c r="DY764" s="602"/>
      <c r="DZ764" s="602"/>
      <c r="EA764" s="602"/>
      <c r="EB764" s="602"/>
      <c r="EC764" s="602"/>
      <c r="ED764" s="602"/>
      <c r="EE764" s="602"/>
      <c r="EF764" s="602"/>
      <c r="EG764" s="602"/>
      <c r="EH764" s="602"/>
      <c r="EI764" s="602"/>
      <c r="EJ764" s="602"/>
      <c r="EK764" s="602"/>
      <c r="EL764" s="602"/>
      <c r="EM764" s="602"/>
      <c r="EN764" s="602"/>
      <c r="EO764" s="602"/>
      <c r="EP764" s="602"/>
      <c r="EQ764" s="602"/>
      <c r="ER764" s="602"/>
      <c r="ES764" s="602"/>
      <c r="ET764" s="602"/>
      <c r="EU764" s="602"/>
      <c r="EV764" s="602"/>
      <c r="EW764" s="602"/>
      <c r="EX764" s="602"/>
      <c r="EY764" s="602"/>
      <c r="EZ764" s="602"/>
      <c r="FA764" s="602"/>
      <c r="FB764" s="602"/>
      <c r="FC764" s="602"/>
      <c r="FD764" s="602"/>
      <c r="FE764" s="602"/>
      <c r="FF764" s="602"/>
      <c r="FG764" s="602"/>
      <c r="FH764" s="602"/>
      <c r="FI764" s="602"/>
      <c r="FJ764" s="602"/>
      <c r="FK764" s="602"/>
      <c r="FL764" s="602"/>
      <c r="FM764" s="602"/>
      <c r="FN764" s="602"/>
      <c r="FO764" s="602"/>
      <c r="FP764" s="602"/>
      <c r="FQ764" s="602"/>
      <c r="FR764" s="602"/>
      <c r="FS764" s="602"/>
      <c r="FT764" s="602"/>
      <c r="FU764" s="602"/>
      <c r="FV764" s="602"/>
      <c r="FW764" s="602"/>
      <c r="FX764" s="602"/>
      <c r="FY764" s="602"/>
      <c r="FZ764" s="602"/>
      <c r="GA764" s="602"/>
      <c r="GB764" s="602"/>
      <c r="GC764" s="602"/>
      <c r="GD764" s="602"/>
      <c r="GE764" s="602"/>
      <c r="GF764" s="602"/>
      <c r="GG764" s="602"/>
      <c r="GH764" s="602"/>
      <c r="GI764" s="602"/>
      <c r="GJ764" s="602"/>
      <c r="GK764" s="602"/>
      <c r="GL764" s="602"/>
      <c r="GM764" s="602"/>
      <c r="GN764" s="602"/>
      <c r="GO764" s="602"/>
      <c r="GP764" s="602"/>
      <c r="GQ764" s="602"/>
      <c r="GR764" s="602"/>
      <c r="GS764" s="602"/>
      <c r="GT764" s="602"/>
      <c r="GU764" s="602"/>
      <c r="GV764" s="602"/>
      <c r="GW764" s="602"/>
      <c r="GX764" s="602"/>
      <c r="GY764" s="602"/>
      <c r="GZ764" s="602"/>
      <c r="HA764" s="602"/>
      <c r="HB764" s="602"/>
      <c r="HC764" s="602"/>
      <c r="HD764" s="602"/>
      <c r="HE764" s="602"/>
      <c r="HF764" s="602"/>
      <c r="HG764" s="602"/>
      <c r="HH764" s="602"/>
      <c r="HI764" s="602"/>
      <c r="HJ764" s="602"/>
      <c r="HK764" s="602"/>
      <c r="HL764" s="602"/>
      <c r="HM764" s="602"/>
      <c r="HN764" s="602"/>
      <c r="HO764" s="602"/>
      <c r="HP764" s="602"/>
      <c r="HQ764" s="602"/>
      <c r="HR764" s="602"/>
      <c r="HS764" s="602"/>
      <c r="HT764" s="602"/>
      <c r="HU764" s="602"/>
      <c r="HV764" s="602"/>
      <c r="HW764" s="602"/>
      <c r="HX764" s="602"/>
      <c r="HY764" s="602"/>
      <c r="HZ764" s="602"/>
      <c r="IA764" s="602"/>
      <c r="IB764" s="602"/>
      <c r="IC764" s="602"/>
      <c r="ID764" s="602"/>
      <c r="IE764" s="602"/>
      <c r="IF764" s="602"/>
      <c r="IG764" s="602"/>
      <c r="IH764" s="602"/>
      <c r="II764" s="602"/>
      <c r="IJ764" s="602"/>
      <c r="IK764" s="602"/>
      <c r="IL764" s="602"/>
      <c r="IM764" s="602"/>
      <c r="IN764" s="602"/>
      <c r="IO764" s="602"/>
      <c r="IP764" s="602"/>
      <c r="IQ764" s="602"/>
      <c r="IR764" s="602"/>
      <c r="IS764" s="602"/>
      <c r="IT764" s="602"/>
      <c r="IU764" s="602"/>
      <c r="IV764" s="602"/>
    </row>
    <row r="765" spans="1:256" s="730" customFormat="1" ht="13.2">
      <c r="A765" s="167">
        <v>1</v>
      </c>
      <c r="B765" s="730" t="s">
        <v>141</v>
      </c>
      <c r="D765" s="730" t="s">
        <v>744</v>
      </c>
      <c r="F765" s="730" t="s">
        <v>1008</v>
      </c>
      <c r="G765" s="731" t="s">
        <v>745</v>
      </c>
      <c r="H765" s="718" t="s">
        <v>560</v>
      </c>
      <c r="I765" s="730" t="s">
        <v>686</v>
      </c>
      <c r="L765" s="720" t="s">
        <v>560</v>
      </c>
      <c r="O765" s="733">
        <v>2</v>
      </c>
      <c r="P765" s="734"/>
      <c r="Q765" s="735"/>
      <c r="R765" s="736">
        <f t="shared" ref="R765:R770" si="27">$A765*Q765</f>
        <v>0</v>
      </c>
      <c r="S765" s="735">
        <v>8</v>
      </c>
      <c r="T765" s="737">
        <f t="shared" ref="T765:T770" si="28">$A765*S765*$T$1</f>
        <v>8</v>
      </c>
    </row>
    <row r="766" spans="1:256" s="730" customFormat="1" ht="13.2">
      <c r="A766">
        <v>2</v>
      </c>
      <c r="B766" s="730" t="s">
        <v>141</v>
      </c>
      <c r="D766" s="730" t="s">
        <v>1009</v>
      </c>
      <c r="G766" s="731" t="s">
        <v>1010</v>
      </c>
      <c r="H766" s="718" t="s">
        <v>560</v>
      </c>
      <c r="I766" s="730" t="s">
        <v>741</v>
      </c>
      <c r="L766" s="720" t="s">
        <v>560</v>
      </c>
      <c r="O766" s="733">
        <v>2</v>
      </c>
      <c r="P766" s="734">
        <v>35431</v>
      </c>
      <c r="Q766" s="823">
        <v>28.3</v>
      </c>
      <c r="R766" s="736">
        <f t="shared" si="27"/>
        <v>56.6</v>
      </c>
      <c r="S766" s="735">
        <v>0.8</v>
      </c>
      <c r="T766" s="737">
        <f t="shared" si="28"/>
        <v>1.6</v>
      </c>
    </row>
    <row r="767" spans="1:256" s="730" customFormat="1" ht="13.2">
      <c r="A767">
        <v>2</v>
      </c>
      <c r="B767" s="730" t="s">
        <v>326</v>
      </c>
      <c r="D767" s="730" t="s">
        <v>703</v>
      </c>
      <c r="G767" s="731" t="s">
        <v>704</v>
      </c>
      <c r="H767" s="718" t="s">
        <v>560</v>
      </c>
      <c r="I767" s="730" t="s">
        <v>674</v>
      </c>
      <c r="L767" s="720" t="s">
        <v>560</v>
      </c>
      <c r="O767" s="733">
        <v>2</v>
      </c>
      <c r="P767" s="734">
        <v>38148</v>
      </c>
      <c r="Q767" s="735">
        <v>1.5</v>
      </c>
      <c r="R767" s="736">
        <f t="shared" si="27"/>
        <v>3</v>
      </c>
      <c r="S767" s="735">
        <v>0.08</v>
      </c>
      <c r="T767" s="737">
        <f t="shared" si="28"/>
        <v>0.16</v>
      </c>
    </row>
    <row r="768" spans="1:256" s="730" customFormat="1" ht="13.2">
      <c r="A768">
        <v>8</v>
      </c>
      <c r="B768" s="730" t="s">
        <v>141</v>
      </c>
      <c r="D768" s="730" t="s">
        <v>820</v>
      </c>
      <c r="G768" s="731" t="s">
        <v>821</v>
      </c>
      <c r="H768" s="718" t="s">
        <v>560</v>
      </c>
      <c r="I768" s="730" t="s">
        <v>702</v>
      </c>
      <c r="L768" s="720" t="s">
        <v>560</v>
      </c>
      <c r="O768" s="733">
        <v>2</v>
      </c>
      <c r="P768" s="734">
        <v>34669</v>
      </c>
      <c r="Q768" s="823">
        <v>0.7</v>
      </c>
      <c r="R768" s="736">
        <f t="shared" si="27"/>
        <v>5.6</v>
      </c>
      <c r="S768" s="735">
        <v>0.13</v>
      </c>
      <c r="T768" s="737">
        <f t="shared" si="28"/>
        <v>1.04</v>
      </c>
    </row>
    <row r="769" spans="1:256" s="730" customFormat="1" ht="13.2">
      <c r="A769">
        <v>1</v>
      </c>
      <c r="B769" s="730" t="s">
        <v>141</v>
      </c>
      <c r="D769" s="730" t="s">
        <v>676</v>
      </c>
      <c r="F769" s="730" t="s">
        <v>1022</v>
      </c>
      <c r="G769" s="731" t="s">
        <v>677</v>
      </c>
      <c r="H769" s="718" t="s">
        <v>560</v>
      </c>
      <c r="I769" s="730" t="s">
        <v>674</v>
      </c>
      <c r="K769" s="730" t="s">
        <v>678</v>
      </c>
      <c r="L769" s="720" t="s">
        <v>560</v>
      </c>
      <c r="O769" s="733">
        <v>1</v>
      </c>
      <c r="P769" s="734"/>
      <c r="Q769" s="735">
        <v>200</v>
      </c>
      <c r="R769" s="736">
        <f t="shared" si="27"/>
        <v>200</v>
      </c>
      <c r="S769" s="735"/>
      <c r="T769" s="737">
        <f t="shared" si="28"/>
        <v>0</v>
      </c>
    </row>
    <row r="770" spans="1:256" s="730" customFormat="1" ht="13.2">
      <c r="A770" s="167">
        <v>1</v>
      </c>
      <c r="B770" s="730" t="s">
        <v>141</v>
      </c>
      <c r="D770" s="730" t="s">
        <v>1039</v>
      </c>
      <c r="G770" s="731" t="s">
        <v>1040</v>
      </c>
      <c r="H770" s="718" t="s">
        <v>560</v>
      </c>
      <c r="I770" s="730" t="s">
        <v>686</v>
      </c>
      <c r="L770" s="720" t="s">
        <v>560</v>
      </c>
      <c r="O770" s="733">
        <v>1</v>
      </c>
      <c r="P770" s="734"/>
      <c r="Q770" s="735"/>
      <c r="R770" s="736">
        <f t="shared" si="27"/>
        <v>0</v>
      </c>
      <c r="S770" s="735">
        <v>4</v>
      </c>
      <c r="T770" s="737">
        <f t="shared" si="28"/>
        <v>4</v>
      </c>
    </row>
    <row r="771" spans="1:256" s="730" customFormat="1" ht="13.2">
      <c r="A771"/>
      <c r="D771" s="867" t="s">
        <v>1018</v>
      </c>
      <c r="G771" s="731"/>
      <c r="H771" s="718" t="s">
        <v>560</v>
      </c>
      <c r="L771" s="720" t="s">
        <v>560</v>
      </c>
      <c r="O771" s="733"/>
      <c r="P771" s="734"/>
      <c r="Q771" s="823"/>
      <c r="R771" s="736"/>
      <c r="S771" s="735"/>
      <c r="T771" s="737"/>
    </row>
    <row r="772" spans="1:256" s="730" customFormat="1" ht="13.2">
      <c r="A772" s="167">
        <v>1</v>
      </c>
      <c r="B772" s="730" t="s">
        <v>141</v>
      </c>
      <c r="D772" s="730" t="s">
        <v>1011</v>
      </c>
      <c r="E772" s="730" t="s">
        <v>1012</v>
      </c>
      <c r="F772" s="806" t="s">
        <v>1013</v>
      </c>
      <c r="G772" s="731" t="s">
        <v>1014</v>
      </c>
      <c r="H772" s="718" t="s">
        <v>560</v>
      </c>
      <c r="I772" s="730" t="s">
        <v>674</v>
      </c>
      <c r="K772" s="730" t="s">
        <v>1015</v>
      </c>
      <c r="L772" s="720" t="s">
        <v>560</v>
      </c>
      <c r="O772" s="733">
        <v>1</v>
      </c>
      <c r="P772" s="734"/>
      <c r="Q772" s="735">
        <v>10</v>
      </c>
      <c r="R772" s="736">
        <f>$A772*Q772</f>
        <v>10</v>
      </c>
      <c r="S772" s="735">
        <f>12/3</f>
        <v>4</v>
      </c>
      <c r="T772" s="737">
        <f>$A772*S772*$T$1</f>
        <v>4</v>
      </c>
    </row>
    <row r="773" spans="1:256" s="714" customFormat="1" ht="13.2">
      <c r="A773" s="167">
        <v>10</v>
      </c>
      <c r="B773" s="730" t="s">
        <v>141</v>
      </c>
      <c r="C773" s="730"/>
      <c r="D773" s="730" t="s">
        <v>1016</v>
      </c>
      <c r="E773" s="866"/>
      <c r="F773" s="730"/>
      <c r="G773" s="731" t="s">
        <v>1017</v>
      </c>
      <c r="H773" s="718" t="s">
        <v>560</v>
      </c>
      <c r="I773" s="730" t="s">
        <v>674</v>
      </c>
      <c r="J773" s="730"/>
      <c r="K773" s="730" t="s">
        <v>780</v>
      </c>
      <c r="L773" s="720" t="s">
        <v>560</v>
      </c>
      <c r="M773" s="730"/>
      <c r="N773" s="730"/>
      <c r="O773" s="733">
        <v>1</v>
      </c>
      <c r="P773" s="734">
        <v>34669</v>
      </c>
      <c r="Q773" s="735">
        <v>0.3</v>
      </c>
      <c r="R773" s="736">
        <f>$A773*Q773</f>
        <v>3</v>
      </c>
      <c r="S773" s="735"/>
      <c r="T773" s="737">
        <f>$A773*S773*$T$1</f>
        <v>0</v>
      </c>
      <c r="U773" s="730"/>
      <c r="V773" s="730"/>
      <c r="W773" s="730"/>
      <c r="X773" s="730"/>
      <c r="Y773" s="730"/>
      <c r="Z773" s="730"/>
      <c r="AA773" s="730"/>
      <c r="AB773" s="730"/>
      <c r="AC773" s="730"/>
      <c r="AD773" s="730"/>
      <c r="AE773" s="730"/>
      <c r="AF773" s="730"/>
      <c r="AG773" s="730"/>
      <c r="AH773" s="730"/>
      <c r="AI773" s="730"/>
      <c r="AJ773" s="730"/>
      <c r="AK773" s="730"/>
      <c r="AL773" s="730"/>
      <c r="AM773" s="730"/>
      <c r="AN773" s="730"/>
      <c r="AO773" s="730"/>
      <c r="AP773" s="730"/>
      <c r="AQ773" s="730"/>
      <c r="AR773" s="730"/>
      <c r="AS773" s="730"/>
      <c r="AT773" s="730"/>
      <c r="AU773" s="730"/>
      <c r="AV773" s="730"/>
      <c r="AW773" s="730"/>
      <c r="AX773" s="730"/>
      <c r="AY773" s="730"/>
      <c r="AZ773" s="730"/>
      <c r="BA773" s="730"/>
      <c r="BB773" s="730"/>
      <c r="BC773" s="730"/>
      <c r="BD773" s="730"/>
      <c r="BE773" s="730"/>
      <c r="BF773" s="730"/>
      <c r="BG773" s="730"/>
      <c r="BH773" s="730"/>
      <c r="BI773" s="730"/>
      <c r="BJ773" s="730"/>
      <c r="BK773" s="730"/>
      <c r="BL773" s="730"/>
      <c r="BM773" s="730"/>
      <c r="BN773" s="730"/>
      <c r="BO773" s="730"/>
      <c r="BP773" s="730"/>
      <c r="BQ773" s="730"/>
      <c r="BR773" s="730"/>
      <c r="BS773" s="730"/>
      <c r="BT773" s="730"/>
      <c r="BU773" s="730"/>
      <c r="BV773" s="730"/>
      <c r="BW773" s="730"/>
      <c r="BX773" s="730"/>
      <c r="BY773" s="730"/>
      <c r="BZ773" s="730"/>
      <c r="CA773" s="730"/>
      <c r="CB773" s="730"/>
      <c r="CC773" s="730"/>
      <c r="CD773" s="730"/>
      <c r="CE773" s="730"/>
      <c r="CF773" s="730"/>
      <c r="CG773" s="730"/>
      <c r="CH773" s="730"/>
      <c r="CI773" s="730"/>
      <c r="CJ773" s="730"/>
      <c r="CK773" s="730"/>
      <c r="CL773" s="730"/>
      <c r="CM773" s="730"/>
      <c r="CN773" s="730"/>
      <c r="CO773" s="730"/>
      <c r="CP773" s="730"/>
      <c r="CQ773" s="730"/>
      <c r="CR773" s="730"/>
      <c r="CS773" s="730"/>
      <c r="CT773" s="730"/>
      <c r="CU773" s="730"/>
      <c r="CV773" s="730"/>
      <c r="CW773" s="730"/>
      <c r="CX773" s="730"/>
      <c r="CY773" s="730"/>
      <c r="CZ773" s="730"/>
      <c r="DA773" s="730"/>
      <c r="DB773" s="730"/>
      <c r="DC773" s="730"/>
      <c r="DD773" s="730"/>
      <c r="DE773" s="730"/>
      <c r="DF773" s="730"/>
      <c r="DG773" s="730"/>
      <c r="DH773" s="730"/>
      <c r="DI773" s="730"/>
      <c r="DJ773" s="730"/>
      <c r="DK773" s="730"/>
      <c r="DL773" s="730"/>
      <c r="DM773" s="730"/>
      <c r="DN773" s="730"/>
      <c r="DO773" s="730"/>
      <c r="DP773" s="730"/>
      <c r="DQ773" s="730"/>
      <c r="DR773" s="730"/>
      <c r="DS773" s="730"/>
      <c r="DT773" s="730"/>
      <c r="DU773" s="730"/>
      <c r="DV773" s="730"/>
      <c r="DW773" s="730"/>
      <c r="DX773" s="730"/>
      <c r="DY773" s="730"/>
      <c r="DZ773" s="730"/>
      <c r="EA773" s="730"/>
      <c r="EB773" s="730"/>
      <c r="EC773" s="730"/>
      <c r="ED773" s="730"/>
      <c r="EE773" s="730"/>
      <c r="EF773" s="730"/>
      <c r="EG773" s="730"/>
      <c r="EH773" s="730"/>
      <c r="EI773" s="730"/>
      <c r="EJ773" s="730"/>
      <c r="EK773" s="730"/>
      <c r="EL773" s="730"/>
      <c r="EM773" s="730"/>
      <c r="EN773" s="730"/>
      <c r="EO773" s="730"/>
      <c r="EP773" s="730"/>
      <c r="EQ773" s="730"/>
      <c r="ER773" s="730"/>
      <c r="ES773" s="730"/>
      <c r="ET773" s="730"/>
      <c r="EU773" s="730"/>
      <c r="EV773" s="730"/>
      <c r="EW773" s="730"/>
      <c r="EX773" s="730"/>
      <c r="EY773" s="730"/>
      <c r="EZ773" s="730"/>
      <c r="FA773" s="730"/>
      <c r="FB773" s="730"/>
      <c r="FC773" s="730"/>
      <c r="FD773" s="730"/>
      <c r="FE773" s="730"/>
      <c r="FF773" s="730"/>
      <c r="FG773" s="730"/>
      <c r="FH773" s="730"/>
      <c r="FI773" s="730"/>
      <c r="FJ773" s="730"/>
      <c r="FK773" s="730"/>
      <c r="FL773" s="730"/>
      <c r="FM773" s="730"/>
      <c r="FN773" s="730"/>
      <c r="FO773" s="730"/>
      <c r="FP773" s="730"/>
      <c r="FQ773" s="730"/>
      <c r="FR773" s="730"/>
      <c r="FS773" s="730"/>
      <c r="FT773" s="730"/>
      <c r="FU773" s="730"/>
      <c r="FV773" s="730"/>
      <c r="FW773" s="730"/>
      <c r="FX773" s="730"/>
      <c r="FY773" s="730"/>
      <c r="FZ773" s="730"/>
      <c r="GA773" s="730"/>
      <c r="GB773" s="730"/>
      <c r="GC773" s="730"/>
      <c r="GD773" s="730"/>
      <c r="GE773" s="730"/>
      <c r="GF773" s="730"/>
      <c r="GG773" s="730"/>
      <c r="GH773" s="730"/>
      <c r="GI773" s="730"/>
      <c r="GJ773" s="730"/>
      <c r="GK773" s="730"/>
      <c r="GL773" s="730"/>
      <c r="GM773" s="730"/>
      <c r="GN773" s="730"/>
      <c r="GO773" s="730"/>
      <c r="GP773" s="730"/>
      <c r="GQ773" s="730"/>
      <c r="GR773" s="730"/>
      <c r="GS773" s="730"/>
      <c r="GT773" s="730"/>
      <c r="GU773" s="730"/>
      <c r="GV773" s="730"/>
      <c r="GW773" s="730"/>
      <c r="GX773" s="730"/>
      <c r="GY773" s="730"/>
      <c r="GZ773" s="730"/>
      <c r="HA773" s="730"/>
      <c r="HB773" s="730"/>
      <c r="HC773" s="730"/>
      <c r="HD773" s="730"/>
      <c r="HE773" s="730"/>
      <c r="HF773" s="730"/>
      <c r="HG773" s="730"/>
      <c r="HH773" s="730"/>
      <c r="HI773" s="730"/>
      <c r="HJ773" s="730"/>
      <c r="HK773" s="730"/>
      <c r="HL773" s="730"/>
      <c r="HM773" s="730"/>
      <c r="HN773" s="730"/>
      <c r="HO773" s="730"/>
      <c r="HP773" s="730"/>
      <c r="HQ773" s="730"/>
      <c r="HR773" s="730"/>
      <c r="HS773" s="730"/>
      <c r="HT773" s="730"/>
      <c r="HU773" s="730"/>
      <c r="HV773" s="730"/>
      <c r="HW773" s="730"/>
      <c r="HX773" s="730"/>
      <c r="HY773" s="730"/>
      <c r="HZ773" s="730"/>
      <c r="IA773" s="730"/>
      <c r="IB773" s="730"/>
      <c r="IC773" s="730"/>
      <c r="ID773" s="730"/>
      <c r="IE773" s="730"/>
      <c r="IF773" s="730"/>
      <c r="IG773" s="730"/>
      <c r="IH773" s="730"/>
      <c r="II773" s="730"/>
      <c r="IJ773" s="730"/>
      <c r="IK773" s="730"/>
      <c r="IL773" s="730"/>
      <c r="IM773" s="730"/>
      <c r="IN773" s="730"/>
      <c r="IO773" s="730"/>
      <c r="IP773" s="730"/>
      <c r="IQ773" s="730"/>
      <c r="IR773" s="730"/>
      <c r="IS773" s="730"/>
      <c r="IT773" s="730"/>
      <c r="IU773" s="730"/>
      <c r="IV773" s="730"/>
    </row>
    <row r="774" spans="1:256" s="730" customFormat="1" ht="12.6">
      <c r="A774" s="713"/>
      <c r="B774" s="714"/>
      <c r="C774" s="714"/>
      <c r="D774" s="867" t="s">
        <v>738</v>
      </c>
      <c r="E774" s="715"/>
      <c r="F774" s="716"/>
      <c r="G774" s="714"/>
      <c r="H774" s="678"/>
      <c r="I774" s="714"/>
      <c r="J774" s="714"/>
      <c r="K774" s="714"/>
      <c r="L774" s="709"/>
      <c r="M774" s="714"/>
      <c r="N774" s="721"/>
      <c r="O774" s="721"/>
      <c r="P774" s="723"/>
      <c r="Q774" s="724"/>
      <c r="R774" s="726"/>
      <c r="S774" s="724"/>
      <c r="T774" s="727"/>
      <c r="U774" s="714"/>
      <c r="V774" s="714"/>
      <c r="W774" s="714"/>
      <c r="X774" s="714"/>
      <c r="Y774" s="714"/>
      <c r="Z774" s="714"/>
      <c r="AA774" s="714"/>
      <c r="AB774" s="714"/>
      <c r="AC774" s="714"/>
      <c r="AD774" s="714"/>
      <c r="AE774" s="714"/>
      <c r="AF774" s="714"/>
      <c r="AG774" s="714"/>
      <c r="AH774" s="714"/>
      <c r="AI774" s="714"/>
      <c r="AJ774" s="714"/>
      <c r="AK774" s="714"/>
      <c r="AL774" s="714"/>
      <c r="AM774" s="714"/>
      <c r="AN774" s="714"/>
      <c r="AO774" s="714"/>
      <c r="AP774" s="714"/>
      <c r="AQ774" s="714"/>
      <c r="AR774" s="714"/>
      <c r="AS774" s="714"/>
      <c r="AT774" s="714"/>
      <c r="AU774" s="714"/>
      <c r="AV774" s="714"/>
      <c r="AW774" s="714"/>
      <c r="AX774" s="714"/>
      <c r="AY774" s="714"/>
      <c r="AZ774" s="714"/>
      <c r="BA774" s="714"/>
      <c r="BB774" s="714"/>
      <c r="BC774" s="714"/>
      <c r="BD774" s="714"/>
      <c r="BE774" s="714"/>
      <c r="BF774" s="714"/>
      <c r="BG774" s="714"/>
      <c r="BH774" s="714"/>
      <c r="BI774" s="714"/>
      <c r="BJ774" s="714"/>
      <c r="BK774" s="714"/>
      <c r="BL774" s="714"/>
      <c r="BM774" s="714"/>
      <c r="BN774" s="714"/>
      <c r="BO774" s="714"/>
      <c r="BP774" s="714"/>
      <c r="BQ774" s="714"/>
      <c r="BR774" s="714"/>
      <c r="BS774" s="714"/>
      <c r="BT774" s="714"/>
      <c r="BU774" s="714"/>
      <c r="BV774" s="714"/>
      <c r="BW774" s="714"/>
      <c r="BX774" s="714"/>
      <c r="BY774" s="714"/>
      <c r="BZ774" s="714"/>
      <c r="CA774" s="714"/>
      <c r="CB774" s="714"/>
      <c r="CC774" s="714"/>
      <c r="CD774" s="714"/>
      <c r="CE774" s="714"/>
      <c r="CF774" s="714"/>
      <c r="CG774" s="714"/>
      <c r="CH774" s="714"/>
      <c r="CI774" s="714"/>
      <c r="CJ774" s="714"/>
      <c r="CK774" s="714"/>
      <c r="CL774" s="714"/>
      <c r="CM774" s="714"/>
      <c r="CN774" s="714"/>
      <c r="CO774" s="714"/>
      <c r="CP774" s="714"/>
      <c r="CQ774" s="714"/>
      <c r="CR774" s="714"/>
      <c r="CS774" s="714"/>
      <c r="CT774" s="714"/>
      <c r="CU774" s="714"/>
      <c r="CV774" s="714"/>
      <c r="CW774" s="714"/>
      <c r="CX774" s="714"/>
      <c r="CY774" s="714"/>
      <c r="CZ774" s="714"/>
      <c r="DA774" s="714"/>
      <c r="DB774" s="714"/>
      <c r="DC774" s="714"/>
      <c r="DD774" s="714"/>
      <c r="DE774" s="714"/>
      <c r="DF774" s="714"/>
      <c r="DG774" s="714"/>
      <c r="DH774" s="714"/>
      <c r="DI774" s="714"/>
      <c r="DJ774" s="714"/>
      <c r="DK774" s="714"/>
      <c r="DL774" s="714"/>
      <c r="DM774" s="714"/>
      <c r="DN774" s="714"/>
      <c r="DO774" s="714"/>
      <c r="DP774" s="714"/>
      <c r="DQ774" s="714"/>
      <c r="DR774" s="714"/>
      <c r="DS774" s="714"/>
      <c r="DT774" s="714"/>
      <c r="DU774" s="714"/>
      <c r="DV774" s="714"/>
      <c r="DW774" s="714"/>
      <c r="DX774" s="714"/>
      <c r="DY774" s="714"/>
      <c r="DZ774" s="714"/>
      <c r="EA774" s="714"/>
      <c r="EB774" s="714"/>
      <c r="EC774" s="714"/>
      <c r="ED774" s="714"/>
      <c r="EE774" s="714"/>
      <c r="EF774" s="714"/>
      <c r="EG774" s="714"/>
      <c r="EH774" s="714"/>
      <c r="EI774" s="714"/>
      <c r="EJ774" s="714"/>
      <c r="EK774" s="714"/>
      <c r="EL774" s="714"/>
      <c r="EM774" s="714"/>
      <c r="EN774" s="714"/>
      <c r="EO774" s="714"/>
      <c r="EP774" s="714"/>
      <c r="EQ774" s="714"/>
      <c r="ER774" s="714"/>
      <c r="ES774" s="714"/>
      <c r="ET774" s="714"/>
      <c r="EU774" s="714"/>
      <c r="EV774" s="714"/>
      <c r="EW774" s="714"/>
      <c r="EX774" s="714"/>
      <c r="EY774" s="714"/>
      <c r="EZ774" s="714"/>
      <c r="FA774" s="714"/>
      <c r="FB774" s="714"/>
      <c r="FC774" s="714"/>
      <c r="FD774" s="714"/>
      <c r="FE774" s="714"/>
      <c r="FF774" s="714"/>
      <c r="FG774" s="714"/>
      <c r="FH774" s="714"/>
      <c r="FI774" s="714"/>
      <c r="FJ774" s="714"/>
      <c r="FK774" s="714"/>
      <c r="FL774" s="714"/>
      <c r="FM774" s="714"/>
      <c r="FN774" s="714"/>
      <c r="FO774" s="714"/>
      <c r="FP774" s="714"/>
      <c r="FQ774" s="714"/>
      <c r="FR774" s="714"/>
      <c r="FS774" s="714"/>
      <c r="FT774" s="714"/>
      <c r="FU774" s="714"/>
      <c r="FV774" s="714"/>
      <c r="FW774" s="714"/>
      <c r="FX774" s="714"/>
      <c r="FY774" s="714"/>
      <c r="FZ774" s="714"/>
      <c r="GA774" s="714"/>
      <c r="GB774" s="714"/>
      <c r="GC774" s="714"/>
      <c r="GD774" s="714"/>
      <c r="GE774" s="714"/>
      <c r="GF774" s="714"/>
      <c r="GG774" s="714"/>
      <c r="GH774" s="714"/>
      <c r="GI774" s="714"/>
      <c r="GJ774" s="714"/>
      <c r="GK774" s="714"/>
      <c r="GL774" s="714"/>
      <c r="GM774" s="714"/>
      <c r="GN774" s="714"/>
      <c r="GO774" s="714"/>
      <c r="GP774" s="714"/>
      <c r="GQ774" s="714"/>
      <c r="GR774" s="714"/>
      <c r="GS774" s="714"/>
      <c r="GT774" s="714"/>
      <c r="GU774" s="714"/>
      <c r="GV774" s="714"/>
      <c r="GW774" s="714"/>
      <c r="GX774" s="714"/>
      <c r="GY774" s="714"/>
      <c r="GZ774" s="714"/>
      <c r="HA774" s="714"/>
      <c r="HB774" s="714"/>
      <c r="HC774" s="714"/>
      <c r="HD774" s="714"/>
      <c r="HE774" s="714"/>
      <c r="HF774" s="714"/>
      <c r="HG774" s="714"/>
      <c r="HH774" s="714"/>
      <c r="HI774" s="714"/>
      <c r="HJ774" s="714"/>
      <c r="HK774" s="714"/>
      <c r="HL774" s="714"/>
      <c r="HM774" s="714"/>
      <c r="HN774" s="714"/>
      <c r="HO774" s="714"/>
      <c r="HP774" s="714"/>
      <c r="HQ774" s="714"/>
      <c r="HR774" s="714"/>
      <c r="HS774" s="714"/>
      <c r="HT774" s="714"/>
      <c r="HU774" s="714"/>
      <c r="HV774" s="714"/>
      <c r="HW774" s="714"/>
      <c r="HX774" s="714"/>
      <c r="HY774" s="714"/>
      <c r="HZ774" s="714"/>
      <c r="IA774" s="714"/>
      <c r="IB774" s="714"/>
      <c r="IC774" s="714"/>
      <c r="ID774" s="714"/>
      <c r="IE774" s="714"/>
      <c r="IF774" s="714"/>
      <c r="IG774" s="714"/>
      <c r="IH774" s="714"/>
      <c r="II774" s="714"/>
      <c r="IJ774" s="714"/>
      <c r="IK774" s="714"/>
      <c r="IL774" s="714"/>
      <c r="IM774" s="714"/>
      <c r="IN774" s="714"/>
      <c r="IO774" s="714"/>
      <c r="IP774" s="714"/>
      <c r="IQ774" s="714"/>
      <c r="IR774" s="714"/>
      <c r="IS774" s="714"/>
      <c r="IT774" s="714"/>
      <c r="IU774" s="714"/>
      <c r="IV774" s="714"/>
    </row>
    <row r="775" spans="1:256" s="730" customFormat="1" ht="13.2">
      <c r="A775">
        <v>1</v>
      </c>
      <c r="B775" s="730" t="s">
        <v>141</v>
      </c>
      <c r="D775" s="730" t="s">
        <v>761</v>
      </c>
      <c r="G775" s="731" t="s">
        <v>737</v>
      </c>
      <c r="H775" s="718" t="s">
        <v>560</v>
      </c>
      <c r="I775" s="730" t="s">
        <v>674</v>
      </c>
      <c r="L775" s="720" t="s">
        <v>560</v>
      </c>
      <c r="O775" s="733">
        <v>2</v>
      </c>
      <c r="P775" s="734">
        <v>38443</v>
      </c>
      <c r="Q775" s="735">
        <v>700</v>
      </c>
      <c r="R775" s="736">
        <f>$A775*Q775</f>
        <v>700</v>
      </c>
      <c r="S775" s="735">
        <v>4</v>
      </c>
      <c r="T775" s="737">
        <f>$A775*S775*$T$1</f>
        <v>4</v>
      </c>
    </row>
    <row r="776" spans="1:256" s="602" customFormat="1" ht="13.2">
      <c r="A776">
        <v>1</v>
      </c>
      <c r="B776" s="730" t="s">
        <v>141</v>
      </c>
      <c r="C776" s="730"/>
      <c r="D776" s="730" t="s">
        <v>676</v>
      </c>
      <c r="E776" s="730"/>
      <c r="F776" s="730"/>
      <c r="G776" s="731" t="s">
        <v>677</v>
      </c>
      <c r="H776" s="718" t="s">
        <v>560</v>
      </c>
      <c r="I776" s="730" t="s">
        <v>674</v>
      </c>
      <c r="J776" s="730"/>
      <c r="K776" s="730" t="s">
        <v>678</v>
      </c>
      <c r="L776" s="720" t="s">
        <v>560</v>
      </c>
      <c r="M776" s="730"/>
      <c r="N776" s="730"/>
      <c r="O776" s="733">
        <v>1</v>
      </c>
      <c r="P776" s="734"/>
      <c r="Q776" s="735">
        <v>50</v>
      </c>
      <c r="R776" s="736">
        <f>$A776*Q776</f>
        <v>50</v>
      </c>
      <c r="S776" s="735"/>
      <c r="T776" s="737">
        <f>$A776*S776*$T$1</f>
        <v>0</v>
      </c>
      <c r="U776" s="730"/>
      <c r="V776" s="730"/>
      <c r="W776" s="730"/>
      <c r="X776" s="730"/>
      <c r="Y776" s="730"/>
      <c r="Z776" s="730"/>
      <c r="AA776" s="730"/>
      <c r="AB776" s="730"/>
      <c r="AC776" s="730"/>
      <c r="AD776" s="730"/>
      <c r="AE776" s="730"/>
      <c r="AF776" s="730"/>
      <c r="AG776" s="730"/>
      <c r="AH776" s="730"/>
      <c r="AI776" s="730"/>
      <c r="AJ776" s="730"/>
      <c r="AK776" s="730"/>
      <c r="AL776" s="730"/>
      <c r="AM776" s="730"/>
      <c r="AN776" s="730"/>
      <c r="AO776" s="730"/>
      <c r="AP776" s="730"/>
      <c r="AQ776" s="730"/>
      <c r="AR776" s="730"/>
      <c r="AS776" s="730"/>
      <c r="AT776" s="730"/>
      <c r="AU776" s="730"/>
      <c r="AV776" s="730"/>
      <c r="AW776" s="730"/>
      <c r="AX776" s="730"/>
      <c r="AY776" s="730"/>
      <c r="AZ776" s="730"/>
      <c r="BA776" s="730"/>
      <c r="BB776" s="730"/>
      <c r="BC776" s="730"/>
      <c r="BD776" s="730"/>
      <c r="BE776" s="730"/>
      <c r="BF776" s="730"/>
      <c r="BG776" s="730"/>
      <c r="BH776" s="730"/>
      <c r="BI776" s="730"/>
      <c r="BJ776" s="730"/>
      <c r="BK776" s="730"/>
      <c r="BL776" s="730"/>
      <c r="BM776" s="730"/>
      <c r="BN776" s="730"/>
      <c r="BO776" s="730"/>
      <c r="BP776" s="730"/>
      <c r="BQ776" s="730"/>
      <c r="BR776" s="730"/>
      <c r="BS776" s="730"/>
      <c r="BT776" s="730"/>
      <c r="BU776" s="730"/>
      <c r="BV776" s="730"/>
      <c r="BW776" s="730"/>
      <c r="BX776" s="730"/>
      <c r="BY776" s="730"/>
      <c r="BZ776" s="730"/>
      <c r="CA776" s="730"/>
      <c r="CB776" s="730"/>
      <c r="CC776" s="730"/>
      <c r="CD776" s="730"/>
      <c r="CE776" s="730"/>
      <c r="CF776" s="730"/>
      <c r="CG776" s="730"/>
      <c r="CH776" s="730"/>
      <c r="CI776" s="730"/>
      <c r="CJ776" s="730"/>
      <c r="CK776" s="730"/>
      <c r="CL776" s="730"/>
      <c r="CM776" s="730"/>
      <c r="CN776" s="730"/>
      <c r="CO776" s="730"/>
      <c r="CP776" s="730"/>
      <c r="CQ776" s="730"/>
      <c r="CR776" s="730"/>
      <c r="CS776" s="730"/>
      <c r="CT776" s="730"/>
      <c r="CU776" s="730"/>
      <c r="CV776" s="730"/>
      <c r="CW776" s="730"/>
      <c r="CX776" s="730"/>
      <c r="CY776" s="730"/>
      <c r="CZ776" s="730"/>
      <c r="DA776" s="730"/>
      <c r="DB776" s="730"/>
      <c r="DC776" s="730"/>
      <c r="DD776" s="730"/>
      <c r="DE776" s="730"/>
      <c r="DF776" s="730"/>
      <c r="DG776" s="730"/>
      <c r="DH776" s="730"/>
      <c r="DI776" s="730"/>
      <c r="DJ776" s="730"/>
      <c r="DK776" s="730"/>
      <c r="DL776" s="730"/>
      <c r="DM776" s="730"/>
      <c r="DN776" s="730"/>
      <c r="DO776" s="730"/>
      <c r="DP776" s="730"/>
      <c r="DQ776" s="730"/>
      <c r="DR776" s="730"/>
      <c r="DS776" s="730"/>
      <c r="DT776" s="730"/>
      <c r="DU776" s="730"/>
      <c r="DV776" s="730"/>
      <c r="DW776" s="730"/>
      <c r="DX776" s="730"/>
      <c r="DY776" s="730"/>
      <c r="DZ776" s="730"/>
      <c r="EA776" s="730"/>
      <c r="EB776" s="730"/>
      <c r="EC776" s="730"/>
      <c r="ED776" s="730"/>
      <c r="EE776" s="730"/>
      <c r="EF776" s="730"/>
      <c r="EG776" s="730"/>
      <c r="EH776" s="730"/>
      <c r="EI776" s="730"/>
      <c r="EJ776" s="730"/>
      <c r="EK776" s="730"/>
      <c r="EL776" s="730"/>
      <c r="EM776" s="730"/>
      <c r="EN776" s="730"/>
      <c r="EO776" s="730"/>
      <c r="EP776" s="730"/>
      <c r="EQ776" s="730"/>
      <c r="ER776" s="730"/>
      <c r="ES776" s="730"/>
      <c r="ET776" s="730"/>
      <c r="EU776" s="730"/>
      <c r="EV776" s="730"/>
      <c r="EW776" s="730"/>
      <c r="EX776" s="730"/>
      <c r="EY776" s="730"/>
      <c r="EZ776" s="730"/>
      <c r="FA776" s="730"/>
      <c r="FB776" s="730"/>
      <c r="FC776" s="730"/>
      <c r="FD776" s="730"/>
      <c r="FE776" s="730"/>
      <c r="FF776" s="730"/>
      <c r="FG776" s="730"/>
      <c r="FH776" s="730"/>
      <c r="FI776" s="730"/>
      <c r="FJ776" s="730"/>
      <c r="FK776" s="730"/>
      <c r="FL776" s="730"/>
      <c r="FM776" s="730"/>
      <c r="FN776" s="730"/>
      <c r="FO776" s="730"/>
      <c r="FP776" s="730"/>
      <c r="FQ776" s="730"/>
      <c r="FR776" s="730"/>
      <c r="FS776" s="730"/>
      <c r="FT776" s="730"/>
      <c r="FU776" s="730"/>
      <c r="FV776" s="730"/>
      <c r="FW776" s="730"/>
      <c r="FX776" s="730"/>
      <c r="FY776" s="730"/>
      <c r="FZ776" s="730"/>
      <c r="GA776" s="730"/>
      <c r="GB776" s="730"/>
      <c r="GC776" s="730"/>
      <c r="GD776" s="730"/>
      <c r="GE776" s="730"/>
      <c r="GF776" s="730"/>
      <c r="GG776" s="730"/>
      <c r="GH776" s="730"/>
      <c r="GI776" s="730"/>
      <c r="GJ776" s="730"/>
      <c r="GK776" s="730"/>
      <c r="GL776" s="730"/>
      <c r="GM776" s="730"/>
      <c r="GN776" s="730"/>
      <c r="GO776" s="730"/>
      <c r="GP776" s="730"/>
      <c r="GQ776" s="730"/>
      <c r="GR776" s="730"/>
      <c r="GS776" s="730"/>
      <c r="GT776" s="730"/>
      <c r="GU776" s="730"/>
      <c r="GV776" s="730"/>
      <c r="GW776" s="730"/>
      <c r="GX776" s="730"/>
      <c r="GY776" s="730"/>
      <c r="GZ776" s="730"/>
      <c r="HA776" s="730"/>
      <c r="HB776" s="730"/>
      <c r="HC776" s="730"/>
      <c r="HD776" s="730"/>
      <c r="HE776" s="730"/>
      <c r="HF776" s="730"/>
      <c r="HG776" s="730"/>
      <c r="HH776" s="730"/>
      <c r="HI776" s="730"/>
      <c r="HJ776" s="730"/>
      <c r="HK776" s="730"/>
      <c r="HL776" s="730"/>
      <c r="HM776" s="730"/>
      <c r="HN776" s="730"/>
      <c r="HO776" s="730"/>
      <c r="HP776" s="730"/>
      <c r="HQ776" s="730"/>
      <c r="HR776" s="730"/>
      <c r="HS776" s="730"/>
      <c r="HT776" s="730"/>
      <c r="HU776" s="730"/>
      <c r="HV776" s="730"/>
      <c r="HW776" s="730"/>
      <c r="HX776" s="730"/>
      <c r="HY776" s="730"/>
      <c r="HZ776" s="730"/>
      <c r="IA776" s="730"/>
      <c r="IB776" s="730"/>
      <c r="IC776" s="730"/>
      <c r="ID776" s="730"/>
      <c r="IE776" s="730"/>
      <c r="IF776" s="730"/>
      <c r="IG776" s="730"/>
      <c r="IH776" s="730"/>
      <c r="II776" s="730"/>
      <c r="IJ776" s="730"/>
      <c r="IK776" s="730"/>
      <c r="IL776" s="730"/>
      <c r="IM776" s="730"/>
      <c r="IN776" s="730"/>
      <c r="IO776" s="730"/>
      <c r="IP776" s="730"/>
      <c r="IQ776" s="730"/>
      <c r="IR776" s="730"/>
      <c r="IS776" s="730"/>
      <c r="IT776" s="730"/>
      <c r="IU776" s="730"/>
      <c r="IV776" s="730"/>
    </row>
    <row r="777" spans="1:256" s="730" customFormat="1" ht="12.6">
      <c r="A777" s="63"/>
      <c r="B777" s="663"/>
      <c r="C777" s="663"/>
      <c r="D777" s="867" t="s">
        <v>1019</v>
      </c>
      <c r="E777" s="663"/>
      <c r="F777" s="664"/>
      <c r="G777" s="663"/>
      <c r="H777" s="663"/>
      <c r="I777" s="601"/>
      <c r="J777" s="663"/>
      <c r="K777" s="663"/>
      <c r="L777" s="709"/>
      <c r="M777" s="663"/>
      <c r="N777" s="663"/>
      <c r="O777" s="663"/>
      <c r="P777" s="663"/>
      <c r="Q777" s="601"/>
      <c r="R777" s="666"/>
      <c r="S777" s="601"/>
      <c r="T777" s="681"/>
      <c r="U777" s="602"/>
      <c r="V777" s="602"/>
      <c r="W777" s="602"/>
      <c r="X777" s="602"/>
      <c r="Y777" s="602"/>
      <c r="Z777" s="602"/>
      <c r="AA777" s="602"/>
      <c r="AB777" s="602"/>
      <c r="AC777" s="602"/>
      <c r="AD777" s="602"/>
      <c r="AE777" s="602"/>
      <c r="AF777" s="602"/>
      <c r="AG777" s="602"/>
      <c r="AH777" s="602"/>
      <c r="AI777" s="602"/>
      <c r="AJ777" s="602"/>
      <c r="AK777" s="602"/>
      <c r="AL777" s="602"/>
      <c r="AM777" s="602"/>
      <c r="AN777" s="602"/>
      <c r="AO777" s="602"/>
      <c r="AP777" s="602"/>
      <c r="AQ777" s="602"/>
      <c r="AR777" s="602"/>
      <c r="AS777" s="602"/>
      <c r="AT777" s="602"/>
      <c r="AU777" s="602"/>
      <c r="AV777" s="602"/>
      <c r="AW777" s="602"/>
      <c r="AX777" s="602"/>
      <c r="AY777" s="602"/>
      <c r="AZ777" s="602"/>
      <c r="BA777" s="602"/>
      <c r="BB777" s="602"/>
      <c r="BC777" s="602"/>
      <c r="BD777" s="602"/>
      <c r="BE777" s="602"/>
      <c r="BF777" s="602"/>
      <c r="BG777" s="602"/>
      <c r="BH777" s="602"/>
      <c r="BI777" s="602"/>
      <c r="BJ777" s="602"/>
      <c r="BK777" s="602"/>
      <c r="BL777" s="602"/>
      <c r="BM777" s="602"/>
      <c r="BN777" s="602"/>
      <c r="BO777" s="602"/>
      <c r="BP777" s="602"/>
      <c r="BQ777" s="602"/>
      <c r="BR777" s="602"/>
      <c r="BS777" s="602"/>
      <c r="BT777" s="602"/>
      <c r="BU777" s="602"/>
      <c r="BV777" s="602"/>
      <c r="BW777" s="602"/>
      <c r="BX777" s="602"/>
      <c r="BY777" s="602"/>
      <c r="BZ777" s="602"/>
      <c r="CA777" s="602"/>
      <c r="CB777" s="602"/>
      <c r="CC777" s="602"/>
      <c r="CD777" s="602"/>
      <c r="CE777" s="602"/>
      <c r="CF777" s="602"/>
      <c r="CG777" s="602"/>
      <c r="CH777" s="602"/>
      <c r="CI777" s="602"/>
      <c r="CJ777" s="602"/>
      <c r="CK777" s="602"/>
      <c r="CL777" s="602"/>
      <c r="CM777" s="602"/>
      <c r="CN777" s="602"/>
      <c r="CO777" s="602"/>
      <c r="CP777" s="602"/>
      <c r="CQ777" s="602"/>
      <c r="CR777" s="602"/>
      <c r="CS777" s="602"/>
      <c r="CT777" s="602"/>
      <c r="CU777" s="602"/>
      <c r="CV777" s="602"/>
      <c r="CW777" s="602"/>
      <c r="CX777" s="602"/>
      <c r="CY777" s="602"/>
      <c r="CZ777" s="602"/>
      <c r="DA777" s="602"/>
      <c r="DB777" s="602"/>
      <c r="DC777" s="602"/>
      <c r="DD777" s="602"/>
      <c r="DE777" s="602"/>
      <c r="DF777" s="602"/>
      <c r="DG777" s="602"/>
      <c r="DH777" s="602"/>
      <c r="DI777" s="602"/>
      <c r="DJ777" s="602"/>
      <c r="DK777" s="602"/>
      <c r="DL777" s="602"/>
      <c r="DM777" s="602"/>
      <c r="DN777" s="602"/>
      <c r="DO777" s="602"/>
      <c r="DP777" s="602"/>
      <c r="DQ777" s="602"/>
      <c r="DR777" s="602"/>
      <c r="DS777" s="602"/>
      <c r="DT777" s="602"/>
      <c r="DU777" s="602"/>
      <c r="DV777" s="602"/>
      <c r="DW777" s="602"/>
      <c r="DX777" s="602"/>
      <c r="DY777" s="602"/>
      <c r="DZ777" s="602"/>
      <c r="EA777" s="602"/>
      <c r="EB777" s="602"/>
      <c r="EC777" s="602"/>
      <c r="ED777" s="602"/>
      <c r="EE777" s="602"/>
      <c r="EF777" s="602"/>
      <c r="EG777" s="602"/>
      <c r="EH777" s="602"/>
      <c r="EI777" s="602"/>
      <c r="EJ777" s="602"/>
      <c r="EK777" s="602"/>
      <c r="EL777" s="602"/>
      <c r="EM777" s="602"/>
      <c r="EN777" s="602"/>
      <c r="EO777" s="602"/>
      <c r="EP777" s="602"/>
      <c r="EQ777" s="602"/>
      <c r="ER777" s="602"/>
      <c r="ES777" s="602"/>
      <c r="ET777" s="602"/>
      <c r="EU777" s="602"/>
      <c r="EV777" s="602"/>
      <c r="EW777" s="602"/>
      <c r="EX777" s="602"/>
      <c r="EY777" s="602"/>
      <c r="EZ777" s="602"/>
      <c r="FA777" s="602"/>
      <c r="FB777" s="602"/>
      <c r="FC777" s="602"/>
      <c r="FD777" s="602"/>
      <c r="FE777" s="602"/>
      <c r="FF777" s="602"/>
      <c r="FG777" s="602"/>
      <c r="FH777" s="602"/>
      <c r="FI777" s="602"/>
      <c r="FJ777" s="602"/>
      <c r="FK777" s="602"/>
      <c r="FL777" s="602"/>
      <c r="FM777" s="602"/>
      <c r="FN777" s="602"/>
      <c r="FO777" s="602"/>
      <c r="FP777" s="602"/>
      <c r="FQ777" s="602"/>
      <c r="FR777" s="602"/>
      <c r="FS777" s="602"/>
      <c r="FT777" s="602"/>
      <c r="FU777" s="602"/>
      <c r="FV777" s="602"/>
      <c r="FW777" s="602"/>
      <c r="FX777" s="602"/>
      <c r="FY777" s="602"/>
      <c r="FZ777" s="602"/>
      <c r="GA777" s="602"/>
      <c r="GB777" s="602"/>
      <c r="GC777" s="602"/>
      <c r="GD777" s="602"/>
      <c r="GE777" s="602"/>
      <c r="GF777" s="602"/>
      <c r="GG777" s="602"/>
      <c r="GH777" s="602"/>
      <c r="GI777" s="602"/>
      <c r="GJ777" s="602"/>
      <c r="GK777" s="602"/>
      <c r="GL777" s="602"/>
      <c r="GM777" s="602"/>
      <c r="GN777" s="602"/>
      <c r="GO777" s="602"/>
      <c r="GP777" s="602"/>
      <c r="GQ777" s="602"/>
      <c r="GR777" s="602"/>
      <c r="GS777" s="602"/>
      <c r="GT777" s="602"/>
      <c r="GU777" s="602"/>
      <c r="GV777" s="602"/>
      <c r="GW777" s="602"/>
      <c r="GX777" s="602"/>
      <c r="GY777" s="602"/>
      <c r="GZ777" s="602"/>
      <c r="HA777" s="602"/>
      <c r="HB777" s="602"/>
      <c r="HC777" s="602"/>
      <c r="HD777" s="602"/>
      <c r="HE777" s="602"/>
      <c r="HF777" s="602"/>
      <c r="HG777" s="602"/>
      <c r="HH777" s="602"/>
      <c r="HI777" s="602"/>
      <c r="HJ777" s="602"/>
      <c r="HK777" s="602"/>
      <c r="HL777" s="602"/>
      <c r="HM777" s="602"/>
      <c r="HN777" s="602"/>
      <c r="HO777" s="602"/>
      <c r="HP777" s="602"/>
      <c r="HQ777" s="602"/>
      <c r="HR777" s="602"/>
      <c r="HS777" s="602"/>
      <c r="HT777" s="602"/>
      <c r="HU777" s="602"/>
      <c r="HV777" s="602"/>
      <c r="HW777" s="602"/>
      <c r="HX777" s="602"/>
      <c r="HY777" s="602"/>
      <c r="HZ777" s="602"/>
      <c r="IA777" s="602"/>
      <c r="IB777" s="602"/>
      <c r="IC777" s="602"/>
      <c r="ID777" s="602"/>
      <c r="IE777" s="602"/>
      <c r="IF777" s="602"/>
      <c r="IG777" s="602"/>
      <c r="IH777" s="602"/>
      <c r="II777" s="602"/>
      <c r="IJ777" s="602"/>
      <c r="IK777" s="602"/>
      <c r="IL777" s="602"/>
      <c r="IM777" s="602"/>
      <c r="IN777" s="602"/>
      <c r="IO777" s="602"/>
      <c r="IP777" s="602"/>
      <c r="IQ777" s="602"/>
      <c r="IR777" s="602"/>
      <c r="IS777" s="602"/>
      <c r="IT777" s="602"/>
      <c r="IU777" s="602"/>
      <c r="IV777" s="602"/>
    </row>
    <row r="778" spans="1:256" s="730" customFormat="1" ht="13.2">
      <c r="A778">
        <f>2*3</f>
        <v>6</v>
      </c>
      <c r="B778" s="730" t="s">
        <v>326</v>
      </c>
      <c r="D778" s="730" t="s">
        <v>814</v>
      </c>
      <c r="G778" s="731" t="s">
        <v>812</v>
      </c>
      <c r="H778" s="718" t="s">
        <v>560</v>
      </c>
      <c r="I778" s="730" t="s">
        <v>561</v>
      </c>
      <c r="J778" s="730" t="s">
        <v>813</v>
      </c>
      <c r="L778" s="720" t="s">
        <v>560</v>
      </c>
      <c r="O778" s="733">
        <v>2</v>
      </c>
      <c r="P778" s="734">
        <v>40767</v>
      </c>
      <c r="Q778" s="735"/>
      <c r="R778" s="736">
        <f t="shared" ref="R778:R785" si="29">$A778*Q778</f>
        <v>0</v>
      </c>
      <c r="S778" s="735">
        <v>0.22</v>
      </c>
      <c r="T778" s="737">
        <f t="shared" ref="T778:T785" si="30">$A778*S778*$T$1</f>
        <v>1.32</v>
      </c>
    </row>
    <row r="779" spans="1:256" s="730" customFormat="1" ht="13.2">
      <c r="A779" s="167">
        <v>1</v>
      </c>
      <c r="B779" s="730" t="s">
        <v>141</v>
      </c>
      <c r="D779" s="730" t="s">
        <v>744</v>
      </c>
      <c r="F779" s="730" t="s">
        <v>1023</v>
      </c>
      <c r="G779" s="731" t="s">
        <v>745</v>
      </c>
      <c r="H779" s="718" t="s">
        <v>560</v>
      </c>
      <c r="I779" s="730" t="s">
        <v>686</v>
      </c>
      <c r="L779" s="720" t="s">
        <v>560</v>
      </c>
      <c r="O779" s="733">
        <v>2</v>
      </c>
      <c r="P779" s="734"/>
      <c r="Q779" s="735"/>
      <c r="R779" s="736">
        <f t="shared" si="29"/>
        <v>0</v>
      </c>
      <c r="S779" s="735">
        <v>2</v>
      </c>
      <c r="T779" s="737">
        <f t="shared" si="30"/>
        <v>2</v>
      </c>
    </row>
    <row r="780" spans="1:256" s="730" customFormat="1" ht="12">
      <c r="A780" s="63">
        <v>15</v>
      </c>
      <c r="B780" s="730" t="s">
        <v>141</v>
      </c>
      <c r="D780" s="730" t="s">
        <v>815</v>
      </c>
      <c r="G780" s="731" t="s">
        <v>816</v>
      </c>
      <c r="H780" s="718" t="s">
        <v>560</v>
      </c>
      <c r="I780" s="730" t="s">
        <v>674</v>
      </c>
      <c r="K780" s="730" t="s">
        <v>817</v>
      </c>
      <c r="L780" s="720" t="s">
        <v>560</v>
      </c>
      <c r="O780" s="733">
        <v>1</v>
      </c>
      <c r="P780" s="734">
        <v>34669</v>
      </c>
      <c r="Q780" s="735">
        <v>0.05</v>
      </c>
      <c r="R780" s="736">
        <f t="shared" si="29"/>
        <v>0.75</v>
      </c>
      <c r="S780" s="735"/>
      <c r="T780" s="737">
        <f t="shared" si="30"/>
        <v>0</v>
      </c>
    </row>
    <row r="781" spans="1:256" s="730" customFormat="1" ht="13.2">
      <c r="A781">
        <v>4</v>
      </c>
      <c r="B781" s="730" t="s">
        <v>141</v>
      </c>
      <c r="D781" s="730" t="s">
        <v>818</v>
      </c>
      <c r="G781" s="731" t="s">
        <v>819</v>
      </c>
      <c r="H781" s="718" t="s">
        <v>560</v>
      </c>
      <c r="I781" s="730" t="s">
        <v>741</v>
      </c>
      <c r="L781" s="720" t="s">
        <v>560</v>
      </c>
      <c r="O781" s="733">
        <v>2</v>
      </c>
      <c r="P781" s="734">
        <v>35431</v>
      </c>
      <c r="Q781" s="735">
        <v>24.53</v>
      </c>
      <c r="R781" s="736">
        <f t="shared" si="29"/>
        <v>98.12</v>
      </c>
      <c r="S781" s="735">
        <v>0.70000000000000007</v>
      </c>
      <c r="T781" s="737">
        <f t="shared" si="30"/>
        <v>2.8000000000000003</v>
      </c>
    </row>
    <row r="782" spans="1:256" s="730" customFormat="1" ht="13.2">
      <c r="A782">
        <v>4</v>
      </c>
      <c r="B782" s="730" t="s">
        <v>326</v>
      </c>
      <c r="D782" s="730" t="s">
        <v>703</v>
      </c>
      <c r="G782" s="731" t="s">
        <v>704</v>
      </c>
      <c r="H782" s="718" t="s">
        <v>560</v>
      </c>
      <c r="I782" s="730" t="s">
        <v>674</v>
      </c>
      <c r="L782" s="720" t="s">
        <v>560</v>
      </c>
      <c r="O782" s="733">
        <v>2</v>
      </c>
      <c r="P782" s="734">
        <v>38148</v>
      </c>
      <c r="Q782" s="735">
        <v>1.5</v>
      </c>
      <c r="R782" s="736">
        <f t="shared" si="29"/>
        <v>6</v>
      </c>
      <c r="S782" s="735">
        <v>0.08</v>
      </c>
      <c r="T782" s="737">
        <f t="shared" si="30"/>
        <v>0.32</v>
      </c>
    </row>
    <row r="783" spans="1:256" s="730" customFormat="1" ht="13.2">
      <c r="A783">
        <v>16</v>
      </c>
      <c r="B783" s="730" t="s">
        <v>141</v>
      </c>
      <c r="D783" s="730" t="s">
        <v>820</v>
      </c>
      <c r="G783" s="731" t="s">
        <v>821</v>
      </c>
      <c r="H783" s="718" t="s">
        <v>560</v>
      </c>
      <c r="I783" s="730" t="s">
        <v>702</v>
      </c>
      <c r="L783" s="720" t="s">
        <v>560</v>
      </c>
      <c r="O783" s="733">
        <v>2</v>
      </c>
      <c r="P783" s="734">
        <v>34669</v>
      </c>
      <c r="Q783" s="823">
        <v>0.7</v>
      </c>
      <c r="R783" s="736">
        <f t="shared" si="29"/>
        <v>11.2</v>
      </c>
      <c r="S783" s="735">
        <v>0.13</v>
      </c>
      <c r="T783" s="737">
        <f t="shared" si="30"/>
        <v>2.08</v>
      </c>
    </row>
    <row r="784" spans="1:256" s="602" customFormat="1" ht="13.2">
      <c r="A784" s="167">
        <v>1</v>
      </c>
      <c r="B784" s="730" t="s">
        <v>141</v>
      </c>
      <c r="C784" s="730"/>
      <c r="D784" s="730" t="s">
        <v>751</v>
      </c>
      <c r="E784" s="730"/>
      <c r="F784" s="730"/>
      <c r="G784" s="731" t="s">
        <v>752</v>
      </c>
      <c r="H784" s="718" t="s">
        <v>560</v>
      </c>
      <c r="I784" s="730" t="s">
        <v>686</v>
      </c>
      <c r="J784" s="730"/>
      <c r="K784" s="730"/>
      <c r="L784" s="720" t="s">
        <v>560</v>
      </c>
      <c r="M784" s="730"/>
      <c r="N784" s="730"/>
      <c r="O784" s="733">
        <v>3</v>
      </c>
      <c r="P784" s="734">
        <v>34790</v>
      </c>
      <c r="Q784" s="735"/>
      <c r="R784" s="736">
        <f t="shared" si="29"/>
        <v>0</v>
      </c>
      <c r="S784" s="735"/>
      <c r="T784" s="737">
        <f t="shared" si="30"/>
        <v>0</v>
      </c>
      <c r="U784" s="730"/>
      <c r="V784" s="730"/>
      <c r="W784" s="730"/>
      <c r="X784" s="730"/>
      <c r="Y784" s="730"/>
      <c r="Z784" s="730"/>
      <c r="AA784" s="730"/>
      <c r="AB784" s="730"/>
      <c r="AC784" s="730"/>
      <c r="AD784" s="730"/>
      <c r="AE784" s="730"/>
      <c r="AF784" s="730"/>
      <c r="AG784" s="730"/>
      <c r="AH784" s="730"/>
      <c r="AI784" s="730"/>
      <c r="AJ784" s="730"/>
      <c r="AK784" s="730"/>
      <c r="AL784" s="730"/>
      <c r="AM784" s="730"/>
      <c r="AN784" s="730"/>
      <c r="AO784" s="730"/>
      <c r="AP784" s="730"/>
      <c r="AQ784" s="730"/>
      <c r="AR784" s="730"/>
      <c r="AS784" s="730"/>
      <c r="AT784" s="730"/>
      <c r="AU784" s="730"/>
      <c r="AV784" s="730"/>
      <c r="AW784" s="730"/>
      <c r="AX784" s="730"/>
      <c r="AY784" s="730"/>
      <c r="AZ784" s="730"/>
      <c r="BA784" s="730"/>
      <c r="BB784" s="730"/>
      <c r="BC784" s="730"/>
      <c r="BD784" s="730"/>
      <c r="BE784" s="730"/>
      <c r="BF784" s="730"/>
      <c r="BG784" s="730"/>
      <c r="BH784" s="730"/>
      <c r="BI784" s="730"/>
      <c r="BJ784" s="730"/>
      <c r="BK784" s="730"/>
      <c r="BL784" s="730"/>
      <c r="BM784" s="730"/>
      <c r="BN784" s="730"/>
      <c r="BO784" s="730"/>
      <c r="BP784" s="730"/>
      <c r="BQ784" s="730"/>
      <c r="BR784" s="730"/>
      <c r="BS784" s="730"/>
      <c r="BT784" s="730"/>
      <c r="BU784" s="730"/>
      <c r="BV784" s="730"/>
      <c r="BW784" s="730"/>
      <c r="BX784" s="730"/>
      <c r="BY784" s="730"/>
      <c r="BZ784" s="730"/>
      <c r="CA784" s="730"/>
      <c r="CB784" s="730"/>
      <c r="CC784" s="730"/>
      <c r="CD784" s="730"/>
      <c r="CE784" s="730"/>
      <c r="CF784" s="730"/>
      <c r="CG784" s="730"/>
      <c r="CH784" s="730"/>
      <c r="CI784" s="730"/>
      <c r="CJ784" s="730"/>
      <c r="CK784" s="730"/>
      <c r="CL784" s="730"/>
      <c r="CM784" s="730"/>
      <c r="CN784" s="730"/>
      <c r="CO784" s="730"/>
      <c r="CP784" s="730"/>
      <c r="CQ784" s="730"/>
      <c r="CR784" s="730"/>
      <c r="CS784" s="730"/>
      <c r="CT784" s="730"/>
      <c r="CU784" s="730"/>
      <c r="CV784" s="730"/>
      <c r="CW784" s="730"/>
      <c r="CX784" s="730"/>
      <c r="CY784" s="730"/>
      <c r="CZ784" s="730"/>
      <c r="DA784" s="730"/>
      <c r="DB784" s="730"/>
      <c r="DC784" s="730"/>
      <c r="DD784" s="730"/>
      <c r="DE784" s="730"/>
      <c r="DF784" s="730"/>
      <c r="DG784" s="730"/>
      <c r="DH784" s="730"/>
      <c r="DI784" s="730"/>
      <c r="DJ784" s="730"/>
      <c r="DK784" s="730"/>
      <c r="DL784" s="730"/>
      <c r="DM784" s="730"/>
      <c r="DN784" s="730"/>
      <c r="DO784" s="730"/>
      <c r="DP784" s="730"/>
      <c r="DQ784" s="730"/>
      <c r="DR784" s="730"/>
      <c r="DS784" s="730"/>
      <c r="DT784" s="730"/>
      <c r="DU784" s="730"/>
      <c r="DV784" s="730"/>
      <c r="DW784" s="730"/>
      <c r="DX784" s="730"/>
      <c r="DY784" s="730"/>
      <c r="DZ784" s="730"/>
      <c r="EA784" s="730"/>
      <c r="EB784" s="730"/>
      <c r="EC784" s="730"/>
      <c r="ED784" s="730"/>
      <c r="EE784" s="730"/>
      <c r="EF784" s="730"/>
      <c r="EG784" s="730"/>
      <c r="EH784" s="730"/>
      <c r="EI784" s="730"/>
      <c r="EJ784" s="730"/>
      <c r="EK784" s="730"/>
      <c r="EL784" s="730"/>
      <c r="EM784" s="730"/>
      <c r="EN784" s="730"/>
      <c r="EO784" s="730"/>
      <c r="EP784" s="730"/>
      <c r="EQ784" s="730"/>
      <c r="ER784" s="730"/>
      <c r="ES784" s="730"/>
      <c r="ET784" s="730"/>
      <c r="EU784" s="730"/>
      <c r="EV784" s="730"/>
      <c r="EW784" s="730"/>
      <c r="EX784" s="730"/>
      <c r="EY784" s="730"/>
      <c r="EZ784" s="730"/>
      <c r="FA784" s="730"/>
      <c r="FB784" s="730"/>
      <c r="FC784" s="730"/>
      <c r="FD784" s="730"/>
      <c r="FE784" s="730"/>
      <c r="FF784" s="730"/>
      <c r="FG784" s="730"/>
      <c r="FH784" s="730"/>
      <c r="FI784" s="730"/>
      <c r="FJ784" s="730"/>
      <c r="FK784" s="730"/>
      <c r="FL784" s="730"/>
      <c r="FM784" s="730"/>
      <c r="FN784" s="730"/>
      <c r="FO784" s="730"/>
      <c r="FP784" s="730"/>
      <c r="FQ784" s="730"/>
      <c r="FR784" s="730"/>
      <c r="FS784" s="730"/>
      <c r="FT784" s="730"/>
      <c r="FU784" s="730"/>
      <c r="FV784" s="730"/>
      <c r="FW784" s="730"/>
      <c r="FX784" s="730"/>
      <c r="FY784" s="730"/>
      <c r="FZ784" s="730"/>
      <c r="GA784" s="730"/>
      <c r="GB784" s="730"/>
      <c r="GC784" s="730"/>
      <c r="GD784" s="730"/>
      <c r="GE784" s="730"/>
      <c r="GF784" s="730"/>
      <c r="GG784" s="730"/>
      <c r="GH784" s="730"/>
      <c r="GI784" s="730"/>
      <c r="GJ784" s="730"/>
      <c r="GK784" s="730"/>
      <c r="GL784" s="730"/>
      <c r="GM784" s="730"/>
      <c r="GN784" s="730"/>
      <c r="GO784" s="730"/>
      <c r="GP784" s="730"/>
      <c r="GQ784" s="730"/>
      <c r="GR784" s="730"/>
      <c r="GS784" s="730"/>
      <c r="GT784" s="730"/>
      <c r="GU784" s="730"/>
      <c r="GV784" s="730"/>
      <c r="GW784" s="730"/>
      <c r="GX784" s="730"/>
      <c r="GY784" s="730"/>
      <c r="GZ784" s="730"/>
      <c r="HA784" s="730"/>
      <c r="HB784" s="730"/>
      <c r="HC784" s="730"/>
      <c r="HD784" s="730"/>
      <c r="HE784" s="730"/>
      <c r="HF784" s="730"/>
      <c r="HG784" s="730"/>
      <c r="HH784" s="730"/>
      <c r="HI784" s="730"/>
      <c r="HJ784" s="730"/>
      <c r="HK784" s="730"/>
      <c r="HL784" s="730"/>
      <c r="HM784" s="730"/>
      <c r="HN784" s="730"/>
      <c r="HO784" s="730"/>
      <c r="HP784" s="730"/>
      <c r="HQ784" s="730"/>
      <c r="HR784" s="730"/>
      <c r="HS784" s="730"/>
      <c r="HT784" s="730"/>
      <c r="HU784" s="730"/>
      <c r="HV784" s="730"/>
      <c r="HW784" s="730"/>
      <c r="HX784" s="730"/>
      <c r="HY784" s="730"/>
      <c r="HZ784" s="730"/>
      <c r="IA784" s="730"/>
      <c r="IB784" s="730"/>
      <c r="IC784" s="730"/>
      <c r="ID784" s="730"/>
      <c r="IE784" s="730"/>
      <c r="IF784" s="730"/>
      <c r="IG784" s="730"/>
      <c r="IH784" s="730"/>
      <c r="II784" s="730"/>
      <c r="IJ784" s="730"/>
      <c r="IK784" s="730"/>
      <c r="IL784" s="730"/>
      <c r="IM784" s="730"/>
      <c r="IN784" s="730"/>
      <c r="IO784" s="730"/>
      <c r="IP784" s="730"/>
      <c r="IQ784" s="730"/>
      <c r="IR784" s="730"/>
      <c r="IS784" s="730"/>
      <c r="IT784" s="730"/>
      <c r="IU784" s="730"/>
      <c r="IV784" s="730"/>
    </row>
    <row r="785" spans="1:256" s="602" customFormat="1" ht="12">
      <c r="A785" s="663"/>
      <c r="B785" s="663"/>
      <c r="C785" s="663"/>
      <c r="D785" s="663"/>
      <c r="E785" s="663"/>
      <c r="F785" s="664"/>
      <c r="G785" s="663"/>
      <c r="H785" s="663"/>
      <c r="I785" s="601"/>
      <c r="J785" s="663"/>
      <c r="K785" s="663"/>
      <c r="L785" s="709"/>
      <c r="M785" s="663"/>
      <c r="N785" s="663"/>
      <c r="O785" s="663"/>
      <c r="P785" s="663"/>
      <c r="Q785" s="601"/>
      <c r="R785" s="666">
        <f t="shared" si="29"/>
        <v>0</v>
      </c>
      <c r="S785" s="601"/>
      <c r="T785" s="681">
        <f t="shared" si="30"/>
        <v>0</v>
      </c>
    </row>
    <row r="786" spans="1:256" s="602" customFormat="1" ht="12.6" thickBot="1">
      <c r="A786" s="682" t="s">
        <v>145</v>
      </c>
      <c r="B786" s="683">
        <f>(R785+T785)</f>
        <v>0</v>
      </c>
      <c r="C786" s="684"/>
      <c r="D786" s="684"/>
      <c r="E786" s="684"/>
      <c r="F786" s="685"/>
      <c r="G786" s="684" t="s">
        <v>146</v>
      </c>
      <c r="H786" s="684"/>
      <c r="I786" s="686"/>
      <c r="J786" s="684"/>
      <c r="K786" s="728"/>
      <c r="L786" s="729" t="s">
        <v>556</v>
      </c>
      <c r="M786" s="687"/>
      <c r="N786" s="687"/>
      <c r="O786" s="687"/>
      <c r="P786" s="687"/>
      <c r="Q786" s="688"/>
      <c r="R786" s="689">
        <f>SUM(R764:R785)</f>
        <v>1144.2700000000002</v>
      </c>
      <c r="S786" s="684"/>
      <c r="T786" s="689">
        <f>SUM(T764:T785)</f>
        <v>31.32</v>
      </c>
      <c r="U786" s="611"/>
      <c r="V786" s="611"/>
      <c r="W786" s="611"/>
      <c r="X786" s="611"/>
      <c r="Y786" s="611"/>
      <c r="Z786" s="611"/>
      <c r="AA786" s="611"/>
      <c r="AB786" s="611"/>
      <c r="AC786" s="611"/>
      <c r="AD786" s="611"/>
      <c r="AE786" s="611"/>
      <c r="AF786" s="611"/>
      <c r="AG786" s="611"/>
      <c r="AH786" s="611"/>
      <c r="AI786" s="611"/>
      <c r="AJ786" s="611"/>
      <c r="AK786" s="611"/>
      <c r="AL786" s="611"/>
      <c r="AM786" s="611"/>
      <c r="AN786" s="611"/>
      <c r="AO786" s="611"/>
    </row>
    <row r="787" spans="1:256" s="602" customFormat="1" ht="12" customHeight="1" thickTop="1">
      <c r="A787" s="63"/>
      <c r="B787" s="41"/>
      <c r="C787" s="63"/>
      <c r="E787" s="42" t="s">
        <v>138</v>
      </c>
      <c r="F787" s="42" t="s">
        <v>139</v>
      </c>
      <c r="G787" s="63"/>
      <c r="H787" s="63"/>
      <c r="I787" s="63"/>
      <c r="J787" s="63"/>
      <c r="K787" s="63" t="s">
        <v>140</v>
      </c>
      <c r="L787" s="63"/>
      <c r="M787" s="63"/>
      <c r="N787" s="63"/>
      <c r="O787" s="64"/>
      <c r="P787" s="63"/>
      <c r="Q787" s="63"/>
      <c r="R787" s="63"/>
      <c r="S787" s="63"/>
      <c r="T787" s="41"/>
      <c r="AG787" s="667" t="s">
        <v>278</v>
      </c>
      <c r="AH787" s="667" t="s">
        <v>279</v>
      </c>
      <c r="AI787" s="667" t="s">
        <v>280</v>
      </c>
      <c r="AJ787" s="667" t="s">
        <v>281</v>
      </c>
      <c r="AK787" s="667" t="s">
        <v>282</v>
      </c>
      <c r="AM787" s="668" t="s">
        <v>291</v>
      </c>
      <c r="AN787" s="669" t="s">
        <v>292</v>
      </c>
      <c r="AO787" s="603" t="s">
        <v>288</v>
      </c>
    </row>
    <row r="788" spans="1:256" s="602" customFormat="1" ht="39.9" customHeight="1">
      <c r="A788" s="670">
        <v>1</v>
      </c>
      <c r="B788" s="671" t="s">
        <v>312</v>
      </c>
      <c r="C788" s="672"/>
      <c r="D788" s="673" t="s">
        <v>512</v>
      </c>
      <c r="E788" s="674">
        <f>IF(AND($A788=0,$A$1="DIF"),0, ROUND(ROUND(($R803*$S$2+($T803*$T$2))/A788,2)*$C$2,2))</f>
        <v>955.11</v>
      </c>
      <c r="F788" s="675">
        <f>ROUND($A788*$E788,2)</f>
        <v>955.11</v>
      </c>
      <c r="G788" s="676" t="s">
        <v>142</v>
      </c>
      <c r="H788" s="664"/>
      <c r="I788" s="677"/>
      <c r="J788" s="664"/>
      <c r="K788" s="664" t="s">
        <v>3</v>
      </c>
      <c r="L788" s="678" t="s">
        <v>143</v>
      </c>
      <c r="M788" s="678"/>
      <c r="N788" s="678"/>
      <c r="O788" s="678"/>
      <c r="P788" s="678"/>
      <c r="Q788" s="63"/>
      <c r="T788" s="679" t="str">
        <f>IF(AND($R803=0,$T803=0),"0.00","mu :" &amp; ROUND($F788/$C$2/($R803+$T803*$D$9),2))</f>
        <v>mu :1.35</v>
      </c>
      <c r="W788" s="604"/>
      <c r="AG788" s="549">
        <f>IF($E788=0,0,ROUND($R803*$S$2*$C$2/$A788,2))</f>
        <v>348.64</v>
      </c>
      <c r="AH788" s="549">
        <f>$AG788*$A788</f>
        <v>348.64</v>
      </c>
      <c r="AI788" s="605">
        <f>$E788-$AG788</f>
        <v>606.47</v>
      </c>
      <c r="AJ788" s="605">
        <f>$A788*$AI788</f>
        <v>606.47</v>
      </c>
      <c r="AK788" s="606">
        <f>ROUND(($AG788+$AI788)*$A788,2)</f>
        <v>955.11</v>
      </c>
      <c r="AM788" s="607">
        <f>ROUND(R803,2)</f>
        <v>265.2</v>
      </c>
      <c r="AN788" s="608">
        <f>ROUND(T803,2)</f>
        <v>16.8</v>
      </c>
      <c r="AO788" s="609">
        <f>ROUND(AM788+AN788,2)*A788</f>
        <v>282</v>
      </c>
    </row>
    <row r="789" spans="1:256" s="602" customFormat="1" ht="13.2">
      <c r="A789" s="672"/>
      <c r="B789"/>
      <c r="C789" s="672"/>
      <c r="D789" s="1368" t="s">
        <v>513</v>
      </c>
      <c r="E789" s="1369"/>
      <c r="F789" s="1369"/>
      <c r="G789" s="1369"/>
      <c r="H789" s="1369"/>
      <c r="I789" s="1369"/>
      <c r="J789" s="1369"/>
      <c r="K789" s="1369"/>
      <c r="L789" s="1369"/>
      <c r="M789" s="1369"/>
      <c r="N789" s="1369"/>
      <c r="O789" s="1369"/>
      <c r="P789" s="1369"/>
      <c r="Q789" s="1369"/>
      <c r="R789" s="1369"/>
      <c r="S789" s="1369"/>
      <c r="T789" s="1369"/>
    </row>
    <row r="790" spans="1:256" s="730" customFormat="1" ht="13.2">
      <c r="A790" s="672"/>
      <c r="B790"/>
      <c r="C790" s="672"/>
      <c r="D790" s="867" t="s">
        <v>1024</v>
      </c>
      <c r="E790" s="865"/>
      <c r="F790" s="865"/>
      <c r="G790" s="865"/>
      <c r="H790" s="865"/>
      <c r="I790" s="865"/>
      <c r="J790" s="865"/>
      <c r="K790" s="865"/>
      <c r="L790" s="865"/>
      <c r="M790" s="865"/>
      <c r="N790" s="865"/>
      <c r="O790" s="865"/>
      <c r="P790" s="865"/>
      <c r="Q790" s="865"/>
      <c r="R790" s="865"/>
      <c r="S790" s="865"/>
      <c r="T790" s="865"/>
      <c r="U790" s="602"/>
      <c r="V790" s="602"/>
      <c r="W790" s="602"/>
      <c r="X790" s="602"/>
      <c r="Y790" s="602"/>
      <c r="Z790" s="602"/>
      <c r="AA790" s="602"/>
      <c r="AB790" s="602"/>
      <c r="AC790" s="602"/>
      <c r="AD790" s="602"/>
      <c r="AE790" s="602"/>
      <c r="AF790" s="602"/>
      <c r="AG790" s="602"/>
      <c r="AH790" s="602"/>
      <c r="AI790" s="602"/>
      <c r="AJ790" s="602"/>
      <c r="AK790" s="602"/>
      <c r="AL790" s="602"/>
      <c r="AM790" s="602"/>
      <c r="AN790" s="602"/>
      <c r="AO790" s="602"/>
      <c r="AP790" s="602"/>
      <c r="AQ790" s="602"/>
      <c r="AR790" s="602"/>
      <c r="AS790" s="602"/>
      <c r="AT790" s="602"/>
      <c r="AU790" s="602"/>
      <c r="AV790" s="602"/>
      <c r="AW790" s="602"/>
      <c r="AX790" s="602"/>
      <c r="AY790" s="602"/>
      <c r="AZ790" s="602"/>
      <c r="BA790" s="602"/>
      <c r="BB790" s="602"/>
      <c r="BC790" s="602"/>
      <c r="BD790" s="602"/>
      <c r="BE790" s="602"/>
      <c r="BF790" s="602"/>
      <c r="BG790" s="602"/>
      <c r="BH790" s="602"/>
      <c r="BI790" s="602"/>
      <c r="BJ790" s="602"/>
      <c r="BK790" s="602"/>
      <c r="BL790" s="602"/>
      <c r="BM790" s="602"/>
      <c r="BN790" s="602"/>
      <c r="BO790" s="602"/>
      <c r="BP790" s="602"/>
      <c r="BQ790" s="602"/>
      <c r="BR790" s="602"/>
      <c r="BS790" s="602"/>
      <c r="BT790" s="602"/>
      <c r="BU790" s="602"/>
      <c r="BV790" s="602"/>
      <c r="BW790" s="602"/>
      <c r="BX790" s="602"/>
      <c r="BY790" s="602"/>
      <c r="BZ790" s="602"/>
      <c r="CA790" s="602"/>
      <c r="CB790" s="602"/>
      <c r="CC790" s="602"/>
      <c r="CD790" s="602"/>
      <c r="CE790" s="602"/>
      <c r="CF790" s="602"/>
      <c r="CG790" s="602"/>
      <c r="CH790" s="602"/>
      <c r="CI790" s="602"/>
      <c r="CJ790" s="602"/>
      <c r="CK790" s="602"/>
      <c r="CL790" s="602"/>
      <c r="CM790" s="602"/>
      <c r="CN790" s="602"/>
      <c r="CO790" s="602"/>
      <c r="CP790" s="602"/>
      <c r="CQ790" s="602"/>
      <c r="CR790" s="602"/>
      <c r="CS790" s="602"/>
      <c r="CT790" s="602"/>
      <c r="CU790" s="602"/>
      <c r="CV790" s="602"/>
      <c r="CW790" s="602"/>
      <c r="CX790" s="602"/>
      <c r="CY790" s="602"/>
      <c r="CZ790" s="602"/>
      <c r="DA790" s="602"/>
      <c r="DB790" s="602"/>
      <c r="DC790" s="602"/>
      <c r="DD790" s="602"/>
      <c r="DE790" s="602"/>
      <c r="DF790" s="602"/>
      <c r="DG790" s="602"/>
      <c r="DH790" s="602"/>
      <c r="DI790" s="602"/>
      <c r="DJ790" s="602"/>
      <c r="DK790" s="602"/>
      <c r="DL790" s="602"/>
      <c r="DM790" s="602"/>
      <c r="DN790" s="602"/>
      <c r="DO790" s="602"/>
      <c r="DP790" s="602"/>
      <c r="DQ790" s="602"/>
      <c r="DR790" s="602"/>
      <c r="DS790" s="602"/>
      <c r="DT790" s="602"/>
      <c r="DU790" s="602"/>
      <c r="DV790" s="602"/>
      <c r="DW790" s="602"/>
      <c r="DX790" s="602"/>
      <c r="DY790" s="602"/>
      <c r="DZ790" s="602"/>
      <c r="EA790" s="602"/>
      <c r="EB790" s="602"/>
      <c r="EC790" s="602"/>
      <c r="ED790" s="602"/>
      <c r="EE790" s="602"/>
      <c r="EF790" s="602"/>
      <c r="EG790" s="602"/>
      <c r="EH790" s="602"/>
      <c r="EI790" s="602"/>
      <c r="EJ790" s="602"/>
      <c r="EK790" s="602"/>
      <c r="EL790" s="602"/>
      <c r="EM790" s="602"/>
      <c r="EN790" s="602"/>
      <c r="EO790" s="602"/>
      <c r="EP790" s="602"/>
      <c r="EQ790" s="602"/>
      <c r="ER790" s="602"/>
      <c r="ES790" s="602"/>
      <c r="ET790" s="602"/>
      <c r="EU790" s="602"/>
      <c r="EV790" s="602"/>
      <c r="EW790" s="602"/>
      <c r="EX790" s="602"/>
      <c r="EY790" s="602"/>
      <c r="EZ790" s="602"/>
      <c r="FA790" s="602"/>
      <c r="FB790" s="602"/>
      <c r="FC790" s="602"/>
      <c r="FD790" s="602"/>
      <c r="FE790" s="602"/>
      <c r="FF790" s="602"/>
      <c r="FG790" s="602"/>
      <c r="FH790" s="602"/>
      <c r="FI790" s="602"/>
      <c r="FJ790" s="602"/>
      <c r="FK790" s="602"/>
      <c r="FL790" s="602"/>
      <c r="FM790" s="602"/>
      <c r="FN790" s="602"/>
      <c r="FO790" s="602"/>
      <c r="FP790" s="602"/>
      <c r="FQ790" s="602"/>
      <c r="FR790" s="602"/>
      <c r="FS790" s="602"/>
      <c r="FT790" s="602"/>
      <c r="FU790" s="602"/>
      <c r="FV790" s="602"/>
      <c r="FW790" s="602"/>
      <c r="FX790" s="602"/>
      <c r="FY790" s="602"/>
      <c r="FZ790" s="602"/>
      <c r="GA790" s="602"/>
      <c r="GB790" s="602"/>
      <c r="GC790" s="602"/>
      <c r="GD790" s="602"/>
      <c r="GE790" s="602"/>
      <c r="GF790" s="602"/>
      <c r="GG790" s="602"/>
      <c r="GH790" s="602"/>
      <c r="GI790" s="602"/>
      <c r="GJ790" s="602"/>
      <c r="GK790" s="602"/>
      <c r="GL790" s="602"/>
      <c r="GM790" s="602"/>
      <c r="GN790" s="602"/>
      <c r="GO790" s="602"/>
      <c r="GP790" s="602"/>
      <c r="GQ790" s="602"/>
      <c r="GR790" s="602"/>
      <c r="GS790" s="602"/>
      <c r="GT790" s="602"/>
      <c r="GU790" s="602"/>
      <c r="GV790" s="602"/>
      <c r="GW790" s="602"/>
      <c r="GX790" s="602"/>
      <c r="GY790" s="602"/>
      <c r="GZ790" s="602"/>
      <c r="HA790" s="602"/>
      <c r="HB790" s="602"/>
      <c r="HC790" s="602"/>
      <c r="HD790" s="602"/>
      <c r="HE790" s="602"/>
      <c r="HF790" s="602"/>
      <c r="HG790" s="602"/>
      <c r="HH790" s="602"/>
      <c r="HI790" s="602"/>
      <c r="HJ790" s="602"/>
      <c r="HK790" s="602"/>
      <c r="HL790" s="602"/>
      <c r="HM790" s="602"/>
      <c r="HN790" s="602"/>
      <c r="HO790" s="602"/>
      <c r="HP790" s="602"/>
      <c r="HQ790" s="602"/>
      <c r="HR790" s="602"/>
      <c r="HS790" s="602"/>
      <c r="HT790" s="602"/>
      <c r="HU790" s="602"/>
      <c r="HV790" s="602"/>
      <c r="HW790" s="602"/>
      <c r="HX790" s="602"/>
      <c r="HY790" s="602"/>
      <c r="HZ790" s="602"/>
      <c r="IA790" s="602"/>
      <c r="IB790" s="602"/>
      <c r="IC790" s="602"/>
      <c r="ID790" s="602"/>
      <c r="IE790" s="602"/>
      <c r="IF790" s="602"/>
      <c r="IG790" s="602"/>
      <c r="IH790" s="602"/>
      <c r="II790" s="602"/>
      <c r="IJ790" s="602"/>
      <c r="IK790" s="602"/>
      <c r="IL790" s="602"/>
      <c r="IM790" s="602"/>
      <c r="IN790" s="602"/>
      <c r="IO790" s="602"/>
      <c r="IP790" s="602"/>
      <c r="IQ790" s="602"/>
      <c r="IR790" s="602"/>
      <c r="IS790" s="602"/>
      <c r="IT790" s="602"/>
      <c r="IU790" s="602"/>
      <c r="IV790" s="602"/>
    </row>
    <row r="791" spans="1:256" s="730" customFormat="1" ht="13.2">
      <c r="A791" s="167">
        <v>1</v>
      </c>
      <c r="B791" s="730" t="s">
        <v>141</v>
      </c>
      <c r="D791" s="730" t="s">
        <v>744</v>
      </c>
      <c r="F791" s="730" t="s">
        <v>1020</v>
      </c>
      <c r="G791" s="731" t="s">
        <v>745</v>
      </c>
      <c r="H791" s="732">
        <v>900</v>
      </c>
      <c r="I791" s="730" t="s">
        <v>686</v>
      </c>
      <c r="O791" s="733">
        <v>2</v>
      </c>
      <c r="P791" s="734"/>
      <c r="Q791" s="735"/>
      <c r="R791" s="736">
        <f t="shared" ref="R791:R796" si="31">$A791*Q791</f>
        <v>0</v>
      </c>
      <c r="S791" s="735">
        <v>4</v>
      </c>
      <c r="T791" s="737">
        <f t="shared" ref="T791:T796" si="32">$A791*S791*$T$1</f>
        <v>4</v>
      </c>
    </row>
    <row r="792" spans="1:256" s="730" customFormat="1" ht="13.2">
      <c r="A792">
        <v>1</v>
      </c>
      <c r="B792" s="730" t="s">
        <v>141</v>
      </c>
      <c r="D792" s="730" t="s">
        <v>1009</v>
      </c>
      <c r="G792" s="731" t="s">
        <v>1010</v>
      </c>
      <c r="H792" s="732">
        <v>620</v>
      </c>
      <c r="I792" s="730" t="s">
        <v>741</v>
      </c>
      <c r="O792" s="733">
        <v>2</v>
      </c>
      <c r="P792" s="734">
        <v>35431</v>
      </c>
      <c r="Q792" s="823">
        <v>28.3</v>
      </c>
      <c r="R792" s="736">
        <f t="shared" si="31"/>
        <v>28.3</v>
      </c>
      <c r="S792" s="735">
        <v>0.8</v>
      </c>
      <c r="T792" s="737">
        <f t="shared" si="32"/>
        <v>0.8</v>
      </c>
    </row>
    <row r="793" spans="1:256" s="730" customFormat="1" ht="13.2">
      <c r="A793">
        <v>1</v>
      </c>
      <c r="B793" s="730" t="s">
        <v>326</v>
      </c>
      <c r="D793" s="730" t="s">
        <v>703</v>
      </c>
      <c r="G793" s="731" t="s">
        <v>704</v>
      </c>
      <c r="H793" s="732">
        <v>620</v>
      </c>
      <c r="I793" s="730" t="s">
        <v>674</v>
      </c>
      <c r="O793" s="733">
        <v>2</v>
      </c>
      <c r="P793" s="734">
        <v>38148</v>
      </c>
      <c r="Q793" s="735">
        <v>1.5</v>
      </c>
      <c r="R793" s="736">
        <f t="shared" si="31"/>
        <v>1.5</v>
      </c>
      <c r="S793" s="735">
        <v>0.08</v>
      </c>
      <c r="T793" s="737">
        <f t="shared" si="32"/>
        <v>0.08</v>
      </c>
    </row>
    <row r="794" spans="1:256" s="730" customFormat="1" ht="13.2">
      <c r="A794">
        <v>4</v>
      </c>
      <c r="B794" s="730" t="s">
        <v>141</v>
      </c>
      <c r="D794" s="730" t="s">
        <v>820</v>
      </c>
      <c r="G794" s="731" t="s">
        <v>821</v>
      </c>
      <c r="H794" s="732">
        <v>620</v>
      </c>
      <c r="I794" s="730" t="s">
        <v>702</v>
      </c>
      <c r="O794" s="733">
        <v>2</v>
      </c>
      <c r="P794" s="734">
        <v>34669</v>
      </c>
      <c r="Q794" s="823">
        <v>0.7</v>
      </c>
      <c r="R794" s="736">
        <f t="shared" si="31"/>
        <v>2.8</v>
      </c>
      <c r="S794" s="735">
        <v>0.13</v>
      </c>
      <c r="T794" s="737">
        <f t="shared" si="32"/>
        <v>0.52</v>
      </c>
    </row>
    <row r="795" spans="1:256" s="602" customFormat="1" ht="13.2">
      <c r="A795">
        <v>1</v>
      </c>
      <c r="B795" s="730" t="s">
        <v>141</v>
      </c>
      <c r="C795" s="730"/>
      <c r="D795" s="730" t="s">
        <v>676</v>
      </c>
      <c r="E795" s="730"/>
      <c r="F795" s="730" t="s">
        <v>1022</v>
      </c>
      <c r="G795" s="731" t="s">
        <v>677</v>
      </c>
      <c r="H795" s="732">
        <v>501</v>
      </c>
      <c r="I795" s="730" t="s">
        <v>674</v>
      </c>
      <c r="J795" s="730"/>
      <c r="K795" s="730" t="s">
        <v>678</v>
      </c>
      <c r="L795" s="730"/>
      <c r="M795" s="730"/>
      <c r="N795" s="730"/>
      <c r="O795" s="733">
        <v>1</v>
      </c>
      <c r="P795" s="734"/>
      <c r="Q795" s="735">
        <v>200</v>
      </c>
      <c r="R795" s="736">
        <f t="shared" si="31"/>
        <v>200</v>
      </c>
      <c r="S795" s="735"/>
      <c r="T795" s="737">
        <f t="shared" si="32"/>
        <v>0</v>
      </c>
      <c r="U795" s="730"/>
      <c r="V795" s="730"/>
      <c r="W795" s="730"/>
      <c r="X795" s="730"/>
      <c r="Y795" s="730"/>
      <c r="Z795" s="730"/>
      <c r="AA795" s="730"/>
      <c r="AB795" s="730"/>
      <c r="AC795" s="730"/>
      <c r="AD795" s="730"/>
      <c r="AE795" s="730"/>
      <c r="AF795" s="730"/>
      <c r="AG795" s="730"/>
      <c r="AH795" s="730"/>
      <c r="AI795" s="730"/>
      <c r="AJ795" s="730"/>
      <c r="AK795" s="730"/>
      <c r="AL795" s="730"/>
      <c r="AM795" s="730"/>
      <c r="AN795" s="730"/>
      <c r="AO795" s="730"/>
      <c r="AP795" s="730"/>
      <c r="AQ795" s="730"/>
      <c r="AR795" s="730"/>
      <c r="AS795" s="730"/>
      <c r="AT795" s="730"/>
      <c r="AU795" s="730"/>
      <c r="AV795" s="730"/>
      <c r="AW795" s="730"/>
      <c r="AX795" s="730"/>
      <c r="AY795" s="730"/>
      <c r="AZ795" s="730"/>
      <c r="BA795" s="730"/>
      <c r="BB795" s="730"/>
      <c r="BC795" s="730"/>
      <c r="BD795" s="730"/>
      <c r="BE795" s="730"/>
      <c r="BF795" s="730"/>
      <c r="BG795" s="730"/>
      <c r="BH795" s="730"/>
      <c r="BI795" s="730"/>
      <c r="BJ795" s="730"/>
      <c r="BK795" s="730"/>
      <c r="BL795" s="730"/>
      <c r="BM795" s="730"/>
      <c r="BN795" s="730"/>
      <c r="BO795" s="730"/>
      <c r="BP795" s="730"/>
      <c r="BQ795" s="730"/>
      <c r="BR795" s="730"/>
      <c r="BS795" s="730"/>
      <c r="BT795" s="730"/>
      <c r="BU795" s="730"/>
      <c r="BV795" s="730"/>
      <c r="BW795" s="730"/>
      <c r="BX795" s="730"/>
      <c r="BY795" s="730"/>
      <c r="BZ795" s="730"/>
      <c r="CA795" s="730"/>
      <c r="CB795" s="730"/>
      <c r="CC795" s="730"/>
      <c r="CD795" s="730"/>
      <c r="CE795" s="730"/>
      <c r="CF795" s="730"/>
      <c r="CG795" s="730"/>
      <c r="CH795" s="730"/>
      <c r="CI795" s="730"/>
      <c r="CJ795" s="730"/>
      <c r="CK795" s="730"/>
      <c r="CL795" s="730"/>
      <c r="CM795" s="730"/>
      <c r="CN795" s="730"/>
      <c r="CO795" s="730"/>
      <c r="CP795" s="730"/>
      <c r="CQ795" s="730"/>
      <c r="CR795" s="730"/>
      <c r="CS795" s="730"/>
      <c r="CT795" s="730"/>
      <c r="CU795" s="730"/>
      <c r="CV795" s="730"/>
      <c r="CW795" s="730"/>
      <c r="CX795" s="730"/>
      <c r="CY795" s="730"/>
      <c r="CZ795" s="730"/>
      <c r="DA795" s="730"/>
      <c r="DB795" s="730"/>
      <c r="DC795" s="730"/>
      <c r="DD795" s="730"/>
      <c r="DE795" s="730"/>
      <c r="DF795" s="730"/>
      <c r="DG795" s="730"/>
      <c r="DH795" s="730"/>
      <c r="DI795" s="730"/>
      <c r="DJ795" s="730"/>
      <c r="DK795" s="730"/>
      <c r="DL795" s="730"/>
      <c r="DM795" s="730"/>
      <c r="DN795" s="730"/>
      <c r="DO795" s="730"/>
      <c r="DP795" s="730"/>
      <c r="DQ795" s="730"/>
      <c r="DR795" s="730"/>
      <c r="DS795" s="730"/>
      <c r="DT795" s="730"/>
      <c r="DU795" s="730"/>
      <c r="DV795" s="730"/>
      <c r="DW795" s="730"/>
      <c r="DX795" s="730"/>
      <c r="DY795" s="730"/>
      <c r="DZ795" s="730"/>
      <c r="EA795" s="730"/>
      <c r="EB795" s="730"/>
      <c r="EC795" s="730"/>
      <c r="ED795" s="730"/>
      <c r="EE795" s="730"/>
      <c r="EF795" s="730"/>
      <c r="EG795" s="730"/>
      <c r="EH795" s="730"/>
      <c r="EI795" s="730"/>
      <c r="EJ795" s="730"/>
      <c r="EK795" s="730"/>
      <c r="EL795" s="730"/>
      <c r="EM795" s="730"/>
      <c r="EN795" s="730"/>
      <c r="EO795" s="730"/>
      <c r="EP795" s="730"/>
      <c r="EQ795" s="730"/>
      <c r="ER795" s="730"/>
      <c r="ES795" s="730"/>
      <c r="ET795" s="730"/>
      <c r="EU795" s="730"/>
      <c r="EV795" s="730"/>
      <c r="EW795" s="730"/>
      <c r="EX795" s="730"/>
      <c r="EY795" s="730"/>
      <c r="EZ795" s="730"/>
      <c r="FA795" s="730"/>
      <c r="FB795" s="730"/>
      <c r="FC795" s="730"/>
      <c r="FD795" s="730"/>
      <c r="FE795" s="730"/>
      <c r="FF795" s="730"/>
      <c r="FG795" s="730"/>
      <c r="FH795" s="730"/>
      <c r="FI795" s="730"/>
      <c r="FJ795" s="730"/>
      <c r="FK795" s="730"/>
      <c r="FL795" s="730"/>
      <c r="FM795" s="730"/>
      <c r="FN795" s="730"/>
      <c r="FO795" s="730"/>
      <c r="FP795" s="730"/>
      <c r="FQ795" s="730"/>
      <c r="FR795" s="730"/>
      <c r="FS795" s="730"/>
      <c r="FT795" s="730"/>
      <c r="FU795" s="730"/>
      <c r="FV795" s="730"/>
      <c r="FW795" s="730"/>
      <c r="FX795" s="730"/>
      <c r="FY795" s="730"/>
      <c r="FZ795" s="730"/>
      <c r="GA795" s="730"/>
      <c r="GB795" s="730"/>
      <c r="GC795" s="730"/>
      <c r="GD795" s="730"/>
      <c r="GE795" s="730"/>
      <c r="GF795" s="730"/>
      <c r="GG795" s="730"/>
      <c r="GH795" s="730"/>
      <c r="GI795" s="730"/>
      <c r="GJ795" s="730"/>
      <c r="GK795" s="730"/>
      <c r="GL795" s="730"/>
      <c r="GM795" s="730"/>
      <c r="GN795" s="730"/>
      <c r="GO795" s="730"/>
      <c r="GP795" s="730"/>
      <c r="GQ795" s="730"/>
      <c r="GR795" s="730"/>
      <c r="GS795" s="730"/>
      <c r="GT795" s="730"/>
      <c r="GU795" s="730"/>
      <c r="GV795" s="730"/>
      <c r="GW795" s="730"/>
      <c r="GX795" s="730"/>
      <c r="GY795" s="730"/>
      <c r="GZ795" s="730"/>
      <c r="HA795" s="730"/>
      <c r="HB795" s="730"/>
      <c r="HC795" s="730"/>
      <c r="HD795" s="730"/>
      <c r="HE795" s="730"/>
      <c r="HF795" s="730"/>
      <c r="HG795" s="730"/>
      <c r="HH795" s="730"/>
      <c r="HI795" s="730"/>
      <c r="HJ795" s="730"/>
      <c r="HK795" s="730"/>
      <c r="HL795" s="730"/>
      <c r="HM795" s="730"/>
      <c r="HN795" s="730"/>
      <c r="HO795" s="730"/>
      <c r="HP795" s="730"/>
      <c r="HQ795" s="730"/>
      <c r="HR795" s="730"/>
      <c r="HS795" s="730"/>
      <c r="HT795" s="730"/>
      <c r="HU795" s="730"/>
      <c r="HV795" s="730"/>
      <c r="HW795" s="730"/>
      <c r="HX795" s="730"/>
      <c r="HY795" s="730"/>
      <c r="HZ795" s="730"/>
      <c r="IA795" s="730"/>
      <c r="IB795" s="730"/>
      <c r="IC795" s="730"/>
      <c r="ID795" s="730"/>
      <c r="IE795" s="730"/>
      <c r="IF795" s="730"/>
      <c r="IG795" s="730"/>
      <c r="IH795" s="730"/>
      <c r="II795" s="730"/>
      <c r="IJ795" s="730"/>
      <c r="IK795" s="730"/>
      <c r="IL795" s="730"/>
      <c r="IM795" s="730"/>
      <c r="IN795" s="730"/>
      <c r="IO795" s="730"/>
      <c r="IP795" s="730"/>
      <c r="IQ795" s="730"/>
      <c r="IR795" s="730"/>
      <c r="IS795" s="730"/>
      <c r="IT795" s="730"/>
      <c r="IU795" s="730"/>
      <c r="IV795" s="730"/>
    </row>
    <row r="796" spans="1:256" s="730" customFormat="1" ht="13.2">
      <c r="A796" s="167">
        <v>1</v>
      </c>
      <c r="B796" s="730" t="s">
        <v>141</v>
      </c>
      <c r="D796" s="730" t="s">
        <v>1039</v>
      </c>
      <c r="G796" s="731" t="s">
        <v>1040</v>
      </c>
      <c r="H796" s="732">
        <v>900</v>
      </c>
      <c r="I796" s="730" t="s">
        <v>686</v>
      </c>
      <c r="O796" s="733">
        <v>1</v>
      </c>
      <c r="P796" s="734"/>
      <c r="Q796" s="735"/>
      <c r="R796" s="736">
        <f t="shared" si="31"/>
        <v>0</v>
      </c>
      <c r="S796" s="735">
        <v>2</v>
      </c>
      <c r="T796" s="737">
        <f t="shared" si="32"/>
        <v>2</v>
      </c>
    </row>
    <row r="797" spans="1:256" s="730" customFormat="1" ht="13.2">
      <c r="A797" s="672"/>
      <c r="B797"/>
      <c r="C797" s="672"/>
      <c r="D797" s="867" t="s">
        <v>1025</v>
      </c>
      <c r="E797" s="865"/>
      <c r="F797" s="865"/>
      <c r="G797" s="865"/>
      <c r="H797" s="865"/>
      <c r="I797" s="865"/>
      <c r="J797" s="865"/>
      <c r="K797" s="865"/>
      <c r="L797" s="865"/>
      <c r="M797" s="865"/>
      <c r="N797" s="865"/>
      <c r="O797" s="865"/>
      <c r="P797" s="865"/>
      <c r="Q797" s="865"/>
      <c r="R797" s="865"/>
      <c r="S797" s="865"/>
      <c r="T797" s="865"/>
      <c r="U797" s="602"/>
      <c r="V797" s="602"/>
      <c r="W797" s="602"/>
      <c r="X797" s="602"/>
      <c r="Y797" s="602"/>
      <c r="Z797" s="602"/>
      <c r="AA797" s="602"/>
      <c r="AB797" s="602"/>
      <c r="AC797" s="602"/>
      <c r="AD797" s="602"/>
      <c r="AE797" s="602"/>
      <c r="AF797" s="602"/>
      <c r="AG797" s="602"/>
      <c r="AH797" s="602"/>
      <c r="AI797" s="602"/>
      <c r="AJ797" s="602"/>
      <c r="AK797" s="602"/>
      <c r="AL797" s="602"/>
      <c r="AM797" s="602"/>
      <c r="AN797" s="602"/>
      <c r="AO797" s="602"/>
      <c r="AP797" s="602"/>
      <c r="AQ797" s="602"/>
      <c r="AR797" s="602"/>
      <c r="AS797" s="602"/>
      <c r="AT797" s="602"/>
      <c r="AU797" s="602"/>
      <c r="AV797" s="602"/>
      <c r="AW797" s="602"/>
      <c r="AX797" s="602"/>
      <c r="AY797" s="602"/>
      <c r="AZ797" s="602"/>
      <c r="BA797" s="602"/>
      <c r="BB797" s="602"/>
      <c r="BC797" s="602"/>
      <c r="BD797" s="602"/>
      <c r="BE797" s="602"/>
      <c r="BF797" s="602"/>
      <c r="BG797" s="602"/>
      <c r="BH797" s="602"/>
      <c r="BI797" s="602"/>
      <c r="BJ797" s="602"/>
      <c r="BK797" s="602"/>
      <c r="BL797" s="602"/>
      <c r="BM797" s="602"/>
      <c r="BN797" s="602"/>
      <c r="BO797" s="602"/>
      <c r="BP797" s="602"/>
      <c r="BQ797" s="602"/>
      <c r="BR797" s="602"/>
      <c r="BS797" s="602"/>
      <c r="BT797" s="602"/>
      <c r="BU797" s="602"/>
      <c r="BV797" s="602"/>
      <c r="BW797" s="602"/>
      <c r="BX797" s="602"/>
      <c r="BY797" s="602"/>
      <c r="BZ797" s="602"/>
      <c r="CA797" s="602"/>
      <c r="CB797" s="602"/>
      <c r="CC797" s="602"/>
      <c r="CD797" s="602"/>
      <c r="CE797" s="602"/>
      <c r="CF797" s="602"/>
      <c r="CG797" s="602"/>
      <c r="CH797" s="602"/>
      <c r="CI797" s="602"/>
      <c r="CJ797" s="602"/>
      <c r="CK797" s="602"/>
      <c r="CL797" s="602"/>
      <c r="CM797" s="602"/>
      <c r="CN797" s="602"/>
      <c r="CO797" s="602"/>
      <c r="CP797" s="602"/>
      <c r="CQ797" s="602"/>
      <c r="CR797" s="602"/>
      <c r="CS797" s="602"/>
      <c r="CT797" s="602"/>
      <c r="CU797" s="602"/>
      <c r="CV797" s="602"/>
      <c r="CW797" s="602"/>
      <c r="CX797" s="602"/>
      <c r="CY797" s="602"/>
      <c r="CZ797" s="602"/>
      <c r="DA797" s="602"/>
      <c r="DB797" s="602"/>
      <c r="DC797" s="602"/>
      <c r="DD797" s="602"/>
      <c r="DE797" s="602"/>
      <c r="DF797" s="602"/>
      <c r="DG797" s="602"/>
      <c r="DH797" s="602"/>
      <c r="DI797" s="602"/>
      <c r="DJ797" s="602"/>
      <c r="DK797" s="602"/>
      <c r="DL797" s="602"/>
      <c r="DM797" s="602"/>
      <c r="DN797" s="602"/>
      <c r="DO797" s="602"/>
      <c r="DP797" s="602"/>
      <c r="DQ797" s="602"/>
      <c r="DR797" s="602"/>
      <c r="DS797" s="602"/>
      <c r="DT797" s="602"/>
      <c r="DU797" s="602"/>
      <c r="DV797" s="602"/>
      <c r="DW797" s="602"/>
      <c r="DX797" s="602"/>
      <c r="DY797" s="602"/>
      <c r="DZ797" s="602"/>
      <c r="EA797" s="602"/>
      <c r="EB797" s="602"/>
      <c r="EC797" s="602"/>
      <c r="ED797" s="602"/>
      <c r="EE797" s="602"/>
      <c r="EF797" s="602"/>
      <c r="EG797" s="602"/>
      <c r="EH797" s="602"/>
      <c r="EI797" s="602"/>
      <c r="EJ797" s="602"/>
      <c r="EK797" s="602"/>
      <c r="EL797" s="602"/>
      <c r="EM797" s="602"/>
      <c r="EN797" s="602"/>
      <c r="EO797" s="602"/>
      <c r="EP797" s="602"/>
      <c r="EQ797" s="602"/>
      <c r="ER797" s="602"/>
      <c r="ES797" s="602"/>
      <c r="ET797" s="602"/>
      <c r="EU797" s="602"/>
      <c r="EV797" s="602"/>
      <c r="EW797" s="602"/>
      <c r="EX797" s="602"/>
      <c r="EY797" s="602"/>
      <c r="EZ797" s="602"/>
      <c r="FA797" s="602"/>
      <c r="FB797" s="602"/>
      <c r="FC797" s="602"/>
      <c r="FD797" s="602"/>
      <c r="FE797" s="602"/>
      <c r="FF797" s="602"/>
      <c r="FG797" s="602"/>
      <c r="FH797" s="602"/>
      <c r="FI797" s="602"/>
      <c r="FJ797" s="602"/>
      <c r="FK797" s="602"/>
      <c r="FL797" s="602"/>
      <c r="FM797" s="602"/>
      <c r="FN797" s="602"/>
      <c r="FO797" s="602"/>
      <c r="FP797" s="602"/>
      <c r="FQ797" s="602"/>
      <c r="FR797" s="602"/>
      <c r="FS797" s="602"/>
      <c r="FT797" s="602"/>
      <c r="FU797" s="602"/>
      <c r="FV797" s="602"/>
      <c r="FW797" s="602"/>
      <c r="FX797" s="602"/>
      <c r="FY797" s="602"/>
      <c r="FZ797" s="602"/>
      <c r="GA797" s="602"/>
      <c r="GB797" s="602"/>
      <c r="GC797" s="602"/>
      <c r="GD797" s="602"/>
      <c r="GE797" s="602"/>
      <c r="GF797" s="602"/>
      <c r="GG797" s="602"/>
      <c r="GH797" s="602"/>
      <c r="GI797" s="602"/>
      <c r="GJ797" s="602"/>
      <c r="GK797" s="602"/>
      <c r="GL797" s="602"/>
      <c r="GM797" s="602"/>
      <c r="GN797" s="602"/>
      <c r="GO797" s="602"/>
      <c r="GP797" s="602"/>
      <c r="GQ797" s="602"/>
      <c r="GR797" s="602"/>
      <c r="GS797" s="602"/>
      <c r="GT797" s="602"/>
      <c r="GU797" s="602"/>
      <c r="GV797" s="602"/>
      <c r="GW797" s="602"/>
      <c r="GX797" s="602"/>
      <c r="GY797" s="602"/>
      <c r="GZ797" s="602"/>
      <c r="HA797" s="602"/>
      <c r="HB797" s="602"/>
      <c r="HC797" s="602"/>
      <c r="HD797" s="602"/>
      <c r="HE797" s="602"/>
      <c r="HF797" s="602"/>
      <c r="HG797" s="602"/>
      <c r="HH797" s="602"/>
      <c r="HI797" s="602"/>
      <c r="HJ797" s="602"/>
      <c r="HK797" s="602"/>
      <c r="HL797" s="602"/>
      <c r="HM797" s="602"/>
      <c r="HN797" s="602"/>
      <c r="HO797" s="602"/>
      <c r="HP797" s="602"/>
      <c r="HQ797" s="602"/>
      <c r="HR797" s="602"/>
      <c r="HS797" s="602"/>
      <c r="HT797" s="602"/>
      <c r="HU797" s="602"/>
      <c r="HV797" s="602"/>
      <c r="HW797" s="602"/>
      <c r="HX797" s="602"/>
      <c r="HY797" s="602"/>
      <c r="HZ797" s="602"/>
      <c r="IA797" s="602"/>
      <c r="IB797" s="602"/>
      <c r="IC797" s="602"/>
      <c r="ID797" s="602"/>
      <c r="IE797" s="602"/>
      <c r="IF797" s="602"/>
      <c r="IG797" s="602"/>
      <c r="IH797" s="602"/>
      <c r="II797" s="602"/>
      <c r="IJ797" s="602"/>
      <c r="IK797" s="602"/>
      <c r="IL797" s="602"/>
      <c r="IM797" s="602"/>
      <c r="IN797" s="602"/>
      <c r="IO797" s="602"/>
      <c r="IP797" s="602"/>
      <c r="IQ797" s="602"/>
      <c r="IR797" s="602"/>
      <c r="IS797" s="602"/>
      <c r="IT797" s="602"/>
      <c r="IU797" s="602"/>
      <c r="IV797" s="602"/>
    </row>
    <row r="798" spans="1:256" s="730" customFormat="1" ht="13.2">
      <c r="A798" s="167">
        <v>1</v>
      </c>
      <c r="B798" s="730" t="s">
        <v>141</v>
      </c>
      <c r="D798" s="730" t="s">
        <v>744</v>
      </c>
      <c r="F798" s="730" t="s">
        <v>1020</v>
      </c>
      <c r="G798" s="731" t="s">
        <v>745</v>
      </c>
      <c r="H798" s="732">
        <v>900</v>
      </c>
      <c r="I798" s="730" t="s">
        <v>686</v>
      </c>
      <c r="O798" s="733">
        <v>2</v>
      </c>
      <c r="P798" s="734"/>
      <c r="Q798" s="735"/>
      <c r="R798" s="736">
        <f>$A798*Q798</f>
        <v>0</v>
      </c>
      <c r="S798" s="735">
        <v>8</v>
      </c>
      <c r="T798" s="737">
        <f>$A798*S798*$T$1</f>
        <v>8</v>
      </c>
    </row>
    <row r="799" spans="1:256" s="730" customFormat="1" ht="13.2">
      <c r="A799">
        <v>1</v>
      </c>
      <c r="B799" s="730" t="s">
        <v>141</v>
      </c>
      <c r="D799" s="730" t="s">
        <v>1009</v>
      </c>
      <c r="G799" s="731" t="s">
        <v>1010</v>
      </c>
      <c r="H799" s="732">
        <v>620</v>
      </c>
      <c r="I799" s="730" t="s">
        <v>741</v>
      </c>
      <c r="O799" s="733">
        <v>2</v>
      </c>
      <c r="P799" s="734">
        <v>35431</v>
      </c>
      <c r="Q799" s="823">
        <v>28.3</v>
      </c>
      <c r="R799" s="736">
        <f>$A799*Q799</f>
        <v>28.3</v>
      </c>
      <c r="S799" s="735">
        <v>0.8</v>
      </c>
      <c r="T799" s="737">
        <f>$A799*S799*$T$1</f>
        <v>0.8</v>
      </c>
    </row>
    <row r="800" spans="1:256" s="730" customFormat="1" ht="13.2">
      <c r="A800">
        <v>1</v>
      </c>
      <c r="B800" s="730" t="s">
        <v>326</v>
      </c>
      <c r="D800" s="730" t="s">
        <v>703</v>
      </c>
      <c r="G800" s="731" t="s">
        <v>704</v>
      </c>
      <c r="H800" s="732">
        <v>620</v>
      </c>
      <c r="I800" s="730" t="s">
        <v>674</v>
      </c>
      <c r="O800" s="733">
        <v>2</v>
      </c>
      <c r="P800" s="734">
        <v>38148</v>
      </c>
      <c r="Q800" s="735">
        <v>1.5</v>
      </c>
      <c r="R800" s="736">
        <f>$A800*Q800</f>
        <v>1.5</v>
      </c>
      <c r="S800" s="735">
        <v>0.08</v>
      </c>
      <c r="T800" s="737">
        <f>$A800*S800*$T$1</f>
        <v>0.08</v>
      </c>
    </row>
    <row r="801" spans="1:256" s="602" customFormat="1" ht="13.2">
      <c r="A801">
        <v>4</v>
      </c>
      <c r="B801" s="730" t="s">
        <v>141</v>
      </c>
      <c r="C801" s="730"/>
      <c r="D801" s="730" t="s">
        <v>820</v>
      </c>
      <c r="E801" s="730"/>
      <c r="F801" s="730"/>
      <c r="G801" s="731" t="s">
        <v>821</v>
      </c>
      <c r="H801" s="732">
        <v>620</v>
      </c>
      <c r="I801" s="730" t="s">
        <v>702</v>
      </c>
      <c r="J801" s="730"/>
      <c r="K801" s="730"/>
      <c r="L801" s="730"/>
      <c r="M801" s="730"/>
      <c r="N801" s="730"/>
      <c r="O801" s="733">
        <v>2</v>
      </c>
      <c r="P801" s="734">
        <v>34669</v>
      </c>
      <c r="Q801" s="823">
        <v>0.7</v>
      </c>
      <c r="R801" s="736">
        <f>$A801*Q801</f>
        <v>2.8</v>
      </c>
      <c r="S801" s="735">
        <v>0.13</v>
      </c>
      <c r="T801" s="737">
        <f>$A801*S801*$T$1</f>
        <v>0.52</v>
      </c>
      <c r="U801" s="730"/>
      <c r="V801" s="730"/>
      <c r="W801" s="730"/>
      <c r="X801" s="730"/>
      <c r="Y801" s="730"/>
      <c r="Z801" s="730"/>
      <c r="AA801" s="730"/>
      <c r="AB801" s="730"/>
      <c r="AC801" s="730"/>
      <c r="AD801" s="730"/>
      <c r="AE801" s="730"/>
      <c r="AF801" s="730"/>
      <c r="AG801" s="730"/>
      <c r="AH801" s="730"/>
      <c r="AI801" s="730"/>
      <c r="AJ801" s="730"/>
      <c r="AK801" s="730"/>
      <c r="AL801" s="730"/>
      <c r="AM801" s="730"/>
      <c r="AN801" s="730"/>
      <c r="AO801" s="730"/>
      <c r="AP801" s="730"/>
      <c r="AQ801" s="730"/>
      <c r="AR801" s="730"/>
      <c r="AS801" s="730"/>
      <c r="AT801" s="730"/>
      <c r="AU801" s="730"/>
      <c r="AV801" s="730"/>
      <c r="AW801" s="730"/>
      <c r="AX801" s="730"/>
      <c r="AY801" s="730"/>
      <c r="AZ801" s="730"/>
      <c r="BA801" s="730"/>
      <c r="BB801" s="730"/>
      <c r="BC801" s="730"/>
      <c r="BD801" s="730"/>
      <c r="BE801" s="730"/>
      <c r="BF801" s="730"/>
      <c r="BG801" s="730"/>
      <c r="BH801" s="730"/>
      <c r="BI801" s="730"/>
      <c r="BJ801" s="730"/>
      <c r="BK801" s="730"/>
      <c r="BL801" s="730"/>
      <c r="BM801" s="730"/>
      <c r="BN801" s="730"/>
      <c r="BO801" s="730"/>
      <c r="BP801" s="730"/>
      <c r="BQ801" s="730"/>
      <c r="BR801" s="730"/>
      <c r="BS801" s="730"/>
      <c r="BT801" s="730"/>
      <c r="BU801" s="730"/>
      <c r="BV801" s="730"/>
      <c r="BW801" s="730"/>
      <c r="BX801" s="730"/>
      <c r="BY801" s="730"/>
      <c r="BZ801" s="730"/>
      <c r="CA801" s="730"/>
      <c r="CB801" s="730"/>
      <c r="CC801" s="730"/>
      <c r="CD801" s="730"/>
      <c r="CE801" s="730"/>
      <c r="CF801" s="730"/>
      <c r="CG801" s="730"/>
      <c r="CH801" s="730"/>
      <c r="CI801" s="730"/>
      <c r="CJ801" s="730"/>
      <c r="CK801" s="730"/>
      <c r="CL801" s="730"/>
      <c r="CM801" s="730"/>
      <c r="CN801" s="730"/>
      <c r="CO801" s="730"/>
      <c r="CP801" s="730"/>
      <c r="CQ801" s="730"/>
      <c r="CR801" s="730"/>
      <c r="CS801" s="730"/>
      <c r="CT801" s="730"/>
      <c r="CU801" s="730"/>
      <c r="CV801" s="730"/>
      <c r="CW801" s="730"/>
      <c r="CX801" s="730"/>
      <c r="CY801" s="730"/>
      <c r="CZ801" s="730"/>
      <c r="DA801" s="730"/>
      <c r="DB801" s="730"/>
      <c r="DC801" s="730"/>
      <c r="DD801" s="730"/>
      <c r="DE801" s="730"/>
      <c r="DF801" s="730"/>
      <c r="DG801" s="730"/>
      <c r="DH801" s="730"/>
      <c r="DI801" s="730"/>
      <c r="DJ801" s="730"/>
      <c r="DK801" s="730"/>
      <c r="DL801" s="730"/>
      <c r="DM801" s="730"/>
      <c r="DN801" s="730"/>
      <c r="DO801" s="730"/>
      <c r="DP801" s="730"/>
      <c r="DQ801" s="730"/>
      <c r="DR801" s="730"/>
      <c r="DS801" s="730"/>
      <c r="DT801" s="730"/>
      <c r="DU801" s="730"/>
      <c r="DV801" s="730"/>
      <c r="DW801" s="730"/>
      <c r="DX801" s="730"/>
      <c r="DY801" s="730"/>
      <c r="DZ801" s="730"/>
      <c r="EA801" s="730"/>
      <c r="EB801" s="730"/>
      <c r="EC801" s="730"/>
      <c r="ED801" s="730"/>
      <c r="EE801" s="730"/>
      <c r="EF801" s="730"/>
      <c r="EG801" s="730"/>
      <c r="EH801" s="730"/>
      <c r="EI801" s="730"/>
      <c r="EJ801" s="730"/>
      <c r="EK801" s="730"/>
      <c r="EL801" s="730"/>
      <c r="EM801" s="730"/>
      <c r="EN801" s="730"/>
      <c r="EO801" s="730"/>
      <c r="EP801" s="730"/>
      <c r="EQ801" s="730"/>
      <c r="ER801" s="730"/>
      <c r="ES801" s="730"/>
      <c r="ET801" s="730"/>
      <c r="EU801" s="730"/>
      <c r="EV801" s="730"/>
      <c r="EW801" s="730"/>
      <c r="EX801" s="730"/>
      <c r="EY801" s="730"/>
      <c r="EZ801" s="730"/>
      <c r="FA801" s="730"/>
      <c r="FB801" s="730"/>
      <c r="FC801" s="730"/>
      <c r="FD801" s="730"/>
      <c r="FE801" s="730"/>
      <c r="FF801" s="730"/>
      <c r="FG801" s="730"/>
      <c r="FH801" s="730"/>
      <c r="FI801" s="730"/>
      <c r="FJ801" s="730"/>
      <c r="FK801" s="730"/>
      <c r="FL801" s="730"/>
      <c r="FM801" s="730"/>
      <c r="FN801" s="730"/>
      <c r="FO801" s="730"/>
      <c r="FP801" s="730"/>
      <c r="FQ801" s="730"/>
      <c r="FR801" s="730"/>
      <c r="FS801" s="730"/>
      <c r="FT801" s="730"/>
      <c r="FU801" s="730"/>
      <c r="FV801" s="730"/>
      <c r="FW801" s="730"/>
      <c r="FX801" s="730"/>
      <c r="FY801" s="730"/>
      <c r="FZ801" s="730"/>
      <c r="GA801" s="730"/>
      <c r="GB801" s="730"/>
      <c r="GC801" s="730"/>
      <c r="GD801" s="730"/>
      <c r="GE801" s="730"/>
      <c r="GF801" s="730"/>
      <c r="GG801" s="730"/>
      <c r="GH801" s="730"/>
      <c r="GI801" s="730"/>
      <c r="GJ801" s="730"/>
      <c r="GK801" s="730"/>
      <c r="GL801" s="730"/>
      <c r="GM801" s="730"/>
      <c r="GN801" s="730"/>
      <c r="GO801" s="730"/>
      <c r="GP801" s="730"/>
      <c r="GQ801" s="730"/>
      <c r="GR801" s="730"/>
      <c r="GS801" s="730"/>
      <c r="GT801" s="730"/>
      <c r="GU801" s="730"/>
      <c r="GV801" s="730"/>
      <c r="GW801" s="730"/>
      <c r="GX801" s="730"/>
      <c r="GY801" s="730"/>
      <c r="GZ801" s="730"/>
      <c r="HA801" s="730"/>
      <c r="HB801" s="730"/>
      <c r="HC801" s="730"/>
      <c r="HD801" s="730"/>
      <c r="HE801" s="730"/>
      <c r="HF801" s="730"/>
      <c r="HG801" s="730"/>
      <c r="HH801" s="730"/>
      <c r="HI801" s="730"/>
      <c r="HJ801" s="730"/>
      <c r="HK801" s="730"/>
      <c r="HL801" s="730"/>
      <c r="HM801" s="730"/>
      <c r="HN801" s="730"/>
      <c r="HO801" s="730"/>
      <c r="HP801" s="730"/>
      <c r="HQ801" s="730"/>
      <c r="HR801" s="730"/>
      <c r="HS801" s="730"/>
      <c r="HT801" s="730"/>
      <c r="HU801" s="730"/>
      <c r="HV801" s="730"/>
      <c r="HW801" s="730"/>
      <c r="HX801" s="730"/>
      <c r="HY801" s="730"/>
      <c r="HZ801" s="730"/>
      <c r="IA801" s="730"/>
      <c r="IB801" s="730"/>
      <c r="IC801" s="730"/>
      <c r="ID801" s="730"/>
      <c r="IE801" s="730"/>
      <c r="IF801" s="730"/>
      <c r="IG801" s="730"/>
      <c r="IH801" s="730"/>
      <c r="II801" s="730"/>
      <c r="IJ801" s="730"/>
      <c r="IK801" s="730"/>
      <c r="IL801" s="730"/>
      <c r="IM801" s="730"/>
      <c r="IN801" s="730"/>
      <c r="IO801" s="730"/>
      <c r="IP801" s="730"/>
      <c r="IQ801" s="730"/>
      <c r="IR801" s="730"/>
      <c r="IS801" s="730"/>
      <c r="IT801" s="730"/>
      <c r="IU801" s="730"/>
      <c r="IV801" s="730"/>
    </row>
    <row r="802" spans="1:256" s="602" customFormat="1" ht="12">
      <c r="A802" s="663"/>
      <c r="B802" s="663"/>
      <c r="C802" s="663"/>
      <c r="D802" s="663"/>
      <c r="E802" s="663"/>
      <c r="F802" s="664"/>
      <c r="G802" s="663"/>
      <c r="H802" s="663"/>
      <c r="I802" s="601"/>
      <c r="J802" s="663"/>
      <c r="K802" s="663"/>
      <c r="L802" s="663"/>
      <c r="M802" s="663"/>
      <c r="N802" s="663"/>
      <c r="O802" s="663"/>
      <c r="P802" s="663"/>
      <c r="Q802" s="601"/>
      <c r="R802" s="666">
        <f>$A802*Q802</f>
        <v>0</v>
      </c>
      <c r="S802" s="601"/>
      <c r="T802" s="681">
        <f>$A802*S802*$T$1</f>
        <v>0</v>
      </c>
    </row>
    <row r="803" spans="1:256" s="602" customFormat="1" ht="12.6" thickBot="1">
      <c r="A803" s="682" t="s">
        <v>145</v>
      </c>
      <c r="B803" s="683">
        <f>(R802+T802)</f>
        <v>0</v>
      </c>
      <c r="C803" s="684"/>
      <c r="D803" s="684"/>
      <c r="E803" s="684"/>
      <c r="F803" s="685"/>
      <c r="G803" s="684" t="s">
        <v>146</v>
      </c>
      <c r="H803" s="684"/>
      <c r="I803" s="686"/>
      <c r="J803" s="684"/>
      <c r="K803" s="684" t="s">
        <v>3</v>
      </c>
      <c r="L803" s="687" t="s">
        <v>143</v>
      </c>
      <c r="M803" s="687"/>
      <c r="N803" s="687"/>
      <c r="O803" s="687"/>
      <c r="P803" s="687"/>
      <c r="Q803" s="688"/>
      <c r="R803" s="689">
        <f>SUM(R789:R802)</f>
        <v>265.2</v>
      </c>
      <c r="S803" s="684"/>
      <c r="T803" s="689">
        <f>SUM(T789:T802)</f>
        <v>16.799999999999997</v>
      </c>
      <c r="U803" s="611"/>
      <c r="V803" s="611"/>
      <c r="W803" s="611"/>
      <c r="X803" s="611"/>
      <c r="Y803" s="611"/>
      <c r="Z803" s="611"/>
      <c r="AA803" s="611"/>
      <c r="AB803" s="611"/>
      <c r="AC803" s="611"/>
      <c r="AD803" s="611"/>
      <c r="AE803" s="611"/>
      <c r="AF803" s="611"/>
      <c r="AG803" s="611"/>
      <c r="AH803" s="611"/>
      <c r="AI803" s="611"/>
      <c r="AJ803" s="611"/>
      <c r="AK803" s="611"/>
      <c r="AL803" s="611"/>
      <c r="AM803" s="611"/>
      <c r="AN803" s="611"/>
      <c r="AO803" s="611"/>
    </row>
    <row r="804" spans="1:256" s="602" customFormat="1" ht="12" customHeight="1" thickTop="1">
      <c r="A804" s="63"/>
      <c r="B804" s="41"/>
      <c r="C804" s="63"/>
      <c r="E804" s="42" t="s">
        <v>138</v>
      </c>
      <c r="F804" s="42" t="s">
        <v>139</v>
      </c>
      <c r="G804" s="63"/>
      <c r="H804" s="63"/>
      <c r="I804" s="63"/>
      <c r="J804" s="63"/>
      <c r="K804" s="63" t="s">
        <v>140</v>
      </c>
      <c r="L804" s="63"/>
      <c r="M804" s="63"/>
      <c r="N804" s="63"/>
      <c r="O804" s="64"/>
      <c r="P804" s="63"/>
      <c r="Q804" s="63"/>
      <c r="R804" s="63"/>
      <c r="S804" s="63"/>
      <c r="T804" s="41"/>
      <c r="AG804" s="667" t="s">
        <v>278</v>
      </c>
      <c r="AH804" s="667" t="s">
        <v>279</v>
      </c>
      <c r="AI804" s="667" t="s">
        <v>280</v>
      </c>
      <c r="AJ804" s="667" t="s">
        <v>281</v>
      </c>
      <c r="AK804" s="667" t="s">
        <v>282</v>
      </c>
      <c r="AM804" s="668" t="s">
        <v>291</v>
      </c>
      <c r="AN804" s="669" t="s">
        <v>292</v>
      </c>
      <c r="AO804" s="603" t="s">
        <v>288</v>
      </c>
    </row>
    <row r="805" spans="1:256" s="602" customFormat="1" ht="39.9" customHeight="1">
      <c r="A805" s="670">
        <v>55</v>
      </c>
      <c r="B805" s="671" t="s">
        <v>330</v>
      </c>
      <c r="C805" s="672"/>
      <c r="D805" s="673" t="s">
        <v>514</v>
      </c>
      <c r="E805" s="674">
        <f ca="1">IF(AND($A805=0,$A$1="DIF"),0, ROUND(ROUND(($R815*$S$2+($T815*$T$2))/A805,2)*$C$2,2))</f>
        <v>5.25</v>
      </c>
      <c r="F805" s="675">
        <f ca="1">ROUND($A805*$E805,2)</f>
        <v>288.75</v>
      </c>
      <c r="G805" s="676" t="s">
        <v>142</v>
      </c>
      <c r="H805" s="664"/>
      <c r="I805" s="677"/>
      <c r="J805" s="664"/>
      <c r="K805" s="664" t="s">
        <v>3</v>
      </c>
      <c r="L805" s="678" t="s">
        <v>143</v>
      </c>
      <c r="M805" s="678"/>
      <c r="N805" s="678"/>
      <c r="O805" s="678"/>
      <c r="P805" s="678"/>
      <c r="Q805" s="63"/>
      <c r="T805" s="679" t="str">
        <f ca="1">IF(AND($R815=0,$T815=0),"0.00","mu :" &amp; ROUND($F805/$C$2/($R815+$T815*$D$9),2))</f>
        <v>mu :1.35</v>
      </c>
      <c r="W805" s="604"/>
      <c r="AG805" s="549">
        <f ca="1">IF($E805=0,0,ROUND($R815*$S$2*$C$2/$A805,2))</f>
        <v>0</v>
      </c>
      <c r="AH805" s="549">
        <f ca="1">$AG805*$A805</f>
        <v>0</v>
      </c>
      <c r="AI805" s="605">
        <f ca="1">$E805-$AG805</f>
        <v>5.25</v>
      </c>
      <c r="AJ805" s="605">
        <f ca="1">$A805*$AI805</f>
        <v>288.75</v>
      </c>
      <c r="AK805" s="606">
        <f ca="1">ROUND(($AG805+$AI805)*$A805,2)</f>
        <v>288.75</v>
      </c>
      <c r="AM805" s="607">
        <f ca="1">ROUND(R815,2)</f>
        <v>0</v>
      </c>
      <c r="AN805" s="608">
        <f ca="1">ROUND(T815,2)</f>
        <v>8</v>
      </c>
      <c r="AO805" s="609">
        <f ca="1">ROUND(AM805+AN805,2)*A805</f>
        <v>440</v>
      </c>
    </row>
    <row r="806" spans="1:256" s="713" customFormat="1" ht="13.2">
      <c r="A806" s="672"/>
      <c r="B806"/>
      <c r="C806" s="672"/>
      <c r="D806" s="1368" t="s">
        <v>515</v>
      </c>
      <c r="E806" s="1369"/>
      <c r="F806" s="1369"/>
      <c r="G806" s="1369"/>
      <c r="H806" s="1369"/>
      <c r="I806" s="1369"/>
      <c r="J806" s="1369"/>
      <c r="K806" s="1369"/>
      <c r="L806" s="1369"/>
      <c r="M806" s="1369"/>
      <c r="N806" s="1369"/>
      <c r="O806" s="1369"/>
      <c r="P806" s="1369"/>
      <c r="Q806" s="1369"/>
      <c r="R806" s="1369"/>
      <c r="S806" s="1369"/>
      <c r="T806" s="1369"/>
      <c r="U806" s="602"/>
      <c r="V806" s="602"/>
      <c r="W806" s="602"/>
      <c r="X806" s="602"/>
      <c r="Y806" s="602"/>
      <c r="Z806" s="602"/>
      <c r="AA806" s="602"/>
      <c r="AB806" s="602"/>
      <c r="AC806" s="602"/>
      <c r="AD806" s="602"/>
      <c r="AE806" s="602"/>
      <c r="AF806" s="602"/>
      <c r="AG806" s="602"/>
      <c r="AH806" s="602"/>
      <c r="AI806" s="602"/>
      <c r="AJ806" s="602"/>
      <c r="AK806" s="602"/>
      <c r="AL806" s="602"/>
      <c r="AM806" s="602"/>
      <c r="AN806" s="602"/>
      <c r="AO806" s="602"/>
      <c r="AP806" s="602"/>
      <c r="AQ806" s="602"/>
      <c r="AR806" s="602"/>
      <c r="AS806" s="602"/>
      <c r="AT806" s="602"/>
      <c r="AU806" s="602"/>
      <c r="AV806" s="602"/>
      <c r="AW806" s="602"/>
      <c r="AX806" s="602"/>
      <c r="AY806" s="602"/>
      <c r="AZ806" s="602"/>
      <c r="BA806" s="602"/>
      <c r="BB806" s="602"/>
      <c r="BC806" s="602"/>
      <c r="BD806" s="602"/>
      <c r="BE806" s="602"/>
      <c r="BF806" s="602"/>
      <c r="BG806" s="602"/>
      <c r="BH806" s="602"/>
      <c r="BI806" s="602"/>
      <c r="BJ806" s="602"/>
      <c r="BK806" s="602"/>
      <c r="BL806" s="602"/>
      <c r="BM806" s="602"/>
      <c r="BN806" s="602"/>
      <c r="BO806" s="602"/>
      <c r="BP806" s="602"/>
      <c r="BQ806" s="602"/>
      <c r="BR806" s="602"/>
      <c r="BS806" s="602"/>
      <c r="BT806" s="602"/>
      <c r="BU806" s="602"/>
      <c r="BV806" s="602"/>
      <c r="BW806" s="602"/>
      <c r="BX806" s="602"/>
      <c r="BY806" s="602"/>
      <c r="BZ806" s="602"/>
      <c r="CA806" s="602"/>
      <c r="CB806" s="602"/>
      <c r="CC806" s="602"/>
      <c r="CD806" s="602"/>
      <c r="CE806" s="602"/>
      <c r="CF806" s="602"/>
      <c r="CG806" s="602"/>
      <c r="CH806" s="602"/>
      <c r="CI806" s="602"/>
      <c r="CJ806" s="602"/>
      <c r="CK806" s="602"/>
      <c r="CL806" s="602"/>
      <c r="CM806" s="602"/>
      <c r="CN806" s="602"/>
      <c r="CO806" s="602"/>
      <c r="CP806" s="602"/>
      <c r="CQ806" s="602"/>
      <c r="CR806" s="602"/>
      <c r="CS806" s="602"/>
      <c r="CT806" s="602"/>
      <c r="CU806" s="602"/>
      <c r="CV806" s="602"/>
      <c r="CW806" s="602"/>
      <c r="CX806" s="602"/>
      <c r="CY806" s="602"/>
      <c r="CZ806" s="602"/>
      <c r="DA806" s="602"/>
      <c r="DB806" s="602"/>
      <c r="DC806" s="602"/>
      <c r="DD806" s="602"/>
      <c r="DE806" s="602"/>
      <c r="DF806" s="602"/>
      <c r="DG806" s="602"/>
      <c r="DH806" s="602"/>
      <c r="DI806" s="602"/>
      <c r="DJ806" s="602"/>
      <c r="DK806" s="602"/>
      <c r="DL806" s="602"/>
      <c r="DM806" s="602"/>
      <c r="DN806" s="602"/>
      <c r="DO806" s="602"/>
      <c r="DP806" s="602"/>
      <c r="DQ806" s="602"/>
      <c r="DR806" s="602"/>
      <c r="DS806" s="602"/>
      <c r="DT806" s="602"/>
      <c r="DU806" s="602"/>
      <c r="DV806" s="602"/>
      <c r="DW806" s="602"/>
      <c r="DX806" s="602"/>
      <c r="DY806" s="602"/>
      <c r="DZ806" s="602"/>
      <c r="EA806" s="602"/>
      <c r="EB806" s="602"/>
      <c r="EC806" s="602"/>
      <c r="ED806" s="602"/>
      <c r="EE806" s="602"/>
      <c r="EF806" s="602"/>
      <c r="EG806" s="602"/>
      <c r="EH806" s="602"/>
      <c r="EI806" s="602"/>
      <c r="EJ806" s="602"/>
      <c r="EK806" s="602"/>
      <c r="EL806" s="602"/>
      <c r="EM806" s="602"/>
      <c r="EN806" s="602"/>
      <c r="EO806" s="602"/>
      <c r="EP806" s="602"/>
      <c r="EQ806" s="602"/>
      <c r="ER806" s="602"/>
      <c r="ES806" s="602"/>
      <c r="ET806" s="602"/>
      <c r="EU806" s="602"/>
      <c r="EV806" s="602"/>
      <c r="EW806" s="602"/>
      <c r="EX806" s="602"/>
      <c r="EY806" s="602"/>
      <c r="EZ806" s="602"/>
      <c r="FA806" s="602"/>
      <c r="FB806" s="602"/>
      <c r="FC806" s="602"/>
      <c r="FD806" s="602"/>
      <c r="FE806" s="602"/>
      <c r="FF806" s="602"/>
      <c r="FG806" s="602"/>
      <c r="FH806" s="602"/>
      <c r="FI806" s="602"/>
      <c r="FJ806" s="602"/>
      <c r="FK806" s="602"/>
      <c r="FL806" s="602"/>
      <c r="FM806" s="602"/>
      <c r="FN806" s="602"/>
      <c r="FO806" s="602"/>
      <c r="FP806" s="602"/>
      <c r="FQ806" s="602"/>
      <c r="FR806" s="602"/>
      <c r="FS806" s="602"/>
      <c r="FT806" s="602"/>
      <c r="FU806" s="602"/>
      <c r="FV806" s="602"/>
      <c r="FW806" s="602"/>
      <c r="FX806" s="602"/>
      <c r="FY806" s="602"/>
      <c r="FZ806" s="602"/>
      <c r="GA806" s="602"/>
      <c r="GB806" s="602"/>
      <c r="GC806" s="602"/>
      <c r="GD806" s="602"/>
      <c r="GE806" s="602"/>
      <c r="GF806" s="602"/>
      <c r="GG806" s="602"/>
      <c r="GH806" s="602"/>
      <c r="GI806" s="602"/>
      <c r="GJ806" s="602"/>
      <c r="GK806" s="602"/>
      <c r="GL806" s="602"/>
      <c r="GM806" s="602"/>
      <c r="GN806" s="602"/>
      <c r="GO806" s="602"/>
      <c r="GP806" s="602"/>
      <c r="GQ806" s="602"/>
      <c r="GR806" s="602"/>
      <c r="GS806" s="602"/>
      <c r="GT806" s="602"/>
      <c r="GU806" s="602"/>
      <c r="GV806" s="602"/>
      <c r="GW806" s="602"/>
      <c r="GX806" s="602"/>
      <c r="GY806" s="602"/>
      <c r="GZ806" s="602"/>
      <c r="HA806" s="602"/>
      <c r="HB806" s="602"/>
      <c r="HC806" s="602"/>
      <c r="HD806" s="602"/>
      <c r="HE806" s="602"/>
      <c r="HF806" s="602"/>
      <c r="HG806" s="602"/>
      <c r="HH806" s="602"/>
      <c r="HI806" s="602"/>
      <c r="HJ806" s="602"/>
      <c r="HK806" s="602"/>
      <c r="HL806" s="602"/>
      <c r="HM806" s="602"/>
      <c r="HN806" s="602"/>
      <c r="HO806" s="602"/>
      <c r="HP806" s="602"/>
      <c r="HQ806" s="602"/>
      <c r="HR806" s="602"/>
      <c r="HS806" s="602"/>
      <c r="HT806" s="602"/>
      <c r="HU806" s="602"/>
      <c r="HV806" s="602"/>
      <c r="HW806" s="602"/>
      <c r="HX806" s="602"/>
      <c r="HY806" s="602"/>
      <c r="HZ806" s="602"/>
      <c r="IA806" s="602"/>
      <c r="IB806" s="602"/>
      <c r="IC806" s="602"/>
      <c r="ID806" s="602"/>
      <c r="IE806" s="602"/>
      <c r="IF806" s="602"/>
      <c r="IG806" s="602"/>
      <c r="IH806" s="602"/>
      <c r="II806" s="602"/>
      <c r="IJ806" s="602"/>
      <c r="IK806" s="602"/>
      <c r="IL806" s="602"/>
      <c r="IM806" s="602"/>
      <c r="IN806" s="602"/>
      <c r="IO806" s="602"/>
      <c r="IP806" s="602"/>
      <c r="IQ806" s="602"/>
      <c r="IR806" s="602"/>
      <c r="IS806" s="602"/>
      <c r="IT806" s="602"/>
      <c r="IU806" s="602"/>
      <c r="IV806" s="602"/>
    </row>
    <row r="807" spans="1:256" s="713" customFormat="1" ht="13.2">
      <c r="A807"/>
      <c r="B807" s="807"/>
      <c r="C807" s="807" t="s">
        <v>692</v>
      </c>
      <c r="D807" s="807" t="str">
        <f ca="1">CELL("Address",Elec_Rates!D$179)</f>
        <v>[E25_0477_IH_Retro_Elec_Est_Rev_A_AW.xlsx]Elec_Rates!$D$179</v>
      </c>
      <c r="E807" s="808"/>
      <c r="F807" s="808"/>
      <c r="G807" s="809" t="s">
        <v>693</v>
      </c>
      <c r="H807" s="809"/>
      <c r="I807" s="809"/>
      <c r="J807" s="809"/>
      <c r="K807" s="810"/>
      <c r="L807" s="808"/>
      <c r="M807" s="808"/>
      <c r="N807" s="808"/>
      <c r="O807" s="811"/>
      <c r="P807" s="808"/>
      <c r="Q807" s="812"/>
      <c r="R807" s="813"/>
      <c r="S807" s="812"/>
      <c r="T807" s="814"/>
      <c r="U807" s="815"/>
    </row>
    <row r="808" spans="1:256" s="713" customFormat="1" ht="11.4">
      <c r="A808" s="816">
        <v>55</v>
      </c>
      <c r="B808" s="817">
        <v>1</v>
      </c>
      <c r="C808" s="817">
        <f>$A808*$B808</f>
        <v>55</v>
      </c>
      <c r="D808" s="818" t="str">
        <f>Elec_Rates!$D$179</f>
        <v>005# 4core x 120sqmm FG16(0)M16 cable</v>
      </c>
      <c r="E808" s="818"/>
      <c r="F808" s="818" t="s">
        <v>694</v>
      </c>
      <c r="G808" s="819" t="s">
        <v>695</v>
      </c>
      <c r="H808" s="819"/>
      <c r="I808" s="819"/>
      <c r="J808" s="819"/>
      <c r="K808" s="820"/>
      <c r="L808" s="815"/>
      <c r="M808" s="815"/>
      <c r="N808" s="815"/>
      <c r="O808" s="821"/>
      <c r="P808" s="818"/>
      <c r="Q808" s="822">
        <f ca="1">$B808*Elec_Rates!$R$179</f>
        <v>0</v>
      </c>
      <c r="R808" s="813">
        <f ca="1">$A808*Q808</f>
        <v>0</v>
      </c>
      <c r="S808" s="822">
        <f ca="1">$B808*Elec_Rates!$T$179</f>
        <v>0</v>
      </c>
      <c r="T808" s="814">
        <f ca="1">$A808*S808</f>
        <v>0</v>
      </c>
      <c r="U808" s="583"/>
    </row>
    <row r="809" spans="1:256" s="713" customFormat="1" ht="13.2">
      <c r="A809"/>
      <c r="B809" s="807"/>
      <c r="C809" s="807" t="s">
        <v>692</v>
      </c>
      <c r="D809" s="807" t="str">
        <f ca="1">CELL("Address",Elec_Rates!D$179)</f>
        <v>[E25_0477_IH_Retro_Elec_Est_Rev_A_AW.xlsx]Elec_Rates!$D$179</v>
      </c>
      <c r="E809" s="808"/>
      <c r="F809" s="808"/>
      <c r="G809" s="809" t="s">
        <v>693</v>
      </c>
      <c r="H809" s="809"/>
      <c r="I809" s="809"/>
      <c r="J809" s="809"/>
      <c r="K809" s="810"/>
      <c r="L809" s="808"/>
      <c r="M809" s="808"/>
      <c r="N809" s="808"/>
      <c r="O809" s="811"/>
      <c r="P809" s="808"/>
      <c r="Q809" s="812"/>
      <c r="R809" s="813"/>
      <c r="S809" s="812"/>
      <c r="T809" s="814"/>
      <c r="U809" s="815"/>
    </row>
    <row r="810" spans="1:256" s="713" customFormat="1" ht="11.4">
      <c r="A810" s="816">
        <v>55</v>
      </c>
      <c r="B810" s="817">
        <v>1</v>
      </c>
      <c r="C810" s="817">
        <f>$A810*$B810</f>
        <v>55</v>
      </c>
      <c r="D810" s="818" t="str">
        <f>Elec_Rates!$D$179</f>
        <v>005# 4core x 120sqmm FG16(0)M16 cable</v>
      </c>
      <c r="E810" s="818"/>
      <c r="F810" s="818" t="s">
        <v>694</v>
      </c>
      <c r="G810" s="819" t="s">
        <v>695</v>
      </c>
      <c r="H810" s="819"/>
      <c r="I810" s="819"/>
      <c r="J810" s="819"/>
      <c r="K810" s="820"/>
      <c r="L810" s="815"/>
      <c r="M810" s="815"/>
      <c r="N810" s="815"/>
      <c r="O810" s="821"/>
      <c r="P810" s="818"/>
      <c r="Q810" s="822">
        <f ca="1">$B810*Elec_Rates!$R$179</f>
        <v>0</v>
      </c>
      <c r="R810" s="813">
        <f ca="1">$A810*Q810</f>
        <v>0</v>
      </c>
      <c r="S810" s="822">
        <f ca="1">$B810*Elec_Rates!$T$179</f>
        <v>0</v>
      </c>
      <c r="T810" s="814">
        <f ca="1">$A810*S810</f>
        <v>0</v>
      </c>
      <c r="U810" s="583"/>
    </row>
    <row r="811" spans="1:256" s="713" customFormat="1" ht="13.2">
      <c r="A811"/>
      <c r="B811" s="807"/>
      <c r="C811" s="807" t="s">
        <v>692</v>
      </c>
      <c r="D811" s="807" t="str">
        <f ca="1">CELL("Address",Elec_Rates!D$179)</f>
        <v>[E25_0477_IH_Retro_Elec_Est_Rev_A_AW.xlsx]Elec_Rates!$D$179</v>
      </c>
      <c r="E811" s="808"/>
      <c r="F811" s="808"/>
      <c r="G811" s="809" t="s">
        <v>693</v>
      </c>
      <c r="H811" s="809"/>
      <c r="I811" s="809"/>
      <c r="J811" s="809"/>
      <c r="K811" s="810"/>
      <c r="L811" s="808"/>
      <c r="M811" s="808"/>
      <c r="N811" s="808"/>
      <c r="O811" s="811"/>
      <c r="P811" s="808"/>
      <c r="Q811" s="812"/>
      <c r="R811" s="813"/>
      <c r="S811" s="812"/>
      <c r="T811" s="814"/>
      <c r="U811" s="815"/>
    </row>
    <row r="812" spans="1:256" s="730" customFormat="1" ht="11.4">
      <c r="A812" s="816">
        <v>55</v>
      </c>
      <c r="B812" s="817">
        <v>1</v>
      </c>
      <c r="C812" s="817">
        <f>$A812*$B812</f>
        <v>55</v>
      </c>
      <c r="D812" s="818" t="str">
        <f>Elec_Rates!$D$179</f>
        <v>005# 4core x 120sqmm FG16(0)M16 cable</v>
      </c>
      <c r="E812" s="818"/>
      <c r="F812" s="818" t="s">
        <v>694</v>
      </c>
      <c r="G812" s="819" t="s">
        <v>695</v>
      </c>
      <c r="H812" s="819"/>
      <c r="I812" s="819"/>
      <c r="J812" s="819"/>
      <c r="K812" s="820"/>
      <c r="L812" s="815"/>
      <c r="M812" s="815"/>
      <c r="N812" s="815"/>
      <c r="O812" s="821"/>
      <c r="P812" s="818"/>
      <c r="Q812" s="822">
        <f ca="1">$B812*Elec_Rates!$R$179</f>
        <v>0</v>
      </c>
      <c r="R812" s="813">
        <f ca="1">$A812*Q812</f>
        <v>0</v>
      </c>
      <c r="S812" s="822">
        <f ca="1">$B812*Elec_Rates!$T$179</f>
        <v>0</v>
      </c>
      <c r="T812" s="814">
        <f ca="1">$A812*S812</f>
        <v>0</v>
      </c>
      <c r="U812" s="583"/>
      <c r="V812" s="713"/>
      <c r="W812" s="713"/>
      <c r="X812" s="713"/>
      <c r="Y812" s="713"/>
      <c r="Z812" s="713"/>
      <c r="AA812" s="713"/>
      <c r="AB812" s="713"/>
      <c r="AC812" s="713"/>
      <c r="AD812" s="713"/>
      <c r="AE812" s="713"/>
      <c r="AF812" s="713"/>
      <c r="AG812" s="713"/>
      <c r="AH812" s="713"/>
      <c r="AI812" s="713"/>
      <c r="AJ812" s="713"/>
      <c r="AK812" s="713"/>
      <c r="AL812" s="713"/>
      <c r="AM812" s="713"/>
      <c r="AN812" s="713"/>
      <c r="AO812" s="713"/>
      <c r="AP812" s="713"/>
      <c r="AQ812" s="713"/>
      <c r="AR812" s="713"/>
      <c r="AS812" s="713"/>
      <c r="AT812" s="713"/>
      <c r="AU812" s="713"/>
      <c r="AV812" s="713"/>
      <c r="AW812" s="713"/>
      <c r="AX812" s="713"/>
      <c r="AY812" s="713"/>
      <c r="AZ812" s="713"/>
      <c r="BA812" s="713"/>
      <c r="BB812" s="713"/>
      <c r="BC812" s="713"/>
      <c r="BD812" s="713"/>
      <c r="BE812" s="713"/>
      <c r="BF812" s="713"/>
      <c r="BG812" s="713"/>
      <c r="BH812" s="713"/>
      <c r="BI812" s="713"/>
      <c r="BJ812" s="713"/>
      <c r="BK812" s="713"/>
      <c r="BL812" s="713"/>
      <c r="BM812" s="713"/>
      <c r="BN812" s="713"/>
      <c r="BO812" s="713"/>
      <c r="BP812" s="713"/>
      <c r="BQ812" s="713"/>
      <c r="BR812" s="713"/>
      <c r="BS812" s="713"/>
      <c r="BT812" s="713"/>
      <c r="BU812" s="713"/>
      <c r="BV812" s="713"/>
      <c r="BW812" s="713"/>
      <c r="BX812" s="713"/>
      <c r="BY812" s="713"/>
      <c r="BZ812" s="713"/>
      <c r="CA812" s="713"/>
      <c r="CB812" s="713"/>
      <c r="CC812" s="713"/>
      <c r="CD812" s="713"/>
      <c r="CE812" s="713"/>
      <c r="CF812" s="713"/>
      <c r="CG812" s="713"/>
      <c r="CH812" s="713"/>
      <c r="CI812" s="713"/>
      <c r="CJ812" s="713"/>
      <c r="CK812" s="713"/>
      <c r="CL812" s="713"/>
      <c r="CM812" s="713"/>
      <c r="CN812" s="713"/>
      <c r="CO812" s="713"/>
      <c r="CP812" s="713"/>
      <c r="CQ812" s="713"/>
      <c r="CR812" s="713"/>
      <c r="CS812" s="713"/>
      <c r="CT812" s="713"/>
      <c r="CU812" s="713"/>
      <c r="CV812" s="713"/>
      <c r="CW812" s="713"/>
      <c r="CX812" s="713"/>
      <c r="CY812" s="713"/>
      <c r="CZ812" s="713"/>
      <c r="DA812" s="713"/>
      <c r="DB812" s="713"/>
      <c r="DC812" s="713"/>
      <c r="DD812" s="713"/>
      <c r="DE812" s="713"/>
      <c r="DF812" s="713"/>
      <c r="DG812" s="713"/>
      <c r="DH812" s="713"/>
      <c r="DI812" s="713"/>
      <c r="DJ812" s="713"/>
      <c r="DK812" s="713"/>
      <c r="DL812" s="713"/>
      <c r="DM812" s="713"/>
      <c r="DN812" s="713"/>
      <c r="DO812" s="713"/>
      <c r="DP812" s="713"/>
      <c r="DQ812" s="713"/>
      <c r="DR812" s="713"/>
      <c r="DS812" s="713"/>
      <c r="DT812" s="713"/>
      <c r="DU812" s="713"/>
      <c r="DV812" s="713"/>
      <c r="DW812" s="713"/>
      <c r="DX812" s="713"/>
      <c r="DY812" s="713"/>
      <c r="DZ812" s="713"/>
      <c r="EA812" s="713"/>
      <c r="EB812" s="713"/>
      <c r="EC812" s="713"/>
      <c r="ED812" s="713"/>
      <c r="EE812" s="713"/>
      <c r="EF812" s="713"/>
      <c r="EG812" s="713"/>
      <c r="EH812" s="713"/>
      <c r="EI812" s="713"/>
      <c r="EJ812" s="713"/>
      <c r="EK812" s="713"/>
      <c r="EL812" s="713"/>
      <c r="EM812" s="713"/>
      <c r="EN812" s="713"/>
      <c r="EO812" s="713"/>
      <c r="EP812" s="713"/>
      <c r="EQ812" s="713"/>
      <c r="ER812" s="713"/>
      <c r="ES812" s="713"/>
      <c r="ET812" s="713"/>
      <c r="EU812" s="713"/>
      <c r="EV812" s="713"/>
      <c r="EW812" s="713"/>
      <c r="EX812" s="713"/>
      <c r="EY812" s="713"/>
      <c r="EZ812" s="713"/>
      <c r="FA812" s="713"/>
      <c r="FB812" s="713"/>
      <c r="FC812" s="713"/>
      <c r="FD812" s="713"/>
      <c r="FE812" s="713"/>
      <c r="FF812" s="713"/>
      <c r="FG812" s="713"/>
      <c r="FH812" s="713"/>
      <c r="FI812" s="713"/>
      <c r="FJ812" s="713"/>
      <c r="FK812" s="713"/>
      <c r="FL812" s="713"/>
      <c r="FM812" s="713"/>
      <c r="FN812" s="713"/>
      <c r="FO812" s="713"/>
      <c r="FP812" s="713"/>
      <c r="FQ812" s="713"/>
      <c r="FR812" s="713"/>
      <c r="FS812" s="713"/>
      <c r="FT812" s="713"/>
      <c r="FU812" s="713"/>
      <c r="FV812" s="713"/>
      <c r="FW812" s="713"/>
      <c r="FX812" s="713"/>
      <c r="FY812" s="713"/>
      <c r="FZ812" s="713"/>
      <c r="GA812" s="713"/>
      <c r="GB812" s="713"/>
      <c r="GC812" s="713"/>
      <c r="GD812" s="713"/>
      <c r="GE812" s="713"/>
      <c r="GF812" s="713"/>
      <c r="GG812" s="713"/>
      <c r="GH812" s="713"/>
      <c r="GI812" s="713"/>
      <c r="GJ812" s="713"/>
      <c r="GK812" s="713"/>
      <c r="GL812" s="713"/>
      <c r="GM812" s="713"/>
      <c r="GN812" s="713"/>
      <c r="GO812" s="713"/>
      <c r="GP812" s="713"/>
      <c r="GQ812" s="713"/>
      <c r="GR812" s="713"/>
      <c r="GS812" s="713"/>
      <c r="GT812" s="713"/>
      <c r="GU812" s="713"/>
      <c r="GV812" s="713"/>
      <c r="GW812" s="713"/>
      <c r="GX812" s="713"/>
      <c r="GY812" s="713"/>
      <c r="GZ812" s="713"/>
      <c r="HA812" s="713"/>
      <c r="HB812" s="713"/>
      <c r="HC812" s="713"/>
      <c r="HD812" s="713"/>
      <c r="HE812" s="713"/>
      <c r="HF812" s="713"/>
      <c r="HG812" s="713"/>
      <c r="HH812" s="713"/>
      <c r="HI812" s="713"/>
      <c r="HJ812" s="713"/>
      <c r="HK812" s="713"/>
      <c r="HL812" s="713"/>
      <c r="HM812" s="713"/>
      <c r="HN812" s="713"/>
      <c r="HO812" s="713"/>
      <c r="HP812" s="713"/>
      <c r="HQ812" s="713"/>
      <c r="HR812" s="713"/>
      <c r="HS812" s="713"/>
      <c r="HT812" s="713"/>
      <c r="HU812" s="713"/>
      <c r="HV812" s="713"/>
      <c r="HW812" s="713"/>
      <c r="HX812" s="713"/>
      <c r="HY812" s="713"/>
      <c r="HZ812" s="713"/>
      <c r="IA812" s="713"/>
      <c r="IB812" s="713"/>
      <c r="IC812" s="713"/>
      <c r="ID812" s="713"/>
      <c r="IE812" s="713"/>
      <c r="IF812" s="713"/>
      <c r="IG812" s="713"/>
      <c r="IH812" s="713"/>
      <c r="II812" s="713"/>
      <c r="IJ812" s="713"/>
      <c r="IK812" s="713"/>
      <c r="IL812" s="713"/>
      <c r="IM812" s="713"/>
      <c r="IN812" s="713"/>
      <c r="IO812" s="713"/>
      <c r="IP812" s="713"/>
      <c r="IQ812" s="713"/>
      <c r="IR812" s="713"/>
      <c r="IS812" s="713"/>
      <c r="IT812" s="713"/>
      <c r="IU812" s="713"/>
      <c r="IV812" s="713"/>
    </row>
    <row r="813" spans="1:256" s="602" customFormat="1" ht="13.2">
      <c r="A813" s="167">
        <v>1</v>
      </c>
      <c r="B813" s="730" t="s">
        <v>141</v>
      </c>
      <c r="C813" s="730"/>
      <c r="D813" s="730" t="s">
        <v>747</v>
      </c>
      <c r="E813" s="730"/>
      <c r="F813" s="730" t="s">
        <v>749</v>
      </c>
      <c r="G813" s="731" t="s">
        <v>748</v>
      </c>
      <c r="H813" s="732">
        <v>900</v>
      </c>
      <c r="I813" s="730" t="s">
        <v>686</v>
      </c>
      <c r="J813" s="730"/>
      <c r="K813" s="730"/>
      <c r="L813" s="730"/>
      <c r="M813" s="730"/>
      <c r="N813" s="730"/>
      <c r="O813" s="733">
        <v>1</v>
      </c>
      <c r="P813" s="734"/>
      <c r="Q813" s="735"/>
      <c r="R813" s="736">
        <f>$A813*Q813</f>
        <v>0</v>
      </c>
      <c r="S813" s="735">
        <v>8</v>
      </c>
      <c r="T813" s="737">
        <f>$A813*S813*$T$1</f>
        <v>8</v>
      </c>
      <c r="U813" s="730"/>
      <c r="V813" s="730"/>
      <c r="W813" s="730"/>
      <c r="X813" s="730"/>
      <c r="Y813" s="730"/>
      <c r="Z813" s="730"/>
      <c r="AA813" s="730"/>
      <c r="AB813" s="730"/>
      <c r="AC813" s="730"/>
      <c r="AD813" s="730"/>
      <c r="AE813" s="730"/>
      <c r="AF813" s="730"/>
      <c r="AG813" s="730"/>
      <c r="AH813" s="730"/>
      <c r="AI813" s="730"/>
      <c r="AJ813" s="730"/>
      <c r="AK813" s="730"/>
      <c r="AL813" s="730"/>
      <c r="AM813" s="730"/>
      <c r="AN813" s="730"/>
      <c r="AO813" s="730"/>
      <c r="AP813" s="730"/>
      <c r="AQ813" s="730"/>
      <c r="AR813" s="730"/>
      <c r="AS813" s="730"/>
      <c r="AT813" s="730"/>
      <c r="AU813" s="730"/>
      <c r="AV813" s="730"/>
      <c r="AW813" s="730"/>
      <c r="AX813" s="730"/>
      <c r="AY813" s="730"/>
      <c r="AZ813" s="730"/>
      <c r="BA813" s="730"/>
      <c r="BB813" s="730"/>
      <c r="BC813" s="730"/>
      <c r="BD813" s="730"/>
      <c r="BE813" s="730"/>
      <c r="BF813" s="730"/>
      <c r="BG813" s="730"/>
      <c r="BH813" s="730"/>
      <c r="BI813" s="730"/>
      <c r="BJ813" s="730"/>
      <c r="BK813" s="730"/>
      <c r="BL813" s="730"/>
      <c r="BM813" s="730"/>
      <c r="BN813" s="730"/>
      <c r="BO813" s="730"/>
      <c r="BP813" s="730"/>
      <c r="BQ813" s="730"/>
      <c r="BR813" s="730"/>
      <c r="BS813" s="730"/>
      <c r="BT813" s="730"/>
      <c r="BU813" s="730"/>
      <c r="BV813" s="730"/>
      <c r="BW813" s="730"/>
      <c r="BX813" s="730"/>
      <c r="BY813" s="730"/>
      <c r="BZ813" s="730"/>
      <c r="CA813" s="730"/>
      <c r="CB813" s="730"/>
      <c r="CC813" s="730"/>
      <c r="CD813" s="730"/>
      <c r="CE813" s="730"/>
      <c r="CF813" s="730"/>
      <c r="CG813" s="730"/>
      <c r="CH813" s="730"/>
      <c r="CI813" s="730"/>
      <c r="CJ813" s="730"/>
      <c r="CK813" s="730"/>
      <c r="CL813" s="730"/>
      <c r="CM813" s="730"/>
      <c r="CN813" s="730"/>
      <c r="CO813" s="730"/>
      <c r="CP813" s="730"/>
      <c r="CQ813" s="730"/>
      <c r="CR813" s="730"/>
      <c r="CS813" s="730"/>
      <c r="CT813" s="730"/>
      <c r="CU813" s="730"/>
      <c r="CV813" s="730"/>
      <c r="CW813" s="730"/>
      <c r="CX813" s="730"/>
      <c r="CY813" s="730"/>
      <c r="CZ813" s="730"/>
      <c r="DA813" s="730"/>
      <c r="DB813" s="730"/>
      <c r="DC813" s="730"/>
      <c r="DD813" s="730"/>
      <c r="DE813" s="730"/>
      <c r="DF813" s="730"/>
      <c r="DG813" s="730"/>
      <c r="DH813" s="730"/>
      <c r="DI813" s="730"/>
      <c r="DJ813" s="730"/>
      <c r="DK813" s="730"/>
      <c r="DL813" s="730"/>
      <c r="DM813" s="730"/>
      <c r="DN813" s="730"/>
      <c r="DO813" s="730"/>
      <c r="DP813" s="730"/>
      <c r="DQ813" s="730"/>
      <c r="DR813" s="730"/>
      <c r="DS813" s="730"/>
      <c r="DT813" s="730"/>
      <c r="DU813" s="730"/>
      <c r="DV813" s="730"/>
      <c r="DW813" s="730"/>
      <c r="DX813" s="730"/>
      <c r="DY813" s="730"/>
      <c r="DZ813" s="730"/>
      <c r="EA813" s="730"/>
      <c r="EB813" s="730"/>
      <c r="EC813" s="730"/>
      <c r="ED813" s="730"/>
      <c r="EE813" s="730"/>
      <c r="EF813" s="730"/>
      <c r="EG813" s="730"/>
      <c r="EH813" s="730"/>
      <c r="EI813" s="730"/>
      <c r="EJ813" s="730"/>
      <c r="EK813" s="730"/>
      <c r="EL813" s="730"/>
      <c r="EM813" s="730"/>
      <c r="EN813" s="730"/>
      <c r="EO813" s="730"/>
      <c r="EP813" s="730"/>
      <c r="EQ813" s="730"/>
      <c r="ER813" s="730"/>
      <c r="ES813" s="730"/>
      <c r="ET813" s="730"/>
      <c r="EU813" s="730"/>
      <c r="EV813" s="730"/>
      <c r="EW813" s="730"/>
      <c r="EX813" s="730"/>
      <c r="EY813" s="730"/>
      <c r="EZ813" s="730"/>
      <c r="FA813" s="730"/>
      <c r="FB813" s="730"/>
      <c r="FC813" s="730"/>
      <c r="FD813" s="730"/>
      <c r="FE813" s="730"/>
      <c r="FF813" s="730"/>
      <c r="FG813" s="730"/>
      <c r="FH813" s="730"/>
      <c r="FI813" s="730"/>
      <c r="FJ813" s="730"/>
      <c r="FK813" s="730"/>
      <c r="FL813" s="730"/>
      <c r="FM813" s="730"/>
      <c r="FN813" s="730"/>
      <c r="FO813" s="730"/>
      <c r="FP813" s="730"/>
      <c r="FQ813" s="730"/>
      <c r="FR813" s="730"/>
      <c r="FS813" s="730"/>
      <c r="FT813" s="730"/>
      <c r="FU813" s="730"/>
      <c r="FV813" s="730"/>
      <c r="FW813" s="730"/>
      <c r="FX813" s="730"/>
      <c r="FY813" s="730"/>
      <c r="FZ813" s="730"/>
      <c r="GA813" s="730"/>
      <c r="GB813" s="730"/>
      <c r="GC813" s="730"/>
      <c r="GD813" s="730"/>
      <c r="GE813" s="730"/>
      <c r="GF813" s="730"/>
      <c r="GG813" s="730"/>
      <c r="GH813" s="730"/>
      <c r="GI813" s="730"/>
      <c r="GJ813" s="730"/>
      <c r="GK813" s="730"/>
      <c r="GL813" s="730"/>
      <c r="GM813" s="730"/>
      <c r="GN813" s="730"/>
      <c r="GO813" s="730"/>
      <c r="GP813" s="730"/>
      <c r="GQ813" s="730"/>
      <c r="GR813" s="730"/>
      <c r="GS813" s="730"/>
      <c r="GT813" s="730"/>
      <c r="GU813" s="730"/>
      <c r="GV813" s="730"/>
      <c r="GW813" s="730"/>
      <c r="GX813" s="730"/>
      <c r="GY813" s="730"/>
      <c r="GZ813" s="730"/>
      <c r="HA813" s="730"/>
      <c r="HB813" s="730"/>
      <c r="HC813" s="730"/>
      <c r="HD813" s="730"/>
      <c r="HE813" s="730"/>
      <c r="HF813" s="730"/>
      <c r="HG813" s="730"/>
      <c r="HH813" s="730"/>
      <c r="HI813" s="730"/>
      <c r="HJ813" s="730"/>
      <c r="HK813" s="730"/>
      <c r="HL813" s="730"/>
      <c r="HM813" s="730"/>
      <c r="HN813" s="730"/>
      <c r="HO813" s="730"/>
      <c r="HP813" s="730"/>
      <c r="HQ813" s="730"/>
      <c r="HR813" s="730"/>
      <c r="HS813" s="730"/>
      <c r="HT813" s="730"/>
      <c r="HU813" s="730"/>
      <c r="HV813" s="730"/>
      <c r="HW813" s="730"/>
      <c r="HX813" s="730"/>
      <c r="HY813" s="730"/>
      <c r="HZ813" s="730"/>
      <c r="IA813" s="730"/>
      <c r="IB813" s="730"/>
      <c r="IC813" s="730"/>
      <c r="ID813" s="730"/>
      <c r="IE813" s="730"/>
      <c r="IF813" s="730"/>
      <c r="IG813" s="730"/>
      <c r="IH813" s="730"/>
      <c r="II813" s="730"/>
      <c r="IJ813" s="730"/>
      <c r="IK813" s="730"/>
      <c r="IL813" s="730"/>
      <c r="IM813" s="730"/>
      <c r="IN813" s="730"/>
      <c r="IO813" s="730"/>
      <c r="IP813" s="730"/>
      <c r="IQ813" s="730"/>
      <c r="IR813" s="730"/>
      <c r="IS813" s="730"/>
      <c r="IT813" s="730"/>
      <c r="IU813" s="730"/>
      <c r="IV813" s="730"/>
    </row>
    <row r="814" spans="1:256" s="602" customFormat="1" ht="12">
      <c r="A814" s="663"/>
      <c r="B814" s="663"/>
      <c r="C814" s="663"/>
      <c r="D814" s="663"/>
      <c r="E814" s="663"/>
      <c r="F814" s="664"/>
      <c r="G814" s="663"/>
      <c r="H814" s="663"/>
      <c r="I814" s="601"/>
      <c r="J814" s="663"/>
      <c r="K814" s="663"/>
      <c r="L814" s="663"/>
      <c r="M814" s="663"/>
      <c r="N814" s="663"/>
      <c r="O814" s="663"/>
      <c r="P814" s="663"/>
      <c r="Q814" s="601"/>
      <c r="R814" s="666">
        <f>$A814*Q814</f>
        <v>0</v>
      </c>
      <c r="S814" s="601"/>
      <c r="T814" s="681">
        <f>$A814*S814*$T$1</f>
        <v>0</v>
      </c>
    </row>
    <row r="815" spans="1:256" s="602" customFormat="1" ht="12.6" thickBot="1">
      <c r="A815" s="682" t="s">
        <v>145</v>
      </c>
      <c r="B815" s="683">
        <f>(R814+T814)</f>
        <v>0</v>
      </c>
      <c r="C815" s="684"/>
      <c r="D815" s="684"/>
      <c r="E815" s="684"/>
      <c r="F815" s="685"/>
      <c r="G815" s="684" t="s">
        <v>146</v>
      </c>
      <c r="H815" s="684"/>
      <c r="I815" s="686"/>
      <c r="J815" s="684"/>
      <c r="K815" s="684" t="s">
        <v>3</v>
      </c>
      <c r="L815" s="687" t="s">
        <v>143</v>
      </c>
      <c r="M815" s="687"/>
      <c r="N815" s="687"/>
      <c r="O815" s="687"/>
      <c r="P815" s="687"/>
      <c r="Q815" s="688"/>
      <c r="R815" s="689">
        <f ca="1">SUM(R806:R814)</f>
        <v>0</v>
      </c>
      <c r="S815" s="684"/>
      <c r="T815" s="689">
        <f ca="1">SUM(T806:T814)</f>
        <v>8</v>
      </c>
      <c r="U815" s="611"/>
      <c r="V815" s="611"/>
      <c r="W815" s="611"/>
      <c r="X815" s="611"/>
      <c r="Y815" s="611"/>
      <c r="Z815" s="611"/>
      <c r="AA815" s="611"/>
      <c r="AB815" s="611"/>
      <c r="AC815" s="611"/>
      <c r="AD815" s="611"/>
      <c r="AE815" s="611"/>
      <c r="AF815" s="611"/>
      <c r="AG815" s="611"/>
      <c r="AH815" s="611"/>
      <c r="AI815" s="611"/>
      <c r="AJ815" s="611"/>
      <c r="AK815" s="611"/>
      <c r="AL815" s="611"/>
      <c r="AM815" s="611"/>
      <c r="AN815" s="611"/>
      <c r="AO815" s="611"/>
    </row>
    <row r="816" spans="1:256" s="602" customFormat="1" ht="12" thickTop="1">
      <c r="A816" s="51" t="s">
        <v>154</v>
      </c>
      <c r="D816" s="13"/>
      <c r="E816" s="42"/>
      <c r="O816" s="698"/>
    </row>
    <row r="817" spans="1:256" s="602" customFormat="1" ht="13.2">
      <c r="B817" s="3"/>
      <c r="O817" s="698"/>
    </row>
    <row r="818" spans="1:256" s="602" customFormat="1" ht="12">
      <c r="B818" s="699">
        <f ca="1">$F818/$C$2-($R818*$S$2+$T818*$T$2)</f>
        <v>-4.0530328605655086E-2</v>
      </c>
      <c r="D818" s="700" t="s">
        <v>414</v>
      </c>
      <c r="E818" s="701"/>
      <c r="F818" s="702">
        <f ca="1">SUMIF($L724:$L816,"ITEM",F724:F816)</f>
        <v>3820.9600000000005</v>
      </c>
      <c r="G818" s="663"/>
      <c r="H818" s="663"/>
      <c r="I818" s="601"/>
      <c r="J818" s="663"/>
      <c r="K818" s="663"/>
      <c r="L818" s="678" t="s">
        <v>166</v>
      </c>
      <c r="M818" s="678"/>
      <c r="N818" s="678"/>
      <c r="O818" s="678"/>
      <c r="P818" s="678"/>
      <c r="R818" s="702">
        <f ca="1">SUMIF($L724:$L816,"ITEM",R724:R816)</f>
        <v>808.59999999999991</v>
      </c>
      <c r="S818" s="71"/>
      <c r="T818" s="702">
        <f ca="1">SUMIF($L724:$L816,"ITEM",T724:T816)</f>
        <v>76.399999999999991</v>
      </c>
    </row>
    <row r="819" spans="1:256" s="602" customFormat="1" ht="13.2">
      <c r="A819" s="63"/>
      <c r="B819" s="55" t="s">
        <v>413</v>
      </c>
      <c r="C819" s="63"/>
      <c r="D819" s="3"/>
      <c r="F819" s="703" t="s">
        <v>168</v>
      </c>
      <c r="G819" s="663"/>
      <c r="H819" s="663"/>
      <c r="I819" s="601"/>
      <c r="J819" s="663"/>
      <c r="K819" s="663"/>
      <c r="L819" s="663"/>
      <c r="M819" s="663"/>
      <c r="N819" s="663"/>
      <c r="O819" s="663"/>
      <c r="P819" s="663"/>
      <c r="Q819" s="665"/>
      <c r="R819" s="703" t="s">
        <v>169</v>
      </c>
      <c r="S819" s="38"/>
      <c r="T819" s="703" t="s">
        <v>170</v>
      </c>
    </row>
    <row r="820" spans="1:256" s="602" customFormat="1" ht="13.2">
      <c r="A820" s="663"/>
      <c r="B820" s="3"/>
      <c r="C820" s="663"/>
      <c r="D820" s="3"/>
      <c r="E820" s="3"/>
      <c r="G820" s="3"/>
      <c r="H820" s="3"/>
      <c r="I820" s="3"/>
      <c r="J820" s="3"/>
      <c r="K820" s="3"/>
      <c r="L820" s="3"/>
      <c r="M820" s="3"/>
      <c r="N820" s="3"/>
      <c r="O820" s="158"/>
      <c r="P820" s="3"/>
      <c r="Q820" s="3"/>
      <c r="R820" s="3"/>
      <c r="S820" s="3"/>
      <c r="T820" s="3"/>
    </row>
    <row r="821" spans="1:256" s="602" customFormat="1" ht="12" thickBot="1">
      <c r="A821" s="611"/>
      <c r="B821" s="684"/>
      <c r="C821" s="684"/>
      <c r="D821" s="611"/>
      <c r="E821" s="39"/>
      <c r="F821" s="704"/>
      <c r="G821" s="684"/>
      <c r="H821" s="684"/>
      <c r="I821" s="686"/>
      <c r="J821" s="684"/>
      <c r="K821" s="684"/>
      <c r="L821" s="687"/>
      <c r="M821" s="687"/>
      <c r="N821" s="687"/>
      <c r="O821" s="687"/>
      <c r="P821" s="687"/>
      <c r="Q821" s="688"/>
      <c r="R821" s="704"/>
      <c r="S821" s="705"/>
      <c r="T821" s="704"/>
      <c r="U821" s="611"/>
      <c r="V821" s="611"/>
      <c r="W821" s="611"/>
      <c r="X821" s="611"/>
      <c r="Y821" s="611"/>
      <c r="Z821" s="611"/>
      <c r="AA821" s="611"/>
      <c r="AB821" s="611"/>
      <c r="AC821" s="611"/>
      <c r="AD821" s="611"/>
      <c r="AE821" s="611"/>
      <c r="AF821" s="611"/>
      <c r="AG821" s="611"/>
      <c r="AH821" s="611"/>
      <c r="AI821" s="611"/>
      <c r="AJ821" s="611"/>
      <c r="AK821" s="611"/>
    </row>
    <row r="822" spans="1:256" s="602" customFormat="1" ht="12" customHeight="1" thickTop="1">
      <c r="A822" s="63"/>
      <c r="B822" s="41"/>
      <c r="C822" s="63"/>
      <c r="E822" s="42" t="s">
        <v>138</v>
      </c>
      <c r="F822" s="42" t="s">
        <v>139</v>
      </c>
      <c r="G822" s="63"/>
      <c r="H822" s="63"/>
      <c r="I822" s="63"/>
      <c r="J822" s="63"/>
      <c r="K822" s="63" t="s">
        <v>140</v>
      </c>
      <c r="L822" s="63"/>
      <c r="M822" s="63"/>
      <c r="N822" s="63"/>
      <c r="O822" s="64"/>
      <c r="P822" s="63"/>
      <c r="Q822" s="63"/>
      <c r="R822" s="63"/>
      <c r="S822" s="63"/>
      <c r="T822" s="41"/>
      <c r="AG822" s="667" t="s">
        <v>278</v>
      </c>
      <c r="AH822" s="667" t="s">
        <v>279</v>
      </c>
      <c r="AI822" s="667" t="s">
        <v>280</v>
      </c>
      <c r="AJ822" s="667" t="s">
        <v>281</v>
      </c>
      <c r="AK822" s="667" t="s">
        <v>282</v>
      </c>
      <c r="AM822" s="668" t="s">
        <v>291</v>
      </c>
      <c r="AN822" s="669" t="s">
        <v>292</v>
      </c>
      <c r="AO822" s="603" t="s">
        <v>288</v>
      </c>
    </row>
    <row r="823" spans="1:256" s="602" customFormat="1" ht="39.9" customHeight="1">
      <c r="A823" s="670">
        <v>1</v>
      </c>
      <c r="B823" s="671" t="s">
        <v>312</v>
      </c>
      <c r="C823" s="672"/>
      <c r="D823" s="673" t="s">
        <v>516</v>
      </c>
      <c r="E823" s="674">
        <f>IF(AND($A823=0,$A$1="DIF"),0, ROUND(ROUND(($R831*$S$2+($T831*$T$2))/A823,2)*$C$2,2))</f>
        <v>1028.83</v>
      </c>
      <c r="F823" s="675">
        <f>ROUND($A823*$E823,2)</f>
        <v>1028.83</v>
      </c>
      <c r="G823" s="676" t="s">
        <v>142</v>
      </c>
      <c r="H823" s="664"/>
      <c r="I823" s="677"/>
      <c r="J823" s="664"/>
      <c r="K823" s="664" t="s">
        <v>3</v>
      </c>
      <c r="L823" s="678" t="s">
        <v>143</v>
      </c>
      <c r="M823" s="678"/>
      <c r="N823" s="678"/>
      <c r="O823" s="678"/>
      <c r="P823" s="678"/>
      <c r="Q823" s="63"/>
      <c r="T823" s="679" t="str">
        <f>IF(AND($R831=0,$T831=0),"0.00","mu :" &amp; ROUND($F823/$C$2/($R831+$T831*$D$9),2))</f>
        <v>mu :1.35</v>
      </c>
      <c r="W823" s="604"/>
      <c r="AG823" s="549">
        <f>IF($E823=0,0,ROUND($R831*$S$2*$C$2/$A823,2))</f>
        <v>0</v>
      </c>
      <c r="AH823" s="549">
        <f>$AG823*$A823</f>
        <v>0</v>
      </c>
      <c r="AI823" s="605">
        <f>$E823-$AG823</f>
        <v>1028.83</v>
      </c>
      <c r="AJ823" s="605">
        <f>$A823*$AI823</f>
        <v>1028.83</v>
      </c>
      <c r="AK823" s="606">
        <f>ROUND(($AG823+$AI823)*$A823,2)</f>
        <v>1028.83</v>
      </c>
      <c r="AM823" s="607">
        <f>ROUND(R831,2)</f>
        <v>0</v>
      </c>
      <c r="AN823" s="608">
        <f>ROUND(T831,2)</f>
        <v>28.5</v>
      </c>
      <c r="AO823" s="609">
        <f>ROUND(AM823+AN823,2)*A823</f>
        <v>28.5</v>
      </c>
    </row>
    <row r="824" spans="1:256" s="730" customFormat="1" ht="13.2">
      <c r="A824" s="672"/>
      <c r="B824"/>
      <c r="C824" s="672"/>
      <c r="D824" s="1368" t="s">
        <v>517</v>
      </c>
      <c r="E824" s="1369"/>
      <c r="F824" s="1369"/>
      <c r="G824" s="1369"/>
      <c r="H824" s="1369"/>
      <c r="I824" s="1369"/>
      <c r="J824" s="1369"/>
      <c r="K824" s="1369"/>
      <c r="L824" s="1369"/>
      <c r="M824" s="1369"/>
      <c r="N824" s="1369"/>
      <c r="O824" s="1369"/>
      <c r="P824" s="1369"/>
      <c r="Q824" s="1369"/>
      <c r="R824" s="1369"/>
      <c r="S824" s="1369"/>
      <c r="T824" s="1369"/>
      <c r="U824" s="602"/>
      <c r="V824" s="602"/>
      <c r="W824" s="602"/>
      <c r="X824" s="602"/>
      <c r="Y824" s="602"/>
      <c r="Z824" s="602"/>
      <c r="AA824" s="602"/>
      <c r="AB824" s="602"/>
      <c r="AC824" s="602"/>
      <c r="AD824" s="602"/>
      <c r="AE824" s="602"/>
      <c r="AF824" s="602"/>
      <c r="AG824" s="602"/>
      <c r="AH824" s="602"/>
      <c r="AI824" s="602"/>
      <c r="AJ824" s="602"/>
      <c r="AK824" s="602"/>
      <c r="AL824" s="602"/>
      <c r="AM824" s="602"/>
      <c r="AN824" s="602"/>
      <c r="AO824" s="602"/>
      <c r="AP824" s="602"/>
      <c r="AQ824" s="602"/>
      <c r="AR824" s="602"/>
      <c r="AS824" s="602"/>
      <c r="AT824" s="602"/>
      <c r="AU824" s="602"/>
      <c r="AV824" s="602"/>
      <c r="AW824" s="602"/>
      <c r="AX824" s="602"/>
      <c r="AY824" s="602"/>
      <c r="AZ824" s="602"/>
      <c r="BA824" s="602"/>
      <c r="BB824" s="602"/>
      <c r="BC824" s="602"/>
      <c r="BD824" s="602"/>
      <c r="BE824" s="602"/>
      <c r="BF824" s="602"/>
      <c r="BG824" s="602"/>
      <c r="BH824" s="602"/>
      <c r="BI824" s="602"/>
      <c r="BJ824" s="602"/>
      <c r="BK824" s="602"/>
      <c r="BL824" s="602"/>
      <c r="BM824" s="602"/>
      <c r="BN824" s="602"/>
      <c r="BO824" s="602"/>
      <c r="BP824" s="602"/>
      <c r="BQ824" s="602"/>
      <c r="BR824" s="602"/>
      <c r="BS824" s="602"/>
      <c r="BT824" s="602"/>
      <c r="BU824" s="602"/>
      <c r="BV824" s="602"/>
      <c r="BW824" s="602"/>
      <c r="BX824" s="602"/>
      <c r="BY824" s="602"/>
      <c r="BZ824" s="602"/>
      <c r="CA824" s="602"/>
      <c r="CB824" s="602"/>
      <c r="CC824" s="602"/>
      <c r="CD824" s="602"/>
      <c r="CE824" s="602"/>
      <c r="CF824" s="602"/>
      <c r="CG824" s="602"/>
      <c r="CH824" s="602"/>
      <c r="CI824" s="602"/>
      <c r="CJ824" s="602"/>
      <c r="CK824" s="602"/>
      <c r="CL824" s="602"/>
      <c r="CM824" s="602"/>
      <c r="CN824" s="602"/>
      <c r="CO824" s="602"/>
      <c r="CP824" s="602"/>
      <c r="CQ824" s="602"/>
      <c r="CR824" s="602"/>
      <c r="CS824" s="602"/>
      <c r="CT824" s="602"/>
      <c r="CU824" s="602"/>
      <c r="CV824" s="602"/>
      <c r="CW824" s="602"/>
      <c r="CX824" s="602"/>
      <c r="CY824" s="602"/>
      <c r="CZ824" s="602"/>
      <c r="DA824" s="602"/>
      <c r="DB824" s="602"/>
      <c r="DC824" s="602"/>
      <c r="DD824" s="602"/>
      <c r="DE824" s="602"/>
      <c r="DF824" s="602"/>
      <c r="DG824" s="602"/>
      <c r="DH824" s="602"/>
      <c r="DI824" s="602"/>
      <c r="DJ824" s="602"/>
      <c r="DK824" s="602"/>
      <c r="DL824" s="602"/>
      <c r="DM824" s="602"/>
      <c r="DN824" s="602"/>
      <c r="DO824" s="602"/>
      <c r="DP824" s="602"/>
      <c r="DQ824" s="602"/>
      <c r="DR824" s="602"/>
      <c r="DS824" s="602"/>
      <c r="DT824" s="602"/>
      <c r="DU824" s="602"/>
      <c r="DV824" s="602"/>
      <c r="DW824" s="602"/>
      <c r="DX824" s="602"/>
      <c r="DY824" s="602"/>
      <c r="DZ824" s="602"/>
      <c r="EA824" s="602"/>
      <c r="EB824" s="602"/>
      <c r="EC824" s="602"/>
      <c r="ED824" s="602"/>
      <c r="EE824" s="602"/>
      <c r="EF824" s="602"/>
      <c r="EG824" s="602"/>
      <c r="EH824" s="602"/>
      <c r="EI824" s="602"/>
      <c r="EJ824" s="602"/>
      <c r="EK824" s="602"/>
      <c r="EL824" s="602"/>
      <c r="EM824" s="602"/>
      <c r="EN824" s="602"/>
      <c r="EO824" s="602"/>
      <c r="EP824" s="602"/>
      <c r="EQ824" s="602"/>
      <c r="ER824" s="602"/>
      <c r="ES824" s="602"/>
      <c r="ET824" s="602"/>
      <c r="EU824" s="602"/>
      <c r="EV824" s="602"/>
      <c r="EW824" s="602"/>
      <c r="EX824" s="602"/>
      <c r="EY824" s="602"/>
      <c r="EZ824" s="602"/>
      <c r="FA824" s="602"/>
      <c r="FB824" s="602"/>
      <c r="FC824" s="602"/>
      <c r="FD824" s="602"/>
      <c r="FE824" s="602"/>
      <c r="FF824" s="602"/>
      <c r="FG824" s="602"/>
      <c r="FH824" s="602"/>
      <c r="FI824" s="602"/>
      <c r="FJ824" s="602"/>
      <c r="FK824" s="602"/>
      <c r="FL824" s="602"/>
      <c r="FM824" s="602"/>
      <c r="FN824" s="602"/>
      <c r="FO824" s="602"/>
      <c r="FP824" s="602"/>
      <c r="FQ824" s="602"/>
      <c r="FR824" s="602"/>
      <c r="FS824" s="602"/>
      <c r="FT824" s="602"/>
      <c r="FU824" s="602"/>
      <c r="FV824" s="602"/>
      <c r="FW824" s="602"/>
      <c r="FX824" s="602"/>
      <c r="FY824" s="602"/>
      <c r="FZ824" s="602"/>
      <c r="GA824" s="602"/>
      <c r="GB824" s="602"/>
      <c r="GC824" s="602"/>
      <c r="GD824" s="602"/>
      <c r="GE824" s="602"/>
      <c r="GF824" s="602"/>
      <c r="GG824" s="602"/>
      <c r="GH824" s="602"/>
      <c r="GI824" s="602"/>
      <c r="GJ824" s="602"/>
      <c r="GK824" s="602"/>
      <c r="GL824" s="602"/>
      <c r="GM824" s="602"/>
      <c r="GN824" s="602"/>
      <c r="GO824" s="602"/>
      <c r="GP824" s="602"/>
      <c r="GQ824" s="602"/>
      <c r="GR824" s="602"/>
      <c r="GS824" s="602"/>
      <c r="GT824" s="602"/>
      <c r="GU824" s="602"/>
      <c r="GV824" s="602"/>
      <c r="GW824" s="602"/>
      <c r="GX824" s="602"/>
      <c r="GY824" s="602"/>
      <c r="GZ824" s="602"/>
      <c r="HA824" s="602"/>
      <c r="HB824" s="602"/>
      <c r="HC824" s="602"/>
      <c r="HD824" s="602"/>
      <c r="HE824" s="602"/>
      <c r="HF824" s="602"/>
      <c r="HG824" s="602"/>
      <c r="HH824" s="602"/>
      <c r="HI824" s="602"/>
      <c r="HJ824" s="602"/>
      <c r="HK824" s="602"/>
      <c r="HL824" s="602"/>
      <c r="HM824" s="602"/>
      <c r="HN824" s="602"/>
      <c r="HO824" s="602"/>
      <c r="HP824" s="602"/>
      <c r="HQ824" s="602"/>
      <c r="HR824" s="602"/>
      <c r="HS824" s="602"/>
      <c r="HT824" s="602"/>
      <c r="HU824" s="602"/>
      <c r="HV824" s="602"/>
      <c r="HW824" s="602"/>
      <c r="HX824" s="602"/>
      <c r="HY824" s="602"/>
      <c r="HZ824" s="602"/>
      <c r="IA824" s="602"/>
      <c r="IB824" s="602"/>
      <c r="IC824" s="602"/>
      <c r="ID824" s="602"/>
      <c r="IE824" s="602"/>
      <c r="IF824" s="602"/>
      <c r="IG824" s="602"/>
      <c r="IH824" s="602"/>
      <c r="II824" s="602"/>
      <c r="IJ824" s="602"/>
      <c r="IK824" s="602"/>
      <c r="IL824" s="602"/>
      <c r="IM824" s="602"/>
      <c r="IN824" s="602"/>
      <c r="IO824" s="602"/>
      <c r="IP824" s="602"/>
      <c r="IQ824" s="602"/>
      <c r="IR824" s="602"/>
      <c r="IS824" s="602"/>
      <c r="IT824" s="602"/>
      <c r="IU824" s="602"/>
      <c r="IV824" s="602"/>
    </row>
    <row r="825" spans="1:256" s="730" customFormat="1" ht="13.2">
      <c r="A825">
        <v>1</v>
      </c>
      <c r="B825" s="730" t="s">
        <v>312</v>
      </c>
      <c r="D825" s="730" t="s">
        <v>750</v>
      </c>
      <c r="F825" s="730" t="s">
        <v>1032</v>
      </c>
      <c r="G825" s="731" t="s">
        <v>736</v>
      </c>
      <c r="H825" s="732">
        <v>901</v>
      </c>
      <c r="I825" s="730" t="s">
        <v>686</v>
      </c>
      <c r="O825" s="733">
        <v>1</v>
      </c>
      <c r="P825" s="734">
        <v>40613</v>
      </c>
      <c r="Q825" s="735"/>
      <c r="R825" s="736">
        <f t="shared" ref="R825:R830" si="33">$A825*Q825</f>
        <v>0</v>
      </c>
      <c r="S825" s="735">
        <v>4</v>
      </c>
      <c r="T825" s="737">
        <f t="shared" ref="T825:T830" si="34">$A825*S825*$T$1</f>
        <v>4</v>
      </c>
    </row>
    <row r="826" spans="1:256" s="730" customFormat="1" ht="13.2">
      <c r="A826">
        <v>1</v>
      </c>
      <c r="B826" s="730" t="s">
        <v>312</v>
      </c>
      <c r="D826" s="730" t="s">
        <v>750</v>
      </c>
      <c r="F826" s="730" t="s">
        <v>959</v>
      </c>
      <c r="G826" s="731" t="s">
        <v>736</v>
      </c>
      <c r="H826" s="732">
        <v>901</v>
      </c>
      <c r="I826" s="730" t="s">
        <v>686</v>
      </c>
      <c r="O826" s="733">
        <v>1</v>
      </c>
      <c r="P826" s="734">
        <v>40613</v>
      </c>
      <c r="Q826" s="735"/>
      <c r="R826" s="736">
        <f t="shared" si="33"/>
        <v>0</v>
      </c>
      <c r="S826" s="735">
        <v>8</v>
      </c>
      <c r="T826" s="737">
        <f t="shared" si="34"/>
        <v>8</v>
      </c>
    </row>
    <row r="827" spans="1:256" s="730" customFormat="1" ht="13.2">
      <c r="A827">
        <f>3+4+4+7+4+3</f>
        <v>25</v>
      </c>
      <c r="B827" s="730" t="s">
        <v>326</v>
      </c>
      <c r="D827" s="730" t="s">
        <v>1029</v>
      </c>
      <c r="F827" s="806" t="s">
        <v>735</v>
      </c>
      <c r="G827" s="731" t="s">
        <v>1030</v>
      </c>
      <c r="H827" s="732">
        <v>616</v>
      </c>
      <c r="I827" s="730" t="s">
        <v>561</v>
      </c>
      <c r="J827" s="730" t="s">
        <v>1031</v>
      </c>
      <c r="O827" s="733">
        <v>2</v>
      </c>
      <c r="P827" s="734">
        <v>40767</v>
      </c>
      <c r="Q827" s="735"/>
      <c r="R827" s="736">
        <f t="shared" si="33"/>
        <v>0</v>
      </c>
      <c r="S827" s="735">
        <v>0.26</v>
      </c>
      <c r="T827" s="737">
        <f t="shared" si="34"/>
        <v>6.5</v>
      </c>
    </row>
    <row r="828" spans="1:256" s="730" customFormat="1" ht="13.2">
      <c r="A828" s="167">
        <v>1</v>
      </c>
      <c r="B828" s="730" t="s">
        <v>141</v>
      </c>
      <c r="D828" s="730" t="s">
        <v>747</v>
      </c>
      <c r="F828" s="730" t="s">
        <v>1033</v>
      </c>
      <c r="G828" s="731" t="s">
        <v>748</v>
      </c>
      <c r="H828" s="732">
        <v>900</v>
      </c>
      <c r="I828" s="730" t="s">
        <v>686</v>
      </c>
      <c r="O828" s="733">
        <v>1</v>
      </c>
      <c r="P828" s="734"/>
      <c r="Q828" s="735"/>
      <c r="R828" s="736">
        <f t="shared" si="33"/>
        <v>0</v>
      </c>
      <c r="S828" s="735">
        <v>8</v>
      </c>
      <c r="T828" s="737">
        <f t="shared" si="34"/>
        <v>8</v>
      </c>
    </row>
    <row r="829" spans="1:256" s="602" customFormat="1" ht="13.2">
      <c r="A829">
        <v>1</v>
      </c>
      <c r="B829" s="730" t="s">
        <v>312</v>
      </c>
      <c r="C829" s="730"/>
      <c r="D829" s="730" t="s">
        <v>735</v>
      </c>
      <c r="E829" s="730"/>
      <c r="F829" s="730" t="s">
        <v>1038</v>
      </c>
      <c r="G829" s="731" t="s">
        <v>736</v>
      </c>
      <c r="H829" s="732">
        <v>901</v>
      </c>
      <c r="I829" s="730" t="s">
        <v>686</v>
      </c>
      <c r="J829" s="730"/>
      <c r="K829" s="730"/>
      <c r="L829" s="730"/>
      <c r="M829" s="730"/>
      <c r="N829" s="730"/>
      <c r="O829" s="733">
        <v>1</v>
      </c>
      <c r="P829" s="734">
        <v>40613</v>
      </c>
      <c r="Q829" s="735"/>
      <c r="R829" s="736">
        <f t="shared" si="33"/>
        <v>0</v>
      </c>
      <c r="S829" s="735">
        <v>2</v>
      </c>
      <c r="T829" s="737">
        <f t="shared" si="34"/>
        <v>2</v>
      </c>
      <c r="U829" s="730"/>
      <c r="V829" s="730"/>
      <c r="W829" s="730"/>
      <c r="X829" s="730"/>
      <c r="Y829" s="730"/>
      <c r="Z829" s="730"/>
      <c r="AA829" s="730"/>
      <c r="AB829" s="730"/>
      <c r="AC829" s="730"/>
      <c r="AD829" s="730"/>
      <c r="AE829" s="730"/>
      <c r="AF829" s="730"/>
      <c r="AG829" s="730"/>
      <c r="AH829" s="730"/>
      <c r="AI829" s="730"/>
      <c r="AJ829" s="730"/>
      <c r="AK829" s="730"/>
      <c r="AL829" s="730"/>
      <c r="AM829" s="730"/>
      <c r="AN829" s="730"/>
      <c r="AO829" s="730"/>
      <c r="AP829" s="730"/>
      <c r="AQ829" s="730"/>
      <c r="AR829" s="730"/>
      <c r="AS829" s="730"/>
      <c r="AT829" s="730"/>
      <c r="AU829" s="730"/>
      <c r="AV829" s="730"/>
      <c r="AW829" s="730"/>
      <c r="AX829" s="730"/>
      <c r="AY829" s="730"/>
      <c r="AZ829" s="730"/>
      <c r="BA829" s="730"/>
      <c r="BB829" s="730"/>
      <c r="BC829" s="730"/>
      <c r="BD829" s="730"/>
      <c r="BE829" s="730"/>
      <c r="BF829" s="730"/>
      <c r="BG829" s="730"/>
      <c r="BH829" s="730"/>
      <c r="BI829" s="730"/>
      <c r="BJ829" s="730"/>
      <c r="BK829" s="730"/>
      <c r="BL829" s="730"/>
      <c r="BM829" s="730"/>
      <c r="BN829" s="730"/>
      <c r="BO829" s="730"/>
      <c r="BP829" s="730"/>
      <c r="BQ829" s="730"/>
      <c r="BR829" s="730"/>
      <c r="BS829" s="730"/>
      <c r="BT829" s="730"/>
      <c r="BU829" s="730"/>
      <c r="BV829" s="730"/>
      <c r="BW829" s="730"/>
      <c r="BX829" s="730"/>
      <c r="BY829" s="730"/>
      <c r="BZ829" s="730"/>
      <c r="CA829" s="730"/>
      <c r="CB829" s="730"/>
      <c r="CC829" s="730"/>
      <c r="CD829" s="730"/>
      <c r="CE829" s="730"/>
      <c r="CF829" s="730"/>
      <c r="CG829" s="730"/>
      <c r="CH829" s="730"/>
      <c r="CI829" s="730"/>
      <c r="CJ829" s="730"/>
      <c r="CK829" s="730"/>
      <c r="CL829" s="730"/>
      <c r="CM829" s="730"/>
      <c r="CN829" s="730"/>
      <c r="CO829" s="730"/>
      <c r="CP829" s="730"/>
      <c r="CQ829" s="730"/>
      <c r="CR829" s="730"/>
      <c r="CS829" s="730"/>
      <c r="CT829" s="730"/>
      <c r="CU829" s="730"/>
      <c r="CV829" s="730"/>
      <c r="CW829" s="730"/>
      <c r="CX829" s="730"/>
      <c r="CY829" s="730"/>
      <c r="CZ829" s="730"/>
      <c r="DA829" s="730"/>
      <c r="DB829" s="730"/>
      <c r="DC829" s="730"/>
      <c r="DD829" s="730"/>
      <c r="DE829" s="730"/>
      <c r="DF829" s="730"/>
      <c r="DG829" s="730"/>
      <c r="DH829" s="730"/>
      <c r="DI829" s="730"/>
      <c r="DJ829" s="730"/>
      <c r="DK829" s="730"/>
      <c r="DL829" s="730"/>
      <c r="DM829" s="730"/>
      <c r="DN829" s="730"/>
      <c r="DO829" s="730"/>
      <c r="DP829" s="730"/>
      <c r="DQ829" s="730"/>
      <c r="DR829" s="730"/>
      <c r="DS829" s="730"/>
      <c r="DT829" s="730"/>
      <c r="DU829" s="730"/>
      <c r="DV829" s="730"/>
      <c r="DW829" s="730"/>
      <c r="DX829" s="730"/>
      <c r="DY829" s="730"/>
      <c r="DZ829" s="730"/>
      <c r="EA829" s="730"/>
      <c r="EB829" s="730"/>
      <c r="EC829" s="730"/>
      <c r="ED829" s="730"/>
      <c r="EE829" s="730"/>
      <c r="EF829" s="730"/>
      <c r="EG829" s="730"/>
      <c r="EH829" s="730"/>
      <c r="EI829" s="730"/>
      <c r="EJ829" s="730"/>
      <c r="EK829" s="730"/>
      <c r="EL829" s="730"/>
      <c r="EM829" s="730"/>
      <c r="EN829" s="730"/>
      <c r="EO829" s="730"/>
      <c r="EP829" s="730"/>
      <c r="EQ829" s="730"/>
      <c r="ER829" s="730"/>
      <c r="ES829" s="730"/>
      <c r="ET829" s="730"/>
      <c r="EU829" s="730"/>
      <c r="EV829" s="730"/>
      <c r="EW829" s="730"/>
      <c r="EX829" s="730"/>
      <c r="EY829" s="730"/>
      <c r="EZ829" s="730"/>
      <c r="FA829" s="730"/>
      <c r="FB829" s="730"/>
      <c r="FC829" s="730"/>
      <c r="FD829" s="730"/>
      <c r="FE829" s="730"/>
      <c r="FF829" s="730"/>
      <c r="FG829" s="730"/>
      <c r="FH829" s="730"/>
      <c r="FI829" s="730"/>
      <c r="FJ829" s="730"/>
      <c r="FK829" s="730"/>
      <c r="FL829" s="730"/>
      <c r="FM829" s="730"/>
      <c r="FN829" s="730"/>
      <c r="FO829" s="730"/>
      <c r="FP829" s="730"/>
      <c r="FQ829" s="730"/>
      <c r="FR829" s="730"/>
      <c r="FS829" s="730"/>
      <c r="FT829" s="730"/>
      <c r="FU829" s="730"/>
      <c r="FV829" s="730"/>
      <c r="FW829" s="730"/>
      <c r="FX829" s="730"/>
      <c r="FY829" s="730"/>
      <c r="FZ829" s="730"/>
      <c r="GA829" s="730"/>
      <c r="GB829" s="730"/>
      <c r="GC829" s="730"/>
      <c r="GD829" s="730"/>
      <c r="GE829" s="730"/>
      <c r="GF829" s="730"/>
      <c r="GG829" s="730"/>
      <c r="GH829" s="730"/>
      <c r="GI829" s="730"/>
      <c r="GJ829" s="730"/>
      <c r="GK829" s="730"/>
      <c r="GL829" s="730"/>
      <c r="GM829" s="730"/>
      <c r="GN829" s="730"/>
      <c r="GO829" s="730"/>
      <c r="GP829" s="730"/>
      <c r="GQ829" s="730"/>
      <c r="GR829" s="730"/>
      <c r="GS829" s="730"/>
      <c r="GT829" s="730"/>
      <c r="GU829" s="730"/>
      <c r="GV829" s="730"/>
      <c r="GW829" s="730"/>
      <c r="GX829" s="730"/>
      <c r="GY829" s="730"/>
      <c r="GZ829" s="730"/>
      <c r="HA829" s="730"/>
      <c r="HB829" s="730"/>
      <c r="HC829" s="730"/>
      <c r="HD829" s="730"/>
      <c r="HE829" s="730"/>
      <c r="HF829" s="730"/>
      <c r="HG829" s="730"/>
      <c r="HH829" s="730"/>
      <c r="HI829" s="730"/>
      <c r="HJ829" s="730"/>
      <c r="HK829" s="730"/>
      <c r="HL829" s="730"/>
      <c r="HM829" s="730"/>
      <c r="HN829" s="730"/>
      <c r="HO829" s="730"/>
      <c r="HP829" s="730"/>
      <c r="HQ829" s="730"/>
      <c r="HR829" s="730"/>
      <c r="HS829" s="730"/>
      <c r="HT829" s="730"/>
      <c r="HU829" s="730"/>
      <c r="HV829" s="730"/>
      <c r="HW829" s="730"/>
      <c r="HX829" s="730"/>
      <c r="HY829" s="730"/>
      <c r="HZ829" s="730"/>
      <c r="IA829" s="730"/>
      <c r="IB829" s="730"/>
      <c r="IC829" s="730"/>
      <c r="ID829" s="730"/>
      <c r="IE829" s="730"/>
      <c r="IF829" s="730"/>
      <c r="IG829" s="730"/>
      <c r="IH829" s="730"/>
      <c r="II829" s="730"/>
      <c r="IJ829" s="730"/>
      <c r="IK829" s="730"/>
      <c r="IL829" s="730"/>
      <c r="IM829" s="730"/>
      <c r="IN829" s="730"/>
      <c r="IO829" s="730"/>
      <c r="IP829" s="730"/>
      <c r="IQ829" s="730"/>
      <c r="IR829" s="730"/>
      <c r="IS829" s="730"/>
      <c r="IT829" s="730"/>
      <c r="IU829" s="730"/>
      <c r="IV829" s="730"/>
    </row>
    <row r="830" spans="1:256" s="602" customFormat="1" ht="12">
      <c r="A830" s="663"/>
      <c r="B830" s="663"/>
      <c r="C830" s="663"/>
      <c r="D830" s="663"/>
      <c r="E830" s="663"/>
      <c r="F830" s="664"/>
      <c r="G830" s="663"/>
      <c r="H830" s="663"/>
      <c r="I830" s="601"/>
      <c r="J830" s="663"/>
      <c r="K830" s="663"/>
      <c r="L830" s="663"/>
      <c r="M830" s="663"/>
      <c r="N830" s="663"/>
      <c r="O830" s="663"/>
      <c r="P830" s="663"/>
      <c r="Q830" s="601"/>
      <c r="R830" s="666">
        <f t="shared" si="33"/>
        <v>0</v>
      </c>
      <c r="S830" s="601"/>
      <c r="T830" s="681">
        <f t="shared" si="34"/>
        <v>0</v>
      </c>
    </row>
    <row r="831" spans="1:256" s="602" customFormat="1" ht="12.6" thickBot="1">
      <c r="A831" s="682" t="s">
        <v>145</v>
      </c>
      <c r="B831" s="683">
        <f>(R830+T830)</f>
        <v>0</v>
      </c>
      <c r="C831" s="684"/>
      <c r="D831" s="684"/>
      <c r="E831" s="684"/>
      <c r="F831" s="685"/>
      <c r="G831" s="684" t="s">
        <v>146</v>
      </c>
      <c r="H831" s="684"/>
      <c r="I831" s="686"/>
      <c r="J831" s="684"/>
      <c r="K831" s="684" t="s">
        <v>3</v>
      </c>
      <c r="L831" s="687" t="s">
        <v>143</v>
      </c>
      <c r="M831" s="687"/>
      <c r="N831" s="687"/>
      <c r="O831" s="687"/>
      <c r="P831" s="687"/>
      <c r="Q831" s="688"/>
      <c r="R831" s="689">
        <f>SUM(R824:R830)</f>
        <v>0</v>
      </c>
      <c r="S831" s="684"/>
      <c r="T831" s="689">
        <f>SUM(T824:T830)</f>
        <v>28.5</v>
      </c>
      <c r="U831" s="611"/>
      <c r="V831" s="611"/>
      <c r="W831" s="611"/>
      <c r="X831" s="611"/>
      <c r="Y831" s="611"/>
      <c r="Z831" s="611"/>
      <c r="AA831" s="611"/>
      <c r="AB831" s="611"/>
      <c r="AC831" s="611"/>
      <c r="AD831" s="611"/>
      <c r="AE831" s="611"/>
      <c r="AF831" s="611"/>
      <c r="AG831" s="611"/>
      <c r="AH831" s="611"/>
      <c r="AI831" s="611"/>
      <c r="AJ831" s="611"/>
      <c r="AK831" s="611"/>
      <c r="AL831" s="611"/>
      <c r="AM831" s="611"/>
      <c r="AN831" s="611"/>
      <c r="AO831" s="611"/>
    </row>
    <row r="832" spans="1:256" s="602" customFormat="1" ht="12" customHeight="1" thickTop="1">
      <c r="A832" s="63"/>
      <c r="B832" s="41"/>
      <c r="C832" s="63"/>
      <c r="E832" s="42" t="s">
        <v>138</v>
      </c>
      <c r="F832" s="42" t="s">
        <v>139</v>
      </c>
      <c r="G832" s="63"/>
      <c r="H832" s="63"/>
      <c r="I832" s="63"/>
      <c r="J832" s="63"/>
      <c r="K832" s="63" t="s">
        <v>140</v>
      </c>
      <c r="L832" s="63"/>
      <c r="M832" s="63"/>
      <c r="N832" s="63"/>
      <c r="O832" s="64"/>
      <c r="P832" s="63"/>
      <c r="Q832" s="63"/>
      <c r="R832" s="63"/>
      <c r="S832" s="63"/>
      <c r="T832" s="41"/>
      <c r="AG832" s="667" t="s">
        <v>278</v>
      </c>
      <c r="AH832" s="667" t="s">
        <v>279</v>
      </c>
      <c r="AI832" s="667" t="s">
        <v>280</v>
      </c>
      <c r="AJ832" s="667" t="s">
        <v>281</v>
      </c>
      <c r="AK832" s="667" t="s">
        <v>282</v>
      </c>
      <c r="AM832" s="668" t="s">
        <v>291</v>
      </c>
      <c r="AN832" s="669" t="s">
        <v>292</v>
      </c>
      <c r="AO832" s="603" t="s">
        <v>288</v>
      </c>
    </row>
    <row r="833" spans="1:256" s="602" customFormat="1" ht="39.9" customHeight="1">
      <c r="A833" s="670">
        <v>32</v>
      </c>
      <c r="B833" s="671" t="s">
        <v>330</v>
      </c>
      <c r="C833" s="672"/>
      <c r="D833" s="673" t="s">
        <v>518</v>
      </c>
      <c r="E833" s="674">
        <f ca="1">IF(AND($A833=0,$A$1="DIF"),0, ROUND(ROUND(($R841*$S$2+($T841*$T$2))/A833,2)*$C$2,2))</f>
        <v>1.1299999999999999</v>
      </c>
      <c r="F833" s="675">
        <f ca="1">ROUND($A833*$E833,2)</f>
        <v>36.159999999999997</v>
      </c>
      <c r="G833" s="676" t="s">
        <v>142</v>
      </c>
      <c r="H833" s="664"/>
      <c r="I833" s="677"/>
      <c r="J833" s="664"/>
      <c r="K833" s="664" t="s">
        <v>3</v>
      </c>
      <c r="L833" s="678" t="s">
        <v>143</v>
      </c>
      <c r="M833" s="678"/>
      <c r="N833" s="678"/>
      <c r="O833" s="678"/>
      <c r="P833" s="678"/>
      <c r="Q833" s="63"/>
      <c r="T833" s="679" t="str">
        <f ca="1">IF(AND($R841=0,$T841=0),"0.00","mu :" &amp; ROUND($F833/$C$2/($R841+$T841*$D$9),2))</f>
        <v>mu :1.35</v>
      </c>
      <c r="W833" s="604"/>
      <c r="AG833" s="549">
        <f ca="1">IF($E833=0,0,ROUND($R841*$S$2*$C$2/$A833,2))</f>
        <v>0</v>
      </c>
      <c r="AH833" s="549">
        <f ca="1">$AG833*$A833</f>
        <v>0</v>
      </c>
      <c r="AI833" s="605">
        <f ca="1">$E833-$AG833</f>
        <v>1.1299999999999999</v>
      </c>
      <c r="AJ833" s="605">
        <f ca="1">$A833*$AI833</f>
        <v>36.159999999999997</v>
      </c>
      <c r="AK833" s="606">
        <f ca="1">ROUND(($AG833+$AI833)*$A833,2)</f>
        <v>36.159999999999997</v>
      </c>
      <c r="AM833" s="607">
        <f ca="1">ROUND(R841,2)</f>
        <v>0</v>
      </c>
      <c r="AN833" s="608">
        <f ca="1">ROUND(T841,2)</f>
        <v>1</v>
      </c>
      <c r="AO833" s="609">
        <f ca="1">ROUND(AM833+AN833,2)*A833</f>
        <v>32</v>
      </c>
    </row>
    <row r="834" spans="1:256" s="713" customFormat="1" ht="13.2">
      <c r="A834" s="672"/>
      <c r="B834"/>
      <c r="C834" s="672"/>
      <c r="D834" s="1368" t="s">
        <v>519</v>
      </c>
      <c r="E834" s="1369"/>
      <c r="F834" s="1369"/>
      <c r="G834" s="1369"/>
      <c r="H834" s="1369"/>
      <c r="I834" s="1369"/>
      <c r="J834" s="1369"/>
      <c r="K834" s="1369"/>
      <c r="L834" s="1369"/>
      <c r="M834" s="1369"/>
      <c r="N834" s="1369"/>
      <c r="O834" s="1369"/>
      <c r="P834" s="1369"/>
      <c r="Q834" s="1369"/>
      <c r="R834" s="1369"/>
      <c r="S834" s="1369"/>
      <c r="T834" s="1369"/>
      <c r="U834" s="602"/>
      <c r="V834" s="602"/>
      <c r="W834" s="602"/>
      <c r="X834" s="602"/>
      <c r="Y834" s="602"/>
      <c r="Z834" s="602"/>
      <c r="AA834" s="602"/>
      <c r="AB834" s="602"/>
      <c r="AC834" s="602"/>
      <c r="AD834" s="602"/>
      <c r="AE834" s="602"/>
      <c r="AF834" s="602"/>
      <c r="AG834" s="602"/>
      <c r="AH834" s="602"/>
      <c r="AI834" s="602"/>
      <c r="AJ834" s="602"/>
      <c r="AK834" s="602"/>
      <c r="AL834" s="602"/>
      <c r="AM834" s="602"/>
      <c r="AN834" s="602"/>
      <c r="AO834" s="602"/>
      <c r="AP834" s="602"/>
      <c r="AQ834" s="602"/>
      <c r="AR834" s="602"/>
      <c r="AS834" s="602"/>
      <c r="AT834" s="602"/>
      <c r="AU834" s="602"/>
      <c r="AV834" s="602"/>
      <c r="AW834" s="602"/>
      <c r="AX834" s="602"/>
      <c r="AY834" s="602"/>
      <c r="AZ834" s="602"/>
      <c r="BA834" s="602"/>
      <c r="BB834" s="602"/>
      <c r="BC834" s="602"/>
      <c r="BD834" s="602"/>
      <c r="BE834" s="602"/>
      <c r="BF834" s="602"/>
      <c r="BG834" s="602"/>
      <c r="BH834" s="602"/>
      <c r="BI834" s="602"/>
      <c r="BJ834" s="602"/>
      <c r="BK834" s="602"/>
      <c r="BL834" s="602"/>
      <c r="BM834" s="602"/>
      <c r="BN834" s="602"/>
      <c r="BO834" s="602"/>
      <c r="BP834" s="602"/>
      <c r="BQ834" s="602"/>
      <c r="BR834" s="602"/>
      <c r="BS834" s="602"/>
      <c r="BT834" s="602"/>
      <c r="BU834" s="602"/>
      <c r="BV834" s="602"/>
      <c r="BW834" s="602"/>
      <c r="BX834" s="602"/>
      <c r="BY834" s="602"/>
      <c r="BZ834" s="602"/>
      <c r="CA834" s="602"/>
      <c r="CB834" s="602"/>
      <c r="CC834" s="602"/>
      <c r="CD834" s="602"/>
      <c r="CE834" s="602"/>
      <c r="CF834" s="602"/>
      <c r="CG834" s="602"/>
      <c r="CH834" s="602"/>
      <c r="CI834" s="602"/>
      <c r="CJ834" s="602"/>
      <c r="CK834" s="602"/>
      <c r="CL834" s="602"/>
      <c r="CM834" s="602"/>
      <c r="CN834" s="602"/>
      <c r="CO834" s="602"/>
      <c r="CP834" s="602"/>
      <c r="CQ834" s="602"/>
      <c r="CR834" s="602"/>
      <c r="CS834" s="602"/>
      <c r="CT834" s="602"/>
      <c r="CU834" s="602"/>
      <c r="CV834" s="602"/>
      <c r="CW834" s="602"/>
      <c r="CX834" s="602"/>
      <c r="CY834" s="602"/>
      <c r="CZ834" s="602"/>
      <c r="DA834" s="602"/>
      <c r="DB834" s="602"/>
      <c r="DC834" s="602"/>
      <c r="DD834" s="602"/>
      <c r="DE834" s="602"/>
      <c r="DF834" s="602"/>
      <c r="DG834" s="602"/>
      <c r="DH834" s="602"/>
      <c r="DI834" s="602"/>
      <c r="DJ834" s="602"/>
      <c r="DK834" s="602"/>
      <c r="DL834" s="602"/>
      <c r="DM834" s="602"/>
      <c r="DN834" s="602"/>
      <c r="DO834" s="602"/>
      <c r="DP834" s="602"/>
      <c r="DQ834" s="602"/>
      <c r="DR834" s="602"/>
      <c r="DS834" s="602"/>
      <c r="DT834" s="602"/>
      <c r="DU834" s="602"/>
      <c r="DV834" s="602"/>
      <c r="DW834" s="602"/>
      <c r="DX834" s="602"/>
      <c r="DY834" s="602"/>
      <c r="DZ834" s="602"/>
      <c r="EA834" s="602"/>
      <c r="EB834" s="602"/>
      <c r="EC834" s="602"/>
      <c r="ED834" s="602"/>
      <c r="EE834" s="602"/>
      <c r="EF834" s="602"/>
      <c r="EG834" s="602"/>
      <c r="EH834" s="602"/>
      <c r="EI834" s="602"/>
      <c r="EJ834" s="602"/>
      <c r="EK834" s="602"/>
      <c r="EL834" s="602"/>
      <c r="EM834" s="602"/>
      <c r="EN834" s="602"/>
      <c r="EO834" s="602"/>
      <c r="EP834" s="602"/>
      <c r="EQ834" s="602"/>
      <c r="ER834" s="602"/>
      <c r="ES834" s="602"/>
      <c r="ET834" s="602"/>
      <c r="EU834" s="602"/>
      <c r="EV834" s="602"/>
      <c r="EW834" s="602"/>
      <c r="EX834" s="602"/>
      <c r="EY834" s="602"/>
      <c r="EZ834" s="602"/>
      <c r="FA834" s="602"/>
      <c r="FB834" s="602"/>
      <c r="FC834" s="602"/>
      <c r="FD834" s="602"/>
      <c r="FE834" s="602"/>
      <c r="FF834" s="602"/>
      <c r="FG834" s="602"/>
      <c r="FH834" s="602"/>
      <c r="FI834" s="602"/>
      <c r="FJ834" s="602"/>
      <c r="FK834" s="602"/>
      <c r="FL834" s="602"/>
      <c r="FM834" s="602"/>
      <c r="FN834" s="602"/>
      <c r="FO834" s="602"/>
      <c r="FP834" s="602"/>
      <c r="FQ834" s="602"/>
      <c r="FR834" s="602"/>
      <c r="FS834" s="602"/>
      <c r="FT834" s="602"/>
      <c r="FU834" s="602"/>
      <c r="FV834" s="602"/>
      <c r="FW834" s="602"/>
      <c r="FX834" s="602"/>
      <c r="FY834" s="602"/>
      <c r="FZ834" s="602"/>
      <c r="GA834" s="602"/>
      <c r="GB834" s="602"/>
      <c r="GC834" s="602"/>
      <c r="GD834" s="602"/>
      <c r="GE834" s="602"/>
      <c r="GF834" s="602"/>
      <c r="GG834" s="602"/>
      <c r="GH834" s="602"/>
      <c r="GI834" s="602"/>
      <c r="GJ834" s="602"/>
      <c r="GK834" s="602"/>
      <c r="GL834" s="602"/>
      <c r="GM834" s="602"/>
      <c r="GN834" s="602"/>
      <c r="GO834" s="602"/>
      <c r="GP834" s="602"/>
      <c r="GQ834" s="602"/>
      <c r="GR834" s="602"/>
      <c r="GS834" s="602"/>
      <c r="GT834" s="602"/>
      <c r="GU834" s="602"/>
      <c r="GV834" s="602"/>
      <c r="GW834" s="602"/>
      <c r="GX834" s="602"/>
      <c r="GY834" s="602"/>
      <c r="GZ834" s="602"/>
      <c r="HA834" s="602"/>
      <c r="HB834" s="602"/>
      <c r="HC834" s="602"/>
      <c r="HD834" s="602"/>
      <c r="HE834" s="602"/>
      <c r="HF834" s="602"/>
      <c r="HG834" s="602"/>
      <c r="HH834" s="602"/>
      <c r="HI834" s="602"/>
      <c r="HJ834" s="602"/>
      <c r="HK834" s="602"/>
      <c r="HL834" s="602"/>
      <c r="HM834" s="602"/>
      <c r="HN834" s="602"/>
      <c r="HO834" s="602"/>
      <c r="HP834" s="602"/>
      <c r="HQ834" s="602"/>
      <c r="HR834" s="602"/>
      <c r="HS834" s="602"/>
      <c r="HT834" s="602"/>
      <c r="HU834" s="602"/>
      <c r="HV834" s="602"/>
      <c r="HW834" s="602"/>
      <c r="HX834" s="602"/>
      <c r="HY834" s="602"/>
      <c r="HZ834" s="602"/>
      <c r="IA834" s="602"/>
      <c r="IB834" s="602"/>
      <c r="IC834" s="602"/>
      <c r="ID834" s="602"/>
      <c r="IE834" s="602"/>
      <c r="IF834" s="602"/>
      <c r="IG834" s="602"/>
      <c r="IH834" s="602"/>
      <c r="II834" s="602"/>
      <c r="IJ834" s="602"/>
      <c r="IK834" s="602"/>
      <c r="IL834" s="602"/>
      <c r="IM834" s="602"/>
      <c r="IN834" s="602"/>
      <c r="IO834" s="602"/>
      <c r="IP834" s="602"/>
      <c r="IQ834" s="602"/>
      <c r="IR834" s="602"/>
      <c r="IS834" s="602"/>
      <c r="IT834" s="602"/>
      <c r="IU834" s="602"/>
      <c r="IV834" s="602"/>
    </row>
    <row r="835" spans="1:256" s="713" customFormat="1" ht="13.2">
      <c r="A835"/>
      <c r="B835" s="807"/>
      <c r="C835" s="807" t="s">
        <v>692</v>
      </c>
      <c r="D835" s="807" t="str">
        <f ca="1">CELL("Address",Elec_Rates!D$189)</f>
        <v>[E25_0477_IH_Retro_Elec_Est_Rev_A_AW.xlsx]Elec_Rates!$D$189</v>
      </c>
      <c r="E835" s="808"/>
      <c r="F835" s="808"/>
      <c r="G835" s="809" t="s">
        <v>693</v>
      </c>
      <c r="H835" s="809"/>
      <c r="I835" s="809"/>
      <c r="J835" s="809"/>
      <c r="K835" s="810"/>
      <c r="L835" s="808"/>
      <c r="M835" s="808"/>
      <c r="N835" s="808"/>
      <c r="O835" s="811"/>
      <c r="P835" s="808"/>
      <c r="Q835" s="812"/>
      <c r="R835" s="813"/>
      <c r="S835" s="812"/>
      <c r="T835" s="814"/>
      <c r="U835" s="815"/>
    </row>
    <row r="836" spans="1:256" s="713" customFormat="1" ht="11.4">
      <c r="A836" s="816">
        <v>32</v>
      </c>
      <c r="B836" s="817">
        <v>1</v>
      </c>
      <c r="C836" s="817">
        <f>$A836*$B836</f>
        <v>32</v>
      </c>
      <c r="D836" s="818" t="str">
        <f>Elec_Rates!$D$189</f>
        <v>006# 4core x 95sqmm FG16(0)M16 cable</v>
      </c>
      <c r="E836" s="818"/>
      <c r="F836" s="818" t="s">
        <v>694</v>
      </c>
      <c r="G836" s="819" t="s">
        <v>696</v>
      </c>
      <c r="H836" s="819"/>
      <c r="I836" s="819"/>
      <c r="J836" s="819"/>
      <c r="K836" s="820"/>
      <c r="L836" s="815"/>
      <c r="M836" s="815"/>
      <c r="N836" s="815"/>
      <c r="O836" s="821"/>
      <c r="P836" s="818"/>
      <c r="Q836" s="822">
        <f ca="1">$B836*Elec_Rates!$R$189</f>
        <v>0</v>
      </c>
      <c r="R836" s="813">
        <f ca="1">$A836*Q836</f>
        <v>0</v>
      </c>
      <c r="S836" s="822">
        <f ca="1">$B836*Elec_Rates!$T$189</f>
        <v>0</v>
      </c>
      <c r="T836" s="814">
        <f ca="1">$A836*S836</f>
        <v>0</v>
      </c>
      <c r="U836" s="583"/>
    </row>
    <row r="837" spans="1:256" s="713" customFormat="1" ht="13.2">
      <c r="A837"/>
      <c r="B837" s="807"/>
      <c r="C837" s="807" t="s">
        <v>692</v>
      </c>
      <c r="D837" s="807" t="str">
        <f ca="1">CELL("Address",Elec_Rates!D$189)</f>
        <v>[E25_0477_IH_Retro_Elec_Est_Rev_A_AW.xlsx]Elec_Rates!$D$189</v>
      </c>
      <c r="E837" s="808"/>
      <c r="F837" s="808"/>
      <c r="G837" s="809" t="s">
        <v>693</v>
      </c>
      <c r="H837" s="809"/>
      <c r="I837" s="809"/>
      <c r="J837" s="809"/>
      <c r="K837" s="810"/>
      <c r="L837" s="808"/>
      <c r="M837" s="808"/>
      <c r="N837" s="808"/>
      <c r="O837" s="811"/>
      <c r="P837" s="808"/>
      <c r="Q837" s="812"/>
      <c r="R837" s="813"/>
      <c r="S837" s="812"/>
      <c r="T837" s="814"/>
      <c r="U837" s="815"/>
    </row>
    <row r="838" spans="1:256" s="730" customFormat="1" ht="11.4">
      <c r="A838" s="816">
        <v>32</v>
      </c>
      <c r="B838" s="817">
        <v>1</v>
      </c>
      <c r="C838" s="817">
        <f>$A838*$B838</f>
        <v>32</v>
      </c>
      <c r="D838" s="818" t="str">
        <f>Elec_Rates!$D$189</f>
        <v>006# 4core x 95sqmm FG16(0)M16 cable</v>
      </c>
      <c r="E838" s="818"/>
      <c r="F838" s="818" t="s">
        <v>694</v>
      </c>
      <c r="G838" s="819" t="s">
        <v>696</v>
      </c>
      <c r="H838" s="819"/>
      <c r="I838" s="819"/>
      <c r="J838" s="819"/>
      <c r="K838" s="820"/>
      <c r="L838" s="815"/>
      <c r="M838" s="815"/>
      <c r="N838" s="815"/>
      <c r="O838" s="821"/>
      <c r="P838" s="818"/>
      <c r="Q838" s="822">
        <f ca="1">$B838*Elec_Rates!$R$189</f>
        <v>0</v>
      </c>
      <c r="R838" s="813">
        <f ca="1">$A838*Q838</f>
        <v>0</v>
      </c>
      <c r="S838" s="822">
        <f ca="1">$B838*Elec_Rates!$T$189</f>
        <v>0</v>
      </c>
      <c r="T838" s="814">
        <f ca="1">$A838*S838</f>
        <v>0</v>
      </c>
      <c r="U838" s="583"/>
      <c r="V838" s="713"/>
      <c r="W838" s="713"/>
      <c r="X838" s="713"/>
      <c r="Y838" s="713"/>
      <c r="Z838" s="713"/>
      <c r="AA838" s="713"/>
      <c r="AB838" s="713"/>
      <c r="AC838" s="713"/>
      <c r="AD838" s="713"/>
      <c r="AE838" s="713"/>
      <c r="AF838" s="713"/>
      <c r="AG838" s="713"/>
      <c r="AH838" s="713"/>
      <c r="AI838" s="713"/>
      <c r="AJ838" s="713"/>
      <c r="AK838" s="713"/>
      <c r="AL838" s="713"/>
      <c r="AM838" s="713"/>
      <c r="AN838" s="713"/>
      <c r="AO838" s="713"/>
      <c r="AP838" s="713"/>
      <c r="AQ838" s="713"/>
      <c r="AR838" s="713"/>
      <c r="AS838" s="713"/>
      <c r="AT838" s="713"/>
      <c r="AU838" s="713"/>
      <c r="AV838" s="713"/>
      <c r="AW838" s="713"/>
      <c r="AX838" s="713"/>
      <c r="AY838" s="713"/>
      <c r="AZ838" s="713"/>
      <c r="BA838" s="713"/>
      <c r="BB838" s="713"/>
      <c r="BC838" s="713"/>
      <c r="BD838" s="713"/>
      <c r="BE838" s="713"/>
      <c r="BF838" s="713"/>
      <c r="BG838" s="713"/>
      <c r="BH838" s="713"/>
      <c r="BI838" s="713"/>
      <c r="BJ838" s="713"/>
      <c r="BK838" s="713"/>
      <c r="BL838" s="713"/>
      <c r="BM838" s="713"/>
      <c r="BN838" s="713"/>
      <c r="BO838" s="713"/>
      <c r="BP838" s="713"/>
      <c r="BQ838" s="713"/>
      <c r="BR838" s="713"/>
      <c r="BS838" s="713"/>
      <c r="BT838" s="713"/>
      <c r="BU838" s="713"/>
      <c r="BV838" s="713"/>
      <c r="BW838" s="713"/>
      <c r="BX838" s="713"/>
      <c r="BY838" s="713"/>
      <c r="BZ838" s="713"/>
      <c r="CA838" s="713"/>
      <c r="CB838" s="713"/>
      <c r="CC838" s="713"/>
      <c r="CD838" s="713"/>
      <c r="CE838" s="713"/>
      <c r="CF838" s="713"/>
      <c r="CG838" s="713"/>
      <c r="CH838" s="713"/>
      <c r="CI838" s="713"/>
      <c r="CJ838" s="713"/>
      <c r="CK838" s="713"/>
      <c r="CL838" s="713"/>
      <c r="CM838" s="713"/>
      <c r="CN838" s="713"/>
      <c r="CO838" s="713"/>
      <c r="CP838" s="713"/>
      <c r="CQ838" s="713"/>
      <c r="CR838" s="713"/>
      <c r="CS838" s="713"/>
      <c r="CT838" s="713"/>
      <c r="CU838" s="713"/>
      <c r="CV838" s="713"/>
      <c r="CW838" s="713"/>
      <c r="CX838" s="713"/>
      <c r="CY838" s="713"/>
      <c r="CZ838" s="713"/>
      <c r="DA838" s="713"/>
      <c r="DB838" s="713"/>
      <c r="DC838" s="713"/>
      <c r="DD838" s="713"/>
      <c r="DE838" s="713"/>
      <c r="DF838" s="713"/>
      <c r="DG838" s="713"/>
      <c r="DH838" s="713"/>
      <c r="DI838" s="713"/>
      <c r="DJ838" s="713"/>
      <c r="DK838" s="713"/>
      <c r="DL838" s="713"/>
      <c r="DM838" s="713"/>
      <c r="DN838" s="713"/>
      <c r="DO838" s="713"/>
      <c r="DP838" s="713"/>
      <c r="DQ838" s="713"/>
      <c r="DR838" s="713"/>
      <c r="DS838" s="713"/>
      <c r="DT838" s="713"/>
      <c r="DU838" s="713"/>
      <c r="DV838" s="713"/>
      <c r="DW838" s="713"/>
      <c r="DX838" s="713"/>
      <c r="DY838" s="713"/>
      <c r="DZ838" s="713"/>
      <c r="EA838" s="713"/>
      <c r="EB838" s="713"/>
      <c r="EC838" s="713"/>
      <c r="ED838" s="713"/>
      <c r="EE838" s="713"/>
      <c r="EF838" s="713"/>
      <c r="EG838" s="713"/>
      <c r="EH838" s="713"/>
      <c r="EI838" s="713"/>
      <c r="EJ838" s="713"/>
      <c r="EK838" s="713"/>
      <c r="EL838" s="713"/>
      <c r="EM838" s="713"/>
      <c r="EN838" s="713"/>
      <c r="EO838" s="713"/>
      <c r="EP838" s="713"/>
      <c r="EQ838" s="713"/>
      <c r="ER838" s="713"/>
      <c r="ES838" s="713"/>
      <c r="ET838" s="713"/>
      <c r="EU838" s="713"/>
      <c r="EV838" s="713"/>
      <c r="EW838" s="713"/>
      <c r="EX838" s="713"/>
      <c r="EY838" s="713"/>
      <c r="EZ838" s="713"/>
      <c r="FA838" s="713"/>
      <c r="FB838" s="713"/>
      <c r="FC838" s="713"/>
      <c r="FD838" s="713"/>
      <c r="FE838" s="713"/>
      <c r="FF838" s="713"/>
      <c r="FG838" s="713"/>
      <c r="FH838" s="713"/>
      <c r="FI838" s="713"/>
      <c r="FJ838" s="713"/>
      <c r="FK838" s="713"/>
      <c r="FL838" s="713"/>
      <c r="FM838" s="713"/>
      <c r="FN838" s="713"/>
      <c r="FO838" s="713"/>
      <c r="FP838" s="713"/>
      <c r="FQ838" s="713"/>
      <c r="FR838" s="713"/>
      <c r="FS838" s="713"/>
      <c r="FT838" s="713"/>
      <c r="FU838" s="713"/>
      <c r="FV838" s="713"/>
      <c r="FW838" s="713"/>
      <c r="FX838" s="713"/>
      <c r="FY838" s="713"/>
      <c r="FZ838" s="713"/>
      <c r="GA838" s="713"/>
      <c r="GB838" s="713"/>
      <c r="GC838" s="713"/>
      <c r="GD838" s="713"/>
      <c r="GE838" s="713"/>
      <c r="GF838" s="713"/>
      <c r="GG838" s="713"/>
      <c r="GH838" s="713"/>
      <c r="GI838" s="713"/>
      <c r="GJ838" s="713"/>
      <c r="GK838" s="713"/>
      <c r="GL838" s="713"/>
      <c r="GM838" s="713"/>
      <c r="GN838" s="713"/>
      <c r="GO838" s="713"/>
      <c r="GP838" s="713"/>
      <c r="GQ838" s="713"/>
      <c r="GR838" s="713"/>
      <c r="GS838" s="713"/>
      <c r="GT838" s="713"/>
      <c r="GU838" s="713"/>
      <c r="GV838" s="713"/>
      <c r="GW838" s="713"/>
      <c r="GX838" s="713"/>
      <c r="GY838" s="713"/>
      <c r="GZ838" s="713"/>
      <c r="HA838" s="713"/>
      <c r="HB838" s="713"/>
      <c r="HC838" s="713"/>
      <c r="HD838" s="713"/>
      <c r="HE838" s="713"/>
      <c r="HF838" s="713"/>
      <c r="HG838" s="713"/>
      <c r="HH838" s="713"/>
      <c r="HI838" s="713"/>
      <c r="HJ838" s="713"/>
      <c r="HK838" s="713"/>
      <c r="HL838" s="713"/>
      <c r="HM838" s="713"/>
      <c r="HN838" s="713"/>
      <c r="HO838" s="713"/>
      <c r="HP838" s="713"/>
      <c r="HQ838" s="713"/>
      <c r="HR838" s="713"/>
      <c r="HS838" s="713"/>
      <c r="HT838" s="713"/>
      <c r="HU838" s="713"/>
      <c r="HV838" s="713"/>
      <c r="HW838" s="713"/>
      <c r="HX838" s="713"/>
      <c r="HY838" s="713"/>
      <c r="HZ838" s="713"/>
      <c r="IA838" s="713"/>
      <c r="IB838" s="713"/>
      <c r="IC838" s="713"/>
      <c r="ID838" s="713"/>
      <c r="IE838" s="713"/>
      <c r="IF838" s="713"/>
      <c r="IG838" s="713"/>
      <c r="IH838" s="713"/>
      <c r="II838" s="713"/>
      <c r="IJ838" s="713"/>
      <c r="IK838" s="713"/>
      <c r="IL838" s="713"/>
      <c r="IM838" s="713"/>
      <c r="IN838" s="713"/>
      <c r="IO838" s="713"/>
      <c r="IP838" s="713"/>
      <c r="IQ838" s="713"/>
      <c r="IR838" s="713"/>
      <c r="IS838" s="713"/>
      <c r="IT838" s="713"/>
      <c r="IU838" s="713"/>
      <c r="IV838" s="713"/>
    </row>
    <row r="839" spans="1:256" s="602" customFormat="1" ht="13.2">
      <c r="A839" s="167">
        <v>1</v>
      </c>
      <c r="B839" s="730" t="s">
        <v>141</v>
      </c>
      <c r="C839" s="730"/>
      <c r="D839" s="730" t="s">
        <v>751</v>
      </c>
      <c r="E839" s="738" t="s">
        <v>1028</v>
      </c>
      <c r="F839" s="730"/>
      <c r="G839" s="731" t="s">
        <v>752</v>
      </c>
      <c r="H839" s="732">
        <v>900</v>
      </c>
      <c r="I839" s="730" t="s">
        <v>686</v>
      </c>
      <c r="J839" s="730"/>
      <c r="K839" s="730"/>
      <c r="L839" s="730"/>
      <c r="M839" s="730"/>
      <c r="N839" s="730"/>
      <c r="O839" s="733">
        <v>3</v>
      </c>
      <c r="P839" s="734">
        <v>34790</v>
      </c>
      <c r="Q839" s="735"/>
      <c r="R839" s="736">
        <f>$A839*Q839</f>
        <v>0</v>
      </c>
      <c r="S839" s="735">
        <v>1</v>
      </c>
      <c r="T839" s="737">
        <f>$A839*S839*$T$1</f>
        <v>1</v>
      </c>
      <c r="U839" s="730"/>
      <c r="V839" s="730"/>
      <c r="W839" s="730"/>
      <c r="X839" s="730"/>
      <c r="Y839" s="730"/>
      <c r="Z839" s="730"/>
      <c r="AA839" s="730"/>
      <c r="AB839" s="730"/>
      <c r="AC839" s="730"/>
      <c r="AD839" s="730"/>
      <c r="AE839" s="730"/>
      <c r="AF839" s="730"/>
      <c r="AG839" s="730"/>
      <c r="AH839" s="730"/>
      <c r="AI839" s="730"/>
      <c r="AJ839" s="730"/>
      <c r="AK839" s="730"/>
      <c r="AL839" s="730"/>
      <c r="AM839" s="730"/>
      <c r="AN839" s="730"/>
      <c r="AO839" s="730"/>
      <c r="AP839" s="730"/>
      <c r="AQ839" s="730"/>
      <c r="AR839" s="730"/>
      <c r="AS839" s="730"/>
      <c r="AT839" s="730"/>
      <c r="AU839" s="730"/>
      <c r="AV839" s="730"/>
      <c r="AW839" s="730"/>
      <c r="AX839" s="730"/>
      <c r="AY839" s="730"/>
      <c r="AZ839" s="730"/>
      <c r="BA839" s="730"/>
      <c r="BB839" s="730"/>
      <c r="BC839" s="730"/>
      <c r="BD839" s="730"/>
      <c r="BE839" s="730"/>
      <c r="BF839" s="730"/>
      <c r="BG839" s="730"/>
      <c r="BH839" s="730"/>
      <c r="BI839" s="730"/>
      <c r="BJ839" s="730"/>
      <c r="BK839" s="730"/>
      <c r="BL839" s="730"/>
      <c r="BM839" s="730"/>
      <c r="BN839" s="730"/>
      <c r="BO839" s="730"/>
      <c r="BP839" s="730"/>
      <c r="BQ839" s="730"/>
      <c r="BR839" s="730"/>
      <c r="BS839" s="730"/>
      <c r="BT839" s="730"/>
      <c r="BU839" s="730"/>
      <c r="BV839" s="730"/>
      <c r="BW839" s="730"/>
      <c r="BX839" s="730"/>
      <c r="BY839" s="730"/>
      <c r="BZ839" s="730"/>
      <c r="CA839" s="730"/>
      <c r="CB839" s="730"/>
      <c r="CC839" s="730"/>
      <c r="CD839" s="730"/>
      <c r="CE839" s="730"/>
      <c r="CF839" s="730"/>
      <c r="CG839" s="730"/>
      <c r="CH839" s="730"/>
      <c r="CI839" s="730"/>
      <c r="CJ839" s="730"/>
      <c r="CK839" s="730"/>
      <c r="CL839" s="730"/>
      <c r="CM839" s="730"/>
      <c r="CN839" s="730"/>
      <c r="CO839" s="730"/>
      <c r="CP839" s="730"/>
      <c r="CQ839" s="730"/>
      <c r="CR839" s="730"/>
      <c r="CS839" s="730"/>
      <c r="CT839" s="730"/>
      <c r="CU839" s="730"/>
      <c r="CV839" s="730"/>
      <c r="CW839" s="730"/>
      <c r="CX839" s="730"/>
      <c r="CY839" s="730"/>
      <c r="CZ839" s="730"/>
      <c r="DA839" s="730"/>
      <c r="DB839" s="730"/>
      <c r="DC839" s="730"/>
      <c r="DD839" s="730"/>
      <c r="DE839" s="730"/>
      <c r="DF839" s="730"/>
      <c r="DG839" s="730"/>
      <c r="DH839" s="730"/>
      <c r="DI839" s="730"/>
      <c r="DJ839" s="730"/>
      <c r="DK839" s="730"/>
      <c r="DL839" s="730"/>
      <c r="DM839" s="730"/>
      <c r="DN839" s="730"/>
      <c r="DO839" s="730"/>
      <c r="DP839" s="730"/>
      <c r="DQ839" s="730"/>
      <c r="DR839" s="730"/>
      <c r="DS839" s="730"/>
      <c r="DT839" s="730"/>
      <c r="DU839" s="730"/>
      <c r="DV839" s="730"/>
      <c r="DW839" s="730"/>
      <c r="DX839" s="730"/>
      <c r="DY839" s="730"/>
      <c r="DZ839" s="730"/>
      <c r="EA839" s="730"/>
      <c r="EB839" s="730"/>
      <c r="EC839" s="730"/>
      <c r="ED839" s="730"/>
      <c r="EE839" s="730"/>
      <c r="EF839" s="730"/>
      <c r="EG839" s="730"/>
      <c r="EH839" s="730"/>
      <c r="EI839" s="730"/>
      <c r="EJ839" s="730"/>
      <c r="EK839" s="730"/>
      <c r="EL839" s="730"/>
      <c r="EM839" s="730"/>
      <c r="EN839" s="730"/>
      <c r="EO839" s="730"/>
      <c r="EP839" s="730"/>
      <c r="EQ839" s="730"/>
      <c r="ER839" s="730"/>
      <c r="ES839" s="730"/>
      <c r="ET839" s="730"/>
      <c r="EU839" s="730"/>
      <c r="EV839" s="730"/>
      <c r="EW839" s="730"/>
      <c r="EX839" s="730"/>
      <c r="EY839" s="730"/>
      <c r="EZ839" s="730"/>
      <c r="FA839" s="730"/>
      <c r="FB839" s="730"/>
      <c r="FC839" s="730"/>
      <c r="FD839" s="730"/>
      <c r="FE839" s="730"/>
      <c r="FF839" s="730"/>
      <c r="FG839" s="730"/>
      <c r="FH839" s="730"/>
      <c r="FI839" s="730"/>
      <c r="FJ839" s="730"/>
      <c r="FK839" s="730"/>
      <c r="FL839" s="730"/>
      <c r="FM839" s="730"/>
      <c r="FN839" s="730"/>
      <c r="FO839" s="730"/>
      <c r="FP839" s="730"/>
      <c r="FQ839" s="730"/>
      <c r="FR839" s="730"/>
      <c r="FS839" s="730"/>
      <c r="FT839" s="730"/>
      <c r="FU839" s="730"/>
      <c r="FV839" s="730"/>
      <c r="FW839" s="730"/>
      <c r="FX839" s="730"/>
      <c r="FY839" s="730"/>
      <c r="FZ839" s="730"/>
      <c r="GA839" s="730"/>
      <c r="GB839" s="730"/>
      <c r="GC839" s="730"/>
      <c r="GD839" s="730"/>
      <c r="GE839" s="730"/>
      <c r="GF839" s="730"/>
      <c r="GG839" s="730"/>
      <c r="GH839" s="730"/>
      <c r="GI839" s="730"/>
      <c r="GJ839" s="730"/>
      <c r="GK839" s="730"/>
      <c r="GL839" s="730"/>
      <c r="GM839" s="730"/>
      <c r="GN839" s="730"/>
      <c r="GO839" s="730"/>
      <c r="GP839" s="730"/>
      <c r="GQ839" s="730"/>
      <c r="GR839" s="730"/>
      <c r="GS839" s="730"/>
      <c r="GT839" s="730"/>
      <c r="GU839" s="730"/>
      <c r="GV839" s="730"/>
      <c r="GW839" s="730"/>
      <c r="GX839" s="730"/>
      <c r="GY839" s="730"/>
      <c r="GZ839" s="730"/>
      <c r="HA839" s="730"/>
      <c r="HB839" s="730"/>
      <c r="HC839" s="730"/>
      <c r="HD839" s="730"/>
      <c r="HE839" s="730"/>
      <c r="HF839" s="730"/>
      <c r="HG839" s="730"/>
      <c r="HH839" s="730"/>
      <c r="HI839" s="730"/>
      <c r="HJ839" s="730"/>
      <c r="HK839" s="730"/>
      <c r="HL839" s="730"/>
      <c r="HM839" s="730"/>
      <c r="HN839" s="730"/>
      <c r="HO839" s="730"/>
      <c r="HP839" s="730"/>
      <c r="HQ839" s="730"/>
      <c r="HR839" s="730"/>
      <c r="HS839" s="730"/>
      <c r="HT839" s="730"/>
      <c r="HU839" s="730"/>
      <c r="HV839" s="730"/>
      <c r="HW839" s="730"/>
      <c r="HX839" s="730"/>
      <c r="HY839" s="730"/>
      <c r="HZ839" s="730"/>
      <c r="IA839" s="730"/>
      <c r="IB839" s="730"/>
      <c r="IC839" s="730"/>
      <c r="ID839" s="730"/>
      <c r="IE839" s="730"/>
      <c r="IF839" s="730"/>
      <c r="IG839" s="730"/>
      <c r="IH839" s="730"/>
      <c r="II839" s="730"/>
      <c r="IJ839" s="730"/>
      <c r="IK839" s="730"/>
      <c r="IL839" s="730"/>
      <c r="IM839" s="730"/>
      <c r="IN839" s="730"/>
      <c r="IO839" s="730"/>
      <c r="IP839" s="730"/>
      <c r="IQ839" s="730"/>
      <c r="IR839" s="730"/>
      <c r="IS839" s="730"/>
      <c r="IT839" s="730"/>
      <c r="IU839" s="730"/>
      <c r="IV839" s="730"/>
    </row>
    <row r="840" spans="1:256" s="602" customFormat="1" ht="12">
      <c r="A840" s="663"/>
      <c r="B840" s="663"/>
      <c r="C840" s="663"/>
      <c r="D840" s="663"/>
      <c r="E840" s="663"/>
      <c r="F840" s="664"/>
      <c r="G840" s="663"/>
      <c r="H840" s="663"/>
      <c r="I840" s="601"/>
      <c r="J840" s="663"/>
      <c r="K840" s="663"/>
      <c r="L840" s="663"/>
      <c r="M840" s="663"/>
      <c r="N840" s="663"/>
      <c r="O840" s="663"/>
      <c r="P840" s="663"/>
      <c r="Q840" s="601"/>
      <c r="R840" s="666">
        <f>$A840*Q840</f>
        <v>0</v>
      </c>
      <c r="S840" s="601"/>
      <c r="T840" s="681">
        <f>$A840*S840*$T$1</f>
        <v>0</v>
      </c>
    </row>
    <row r="841" spans="1:256" s="602" customFormat="1" ht="12.6" thickBot="1">
      <c r="A841" s="682" t="s">
        <v>145</v>
      </c>
      <c r="B841" s="683">
        <f>(R840+T840)</f>
        <v>0</v>
      </c>
      <c r="C841" s="684"/>
      <c r="D841" s="684"/>
      <c r="E841" s="684"/>
      <c r="F841" s="685"/>
      <c r="G841" s="684" t="s">
        <v>146</v>
      </c>
      <c r="H841" s="684"/>
      <c r="I841" s="686"/>
      <c r="J841" s="684"/>
      <c r="K841" s="684" t="s">
        <v>3</v>
      </c>
      <c r="L841" s="687" t="s">
        <v>143</v>
      </c>
      <c r="M841" s="687"/>
      <c r="N841" s="687"/>
      <c r="O841" s="687"/>
      <c r="P841" s="687"/>
      <c r="Q841" s="688"/>
      <c r="R841" s="689">
        <f ca="1">SUM(R834:R840)</f>
        <v>0</v>
      </c>
      <c r="S841" s="684"/>
      <c r="T841" s="689">
        <f ca="1">SUM(T834:T840)</f>
        <v>1</v>
      </c>
      <c r="U841" s="611"/>
      <c r="V841" s="611"/>
      <c r="W841" s="611"/>
      <c r="X841" s="611"/>
      <c r="Y841" s="611"/>
      <c r="Z841" s="611"/>
      <c r="AA841" s="611"/>
      <c r="AB841" s="611"/>
      <c r="AC841" s="611"/>
      <c r="AD841" s="611"/>
      <c r="AE841" s="611"/>
      <c r="AF841" s="611"/>
      <c r="AG841" s="611"/>
      <c r="AH841" s="611"/>
      <c r="AI841" s="611"/>
      <c r="AJ841" s="611"/>
      <c r="AK841" s="611"/>
      <c r="AL841" s="611"/>
      <c r="AM841" s="611"/>
      <c r="AN841" s="611"/>
      <c r="AO841" s="611"/>
    </row>
    <row r="842" spans="1:256" s="602" customFormat="1" thickTop="1">
      <c r="A842" s="63"/>
      <c r="B842" s="63"/>
      <c r="C842" s="3"/>
      <c r="D842" s="3"/>
      <c r="E842" s="63"/>
      <c r="F842" s="63"/>
      <c r="G842" s="63"/>
      <c r="H842" s="63"/>
      <c r="I842" s="63"/>
      <c r="J842" s="63"/>
      <c r="K842" s="63" t="s">
        <v>134</v>
      </c>
      <c r="L842" s="63"/>
      <c r="M842" s="63"/>
      <c r="N842" s="63"/>
      <c r="O842" s="64"/>
      <c r="P842" s="63"/>
      <c r="Q842" s="63"/>
      <c r="R842" s="63"/>
      <c r="S842" s="63"/>
      <c r="T842" s="63"/>
    </row>
    <row r="843" spans="1:256" s="602" customFormat="1" ht="12">
      <c r="A843" s="63"/>
      <c r="B843" s="63"/>
      <c r="C843" s="63" t="s">
        <v>135</v>
      </c>
      <c r="D843" s="37"/>
      <c r="E843" s="63"/>
      <c r="F843" s="63"/>
      <c r="G843" s="63"/>
      <c r="H843" s="63"/>
      <c r="I843" s="63"/>
      <c r="J843" s="63"/>
      <c r="K843" s="63"/>
      <c r="L843" s="63"/>
      <c r="M843" s="63"/>
      <c r="N843" s="63"/>
      <c r="O843" s="64"/>
      <c r="P843" s="63"/>
      <c r="Q843" s="63"/>
      <c r="R843" s="63"/>
      <c r="S843" s="63"/>
      <c r="T843" s="63"/>
    </row>
    <row r="844" spans="1:256" s="3" customFormat="1" ht="13.2">
      <c r="A844" s="63"/>
      <c r="B844" s="63"/>
      <c r="C844" s="63"/>
      <c r="D844" s="37" t="s">
        <v>352</v>
      </c>
      <c r="E844" s="63"/>
      <c r="F844" s="63"/>
      <c r="G844" s="63"/>
      <c r="H844" s="63"/>
      <c r="I844" s="63"/>
      <c r="J844" s="63"/>
      <c r="K844" s="63"/>
      <c r="L844" s="63"/>
      <c r="M844" s="63"/>
      <c r="N844" s="63"/>
      <c r="O844" s="64"/>
      <c r="P844" s="63"/>
      <c r="Q844" s="63"/>
      <c r="R844" s="63"/>
      <c r="S844" s="38"/>
      <c r="T844" s="38"/>
      <c r="U844" s="602"/>
      <c r="V844" s="602"/>
      <c r="W844" s="602"/>
      <c r="X844" s="602"/>
      <c r="Y844" s="602"/>
      <c r="Z844" s="602"/>
      <c r="AA844" s="602"/>
      <c r="AB844" s="602"/>
      <c r="AC844" s="602"/>
      <c r="AD844" s="602"/>
      <c r="AE844" s="602"/>
      <c r="AF844" s="602"/>
      <c r="AG844" s="602"/>
      <c r="AH844" s="602"/>
      <c r="AI844" s="602"/>
      <c r="AJ844" s="602"/>
      <c r="AK844" s="602"/>
      <c r="AL844" s="602"/>
      <c r="AM844" s="602"/>
      <c r="AN844" s="602"/>
      <c r="AO844" s="602"/>
      <c r="AP844" s="602"/>
      <c r="AQ844" s="602"/>
      <c r="AR844" s="602"/>
      <c r="AS844" s="602"/>
      <c r="AT844" s="602"/>
      <c r="AU844" s="602"/>
      <c r="AV844" s="602"/>
      <c r="AW844" s="602"/>
      <c r="AX844" s="602"/>
      <c r="AY844" s="602"/>
      <c r="AZ844" s="602"/>
      <c r="BA844" s="602"/>
      <c r="BB844" s="602"/>
      <c r="BC844" s="602"/>
      <c r="BD844" s="602"/>
      <c r="BE844" s="602"/>
      <c r="BF844" s="602"/>
      <c r="BG844" s="602"/>
      <c r="BH844" s="602"/>
      <c r="BI844" s="602"/>
      <c r="BJ844" s="602"/>
      <c r="BK844" s="602"/>
      <c r="BL844" s="602"/>
      <c r="BM844" s="602"/>
      <c r="BN844" s="602"/>
      <c r="BO844" s="602"/>
      <c r="BP844" s="602"/>
      <c r="BQ844" s="602"/>
      <c r="BR844" s="602"/>
      <c r="BS844" s="602"/>
      <c r="BT844" s="602"/>
      <c r="BU844" s="602"/>
      <c r="BV844" s="602"/>
      <c r="BW844" s="602"/>
      <c r="BX844" s="602"/>
      <c r="BY844" s="602"/>
      <c r="BZ844" s="602"/>
      <c r="CA844" s="602"/>
      <c r="CB844" s="602"/>
      <c r="CC844" s="602"/>
      <c r="CD844" s="602"/>
      <c r="CE844" s="602"/>
      <c r="CF844" s="602"/>
      <c r="CG844" s="602"/>
      <c r="CH844" s="602"/>
      <c r="CI844" s="602"/>
      <c r="CJ844" s="602"/>
      <c r="CK844" s="602"/>
      <c r="CL844" s="602"/>
      <c r="CM844" s="602"/>
      <c r="CN844" s="602"/>
      <c r="CO844" s="602"/>
      <c r="CP844" s="602"/>
      <c r="CQ844" s="602"/>
      <c r="CR844" s="602"/>
      <c r="CS844" s="602"/>
      <c r="CT844" s="602"/>
      <c r="CU844" s="602"/>
      <c r="CV844" s="602"/>
      <c r="CW844" s="602"/>
      <c r="CX844" s="602"/>
      <c r="CY844" s="602"/>
      <c r="CZ844" s="602"/>
      <c r="DA844" s="602"/>
      <c r="DB844" s="602"/>
      <c r="DC844" s="602"/>
      <c r="DD844" s="602"/>
      <c r="DE844" s="602"/>
      <c r="DF844" s="602"/>
      <c r="DG844" s="602"/>
      <c r="DH844" s="602"/>
      <c r="DI844" s="602"/>
      <c r="DJ844" s="602"/>
      <c r="DK844" s="602"/>
      <c r="DL844" s="602"/>
      <c r="DM844" s="602"/>
      <c r="DN844" s="602"/>
      <c r="DO844" s="602"/>
      <c r="DP844" s="602"/>
      <c r="DQ844" s="602"/>
      <c r="DR844" s="602"/>
      <c r="DS844" s="602"/>
      <c r="DT844" s="602"/>
      <c r="DU844" s="602"/>
      <c r="DV844" s="602"/>
      <c r="DW844" s="602"/>
      <c r="DX844" s="602"/>
      <c r="DY844" s="602"/>
      <c r="DZ844" s="602"/>
      <c r="EA844" s="602"/>
      <c r="EB844" s="602"/>
      <c r="EC844" s="602"/>
      <c r="ED844" s="602"/>
      <c r="EE844" s="602"/>
      <c r="EF844" s="602"/>
      <c r="EG844" s="602"/>
      <c r="EH844" s="602"/>
      <c r="EI844" s="602"/>
      <c r="EJ844" s="602"/>
      <c r="EK844" s="602"/>
      <c r="EL844" s="602"/>
      <c r="EM844" s="602"/>
      <c r="EN844" s="602"/>
      <c r="EO844" s="602"/>
      <c r="EP844" s="602"/>
      <c r="EQ844" s="602"/>
      <c r="ER844" s="602"/>
      <c r="ES844" s="602"/>
      <c r="ET844" s="602"/>
      <c r="EU844" s="602"/>
      <c r="EV844" s="602"/>
      <c r="EW844" s="602"/>
      <c r="EX844" s="602"/>
      <c r="EY844" s="602"/>
      <c r="EZ844" s="602"/>
      <c r="FA844" s="602"/>
      <c r="FB844" s="602"/>
      <c r="FC844" s="602"/>
      <c r="FD844" s="602"/>
      <c r="FE844" s="602"/>
      <c r="FF844" s="602"/>
      <c r="FG844" s="602"/>
      <c r="FH844" s="602"/>
      <c r="FI844" s="602"/>
      <c r="FJ844" s="602"/>
      <c r="FK844" s="602"/>
      <c r="FL844" s="602"/>
      <c r="FM844" s="602"/>
      <c r="FN844" s="602"/>
      <c r="FO844" s="602"/>
      <c r="FP844" s="602"/>
      <c r="FQ844" s="602"/>
      <c r="FR844" s="602"/>
      <c r="FS844" s="602"/>
      <c r="FT844" s="602"/>
      <c r="FU844" s="602"/>
      <c r="FV844" s="602"/>
      <c r="FW844" s="602"/>
      <c r="FX844" s="602"/>
      <c r="FY844" s="602"/>
      <c r="FZ844" s="602"/>
      <c r="GA844" s="602"/>
      <c r="GB844" s="602"/>
      <c r="GC844" s="602"/>
      <c r="GD844" s="602"/>
      <c r="GE844" s="602"/>
      <c r="GF844" s="602"/>
      <c r="GG844" s="602"/>
      <c r="GH844" s="602"/>
      <c r="GI844" s="602"/>
      <c r="GJ844" s="602"/>
      <c r="GK844" s="602"/>
      <c r="GL844" s="602"/>
      <c r="GM844" s="602"/>
      <c r="GN844" s="602"/>
      <c r="GO844" s="602"/>
      <c r="GP844" s="602"/>
      <c r="GQ844" s="602"/>
      <c r="GR844" s="602"/>
      <c r="GS844" s="602"/>
      <c r="GT844" s="602"/>
      <c r="GU844" s="602"/>
      <c r="GV844" s="602"/>
      <c r="GW844" s="602"/>
      <c r="GX844" s="602"/>
      <c r="GY844" s="602"/>
      <c r="GZ844" s="602"/>
      <c r="HA844" s="602"/>
      <c r="HB844" s="602"/>
      <c r="HC844" s="602"/>
      <c r="HD844" s="602"/>
      <c r="HE844" s="602"/>
      <c r="HF844" s="602"/>
      <c r="HG844" s="602"/>
      <c r="HH844" s="602"/>
      <c r="HI844" s="602"/>
      <c r="HJ844" s="602"/>
      <c r="HK844" s="602"/>
      <c r="HL844" s="602"/>
      <c r="HM844" s="602"/>
      <c r="HN844" s="602"/>
      <c r="HO844" s="602"/>
      <c r="HP844" s="602"/>
      <c r="HQ844" s="602"/>
      <c r="HR844" s="602"/>
      <c r="HS844" s="602"/>
      <c r="HT844" s="602"/>
      <c r="HU844" s="602"/>
      <c r="HV844" s="602"/>
      <c r="HW844" s="602"/>
      <c r="HX844" s="602"/>
      <c r="HY844" s="602"/>
      <c r="HZ844" s="602"/>
      <c r="IA844" s="602"/>
      <c r="IB844" s="602"/>
      <c r="IC844" s="602"/>
      <c r="ID844" s="602"/>
      <c r="IE844" s="602"/>
      <c r="IF844" s="602"/>
      <c r="IG844" s="602"/>
      <c r="IH844" s="602"/>
      <c r="II844" s="602"/>
      <c r="IJ844" s="602"/>
      <c r="IK844" s="602"/>
      <c r="IL844" s="602"/>
      <c r="IM844" s="602"/>
      <c r="IN844" s="602"/>
      <c r="IO844" s="602"/>
      <c r="IP844" s="602"/>
      <c r="IQ844" s="602"/>
      <c r="IR844" s="602"/>
      <c r="IS844" s="602"/>
      <c r="IT844" s="602"/>
      <c r="IU844" s="602"/>
      <c r="IV844" s="602"/>
    </row>
    <row r="845" spans="1:256" s="602" customFormat="1" thickBot="1">
      <c r="A845" s="611"/>
      <c r="B845" s="3"/>
      <c r="C845" s="3"/>
      <c r="D845" s="3"/>
      <c r="E845" s="3"/>
      <c r="F845" s="3"/>
      <c r="G845" s="3"/>
      <c r="H845" s="3"/>
      <c r="I845" s="3"/>
      <c r="J845" s="3"/>
      <c r="K845" s="3"/>
      <c r="L845" s="3"/>
      <c r="M845" s="3"/>
      <c r="N845" s="3"/>
      <c r="O845" s="158"/>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c r="FA845" s="3"/>
      <c r="FB845" s="3"/>
      <c r="FC845" s="3"/>
      <c r="FD845" s="3"/>
      <c r="FE845" s="3"/>
      <c r="FF845" s="3"/>
      <c r="FG845" s="3"/>
      <c r="FH845" s="3"/>
      <c r="FI845" s="3"/>
      <c r="FJ845" s="3"/>
      <c r="FK845" s="3"/>
      <c r="FL845" s="3"/>
      <c r="FM845" s="3"/>
      <c r="FN845" s="3"/>
      <c r="FO845" s="3"/>
      <c r="FP845" s="3"/>
      <c r="FQ845" s="3"/>
      <c r="FR845" s="3"/>
      <c r="FS845" s="3"/>
      <c r="FT845" s="3"/>
      <c r="FU845" s="3"/>
      <c r="FV845" s="3"/>
      <c r="FW845" s="3"/>
      <c r="FX845" s="3"/>
      <c r="FY845" s="3"/>
      <c r="FZ845" s="3"/>
      <c r="GA845" s="3"/>
      <c r="GB845" s="3"/>
      <c r="GC845" s="3"/>
      <c r="GD845" s="3"/>
      <c r="GE845" s="3"/>
      <c r="GF845" s="3"/>
      <c r="GG845" s="3"/>
      <c r="GH845" s="3"/>
      <c r="GI845" s="3"/>
      <c r="GJ845" s="3"/>
      <c r="GK845" s="3"/>
      <c r="GL845" s="3"/>
      <c r="GM845" s="3"/>
      <c r="GN845" s="3"/>
      <c r="GO845" s="3"/>
      <c r="GP845" s="3"/>
      <c r="GQ845" s="3"/>
      <c r="GR845" s="3"/>
      <c r="GS845" s="3"/>
      <c r="GT845" s="3"/>
      <c r="GU845" s="3"/>
      <c r="GV845" s="3"/>
      <c r="GW845" s="3"/>
      <c r="GX845" s="3"/>
      <c r="GY845" s="3"/>
      <c r="GZ845" s="3"/>
      <c r="HA845" s="3"/>
      <c r="HB845" s="3"/>
      <c r="HC845" s="3"/>
      <c r="HD845" s="3"/>
      <c r="HE845" s="3"/>
      <c r="HF845" s="3"/>
      <c r="HG845" s="3"/>
      <c r="HH845" s="3"/>
      <c r="HI845" s="3"/>
      <c r="HJ845" s="3"/>
      <c r="HK845" s="3"/>
      <c r="HL845" s="3"/>
      <c r="HM845" s="3"/>
      <c r="HN845" s="3"/>
      <c r="HO845" s="3"/>
      <c r="HP845" s="3"/>
      <c r="HQ845" s="3"/>
      <c r="HR845" s="3"/>
      <c r="HS845" s="3"/>
      <c r="HT845" s="3"/>
      <c r="HU845" s="3"/>
      <c r="HV845" s="3"/>
      <c r="HW845" s="3"/>
      <c r="HX845" s="3"/>
      <c r="HY845" s="3"/>
      <c r="HZ845" s="3"/>
      <c r="IA845" s="3"/>
      <c r="IB845" s="3"/>
      <c r="IC845" s="3"/>
      <c r="ID845" s="3"/>
      <c r="IE845" s="3"/>
      <c r="IF845" s="3"/>
      <c r="IG845" s="3"/>
      <c r="IH845" s="3"/>
      <c r="II845" s="3"/>
      <c r="IJ845" s="3"/>
      <c r="IK845" s="3"/>
      <c r="IL845" s="3"/>
      <c r="IM845" s="3"/>
      <c r="IN845" s="3"/>
      <c r="IO845" s="3"/>
      <c r="IP845" s="3"/>
      <c r="IQ845" s="3"/>
      <c r="IR845" s="3"/>
      <c r="IS845" s="3"/>
      <c r="IT845" s="3"/>
      <c r="IU845" s="3"/>
      <c r="IV845" s="3"/>
    </row>
    <row r="846" spans="1:256" s="602" customFormat="1" thickTop="1">
      <c r="A846" s="63"/>
      <c r="B846" s="63"/>
      <c r="C846" s="3"/>
      <c r="D846" s="3"/>
      <c r="E846" s="63"/>
      <c r="F846" s="63"/>
      <c r="G846" s="63"/>
      <c r="H846" s="63"/>
      <c r="I846" s="63"/>
      <c r="J846" s="63"/>
      <c r="K846" s="63" t="s">
        <v>134</v>
      </c>
      <c r="L846" s="63"/>
      <c r="M846" s="63"/>
      <c r="N846" s="63"/>
      <c r="O846" s="64"/>
      <c r="P846" s="63"/>
      <c r="Q846" s="63"/>
      <c r="R846" s="63"/>
      <c r="S846" s="63"/>
      <c r="T846" s="63"/>
    </row>
    <row r="847" spans="1:256" s="602" customFormat="1" ht="12">
      <c r="A847" s="63"/>
      <c r="B847" s="63"/>
      <c r="C847" s="63" t="s">
        <v>135</v>
      </c>
      <c r="D847" s="37"/>
      <c r="E847" s="63"/>
      <c r="F847" s="63"/>
      <c r="G847" s="63"/>
      <c r="H847" s="63"/>
      <c r="I847" s="63"/>
      <c r="J847" s="63"/>
      <c r="K847" s="63"/>
      <c r="L847" s="63"/>
      <c r="M847" s="63"/>
      <c r="N847" s="63"/>
      <c r="O847" s="64"/>
      <c r="P847" s="63"/>
      <c r="Q847" s="63"/>
      <c r="R847" s="63"/>
      <c r="S847" s="63"/>
      <c r="T847" s="63"/>
    </row>
    <row r="848" spans="1:256" s="3" customFormat="1" ht="13.2">
      <c r="A848" s="63"/>
      <c r="B848" s="63"/>
      <c r="C848" s="63"/>
      <c r="D848" s="37" t="s">
        <v>332</v>
      </c>
      <c r="E848" s="63"/>
      <c r="F848" s="63"/>
      <c r="G848" s="63"/>
      <c r="H848" s="63"/>
      <c r="I848" s="63"/>
      <c r="J848" s="63"/>
      <c r="K848" s="63"/>
      <c r="L848" s="63"/>
      <c r="M848" s="63"/>
      <c r="N848" s="63"/>
      <c r="O848" s="64"/>
      <c r="P848" s="63"/>
      <c r="Q848" s="63"/>
      <c r="R848" s="63"/>
      <c r="S848" s="38"/>
      <c r="T848" s="38"/>
      <c r="U848" s="602"/>
      <c r="V848" s="602"/>
      <c r="W848" s="602"/>
      <c r="X848" s="602"/>
      <c r="Y848" s="602"/>
      <c r="Z848" s="602"/>
      <c r="AA848" s="602"/>
      <c r="AB848" s="602"/>
      <c r="AC848" s="602"/>
      <c r="AD848" s="602"/>
      <c r="AE848" s="602"/>
      <c r="AF848" s="602"/>
      <c r="AG848" s="602"/>
      <c r="AH848" s="602"/>
      <c r="AI848" s="602"/>
      <c r="AJ848" s="602"/>
      <c r="AK848" s="602"/>
      <c r="AL848" s="602"/>
      <c r="AM848" s="602"/>
      <c r="AN848" s="602"/>
      <c r="AO848" s="602"/>
      <c r="AP848" s="602"/>
      <c r="AQ848" s="602"/>
      <c r="AR848" s="602"/>
      <c r="AS848" s="602"/>
      <c r="AT848" s="602"/>
      <c r="AU848" s="602"/>
      <c r="AV848" s="602"/>
      <c r="AW848" s="602"/>
      <c r="AX848" s="602"/>
      <c r="AY848" s="602"/>
      <c r="AZ848" s="602"/>
      <c r="BA848" s="602"/>
      <c r="BB848" s="602"/>
      <c r="BC848" s="602"/>
      <c r="BD848" s="602"/>
      <c r="BE848" s="602"/>
      <c r="BF848" s="602"/>
      <c r="BG848" s="602"/>
      <c r="BH848" s="602"/>
      <c r="BI848" s="602"/>
      <c r="BJ848" s="602"/>
      <c r="BK848" s="602"/>
      <c r="BL848" s="602"/>
      <c r="BM848" s="602"/>
      <c r="BN848" s="602"/>
      <c r="BO848" s="602"/>
      <c r="BP848" s="602"/>
      <c r="BQ848" s="602"/>
      <c r="BR848" s="602"/>
      <c r="BS848" s="602"/>
      <c r="BT848" s="602"/>
      <c r="BU848" s="602"/>
      <c r="BV848" s="602"/>
      <c r="BW848" s="602"/>
      <c r="BX848" s="602"/>
      <c r="BY848" s="602"/>
      <c r="BZ848" s="602"/>
      <c r="CA848" s="602"/>
      <c r="CB848" s="602"/>
      <c r="CC848" s="602"/>
      <c r="CD848" s="602"/>
      <c r="CE848" s="602"/>
      <c r="CF848" s="602"/>
      <c r="CG848" s="602"/>
      <c r="CH848" s="602"/>
      <c r="CI848" s="602"/>
      <c r="CJ848" s="602"/>
      <c r="CK848" s="602"/>
      <c r="CL848" s="602"/>
      <c r="CM848" s="602"/>
      <c r="CN848" s="602"/>
      <c r="CO848" s="602"/>
      <c r="CP848" s="602"/>
      <c r="CQ848" s="602"/>
      <c r="CR848" s="602"/>
      <c r="CS848" s="602"/>
      <c r="CT848" s="602"/>
      <c r="CU848" s="602"/>
      <c r="CV848" s="602"/>
      <c r="CW848" s="602"/>
      <c r="CX848" s="602"/>
      <c r="CY848" s="602"/>
      <c r="CZ848" s="602"/>
      <c r="DA848" s="602"/>
      <c r="DB848" s="602"/>
      <c r="DC848" s="602"/>
      <c r="DD848" s="602"/>
      <c r="DE848" s="602"/>
      <c r="DF848" s="602"/>
      <c r="DG848" s="602"/>
      <c r="DH848" s="602"/>
      <c r="DI848" s="602"/>
      <c r="DJ848" s="602"/>
      <c r="DK848" s="602"/>
      <c r="DL848" s="602"/>
      <c r="DM848" s="602"/>
      <c r="DN848" s="602"/>
      <c r="DO848" s="602"/>
      <c r="DP848" s="602"/>
      <c r="DQ848" s="602"/>
      <c r="DR848" s="602"/>
      <c r="DS848" s="602"/>
      <c r="DT848" s="602"/>
      <c r="DU848" s="602"/>
      <c r="DV848" s="602"/>
      <c r="DW848" s="602"/>
      <c r="DX848" s="602"/>
      <c r="DY848" s="602"/>
      <c r="DZ848" s="602"/>
      <c r="EA848" s="602"/>
      <c r="EB848" s="602"/>
      <c r="EC848" s="602"/>
      <c r="ED848" s="602"/>
      <c r="EE848" s="602"/>
      <c r="EF848" s="602"/>
      <c r="EG848" s="602"/>
      <c r="EH848" s="602"/>
      <c r="EI848" s="602"/>
      <c r="EJ848" s="602"/>
      <c r="EK848" s="602"/>
      <c r="EL848" s="602"/>
      <c r="EM848" s="602"/>
      <c r="EN848" s="602"/>
      <c r="EO848" s="602"/>
      <c r="EP848" s="602"/>
      <c r="EQ848" s="602"/>
      <c r="ER848" s="602"/>
      <c r="ES848" s="602"/>
      <c r="ET848" s="602"/>
      <c r="EU848" s="602"/>
      <c r="EV848" s="602"/>
      <c r="EW848" s="602"/>
      <c r="EX848" s="602"/>
      <c r="EY848" s="602"/>
      <c r="EZ848" s="602"/>
      <c r="FA848" s="602"/>
      <c r="FB848" s="602"/>
      <c r="FC848" s="602"/>
      <c r="FD848" s="602"/>
      <c r="FE848" s="602"/>
      <c r="FF848" s="602"/>
      <c r="FG848" s="602"/>
      <c r="FH848" s="602"/>
      <c r="FI848" s="602"/>
      <c r="FJ848" s="602"/>
      <c r="FK848" s="602"/>
      <c r="FL848" s="602"/>
      <c r="FM848" s="602"/>
      <c r="FN848" s="602"/>
      <c r="FO848" s="602"/>
      <c r="FP848" s="602"/>
      <c r="FQ848" s="602"/>
      <c r="FR848" s="602"/>
      <c r="FS848" s="602"/>
      <c r="FT848" s="602"/>
      <c r="FU848" s="602"/>
      <c r="FV848" s="602"/>
      <c r="FW848" s="602"/>
      <c r="FX848" s="602"/>
      <c r="FY848" s="602"/>
      <c r="FZ848" s="602"/>
      <c r="GA848" s="602"/>
      <c r="GB848" s="602"/>
      <c r="GC848" s="602"/>
      <c r="GD848" s="602"/>
      <c r="GE848" s="602"/>
      <c r="GF848" s="602"/>
      <c r="GG848" s="602"/>
      <c r="GH848" s="602"/>
      <c r="GI848" s="602"/>
      <c r="GJ848" s="602"/>
      <c r="GK848" s="602"/>
      <c r="GL848" s="602"/>
      <c r="GM848" s="602"/>
      <c r="GN848" s="602"/>
      <c r="GO848" s="602"/>
      <c r="GP848" s="602"/>
      <c r="GQ848" s="602"/>
      <c r="GR848" s="602"/>
      <c r="GS848" s="602"/>
      <c r="GT848" s="602"/>
      <c r="GU848" s="602"/>
      <c r="GV848" s="602"/>
      <c r="GW848" s="602"/>
      <c r="GX848" s="602"/>
      <c r="GY848" s="602"/>
      <c r="GZ848" s="602"/>
      <c r="HA848" s="602"/>
      <c r="HB848" s="602"/>
      <c r="HC848" s="602"/>
      <c r="HD848" s="602"/>
      <c r="HE848" s="602"/>
      <c r="HF848" s="602"/>
      <c r="HG848" s="602"/>
      <c r="HH848" s="602"/>
      <c r="HI848" s="602"/>
      <c r="HJ848" s="602"/>
      <c r="HK848" s="602"/>
      <c r="HL848" s="602"/>
      <c r="HM848" s="602"/>
      <c r="HN848" s="602"/>
      <c r="HO848" s="602"/>
      <c r="HP848" s="602"/>
      <c r="HQ848" s="602"/>
      <c r="HR848" s="602"/>
      <c r="HS848" s="602"/>
      <c r="HT848" s="602"/>
      <c r="HU848" s="602"/>
      <c r="HV848" s="602"/>
      <c r="HW848" s="602"/>
      <c r="HX848" s="602"/>
      <c r="HY848" s="602"/>
      <c r="HZ848" s="602"/>
      <c r="IA848" s="602"/>
      <c r="IB848" s="602"/>
      <c r="IC848" s="602"/>
      <c r="ID848" s="602"/>
      <c r="IE848" s="602"/>
      <c r="IF848" s="602"/>
      <c r="IG848" s="602"/>
      <c r="IH848" s="602"/>
      <c r="II848" s="602"/>
      <c r="IJ848" s="602"/>
      <c r="IK848" s="602"/>
      <c r="IL848" s="602"/>
      <c r="IM848" s="602"/>
      <c r="IN848" s="602"/>
      <c r="IO848" s="602"/>
      <c r="IP848" s="602"/>
      <c r="IQ848" s="602"/>
      <c r="IR848" s="602"/>
      <c r="IS848" s="602"/>
      <c r="IT848" s="602"/>
      <c r="IU848" s="602"/>
      <c r="IV848" s="602"/>
    </row>
    <row r="849" spans="1:256" s="602" customFormat="1" thickBot="1">
      <c r="A849" s="611"/>
      <c r="B849" s="3"/>
      <c r="C849" s="3"/>
      <c r="D849" s="3"/>
      <c r="E849" s="3"/>
      <c r="F849" s="3"/>
      <c r="G849" s="3"/>
      <c r="H849" s="3"/>
      <c r="I849" s="3"/>
      <c r="J849" s="3"/>
      <c r="K849" s="3"/>
      <c r="L849" s="3"/>
      <c r="M849" s="3"/>
      <c r="N849" s="3"/>
      <c r="O849" s="158"/>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c r="FA849" s="3"/>
      <c r="FB849" s="3"/>
      <c r="FC849" s="3"/>
      <c r="FD849" s="3"/>
      <c r="FE849" s="3"/>
      <c r="FF849" s="3"/>
      <c r="FG849" s="3"/>
      <c r="FH849" s="3"/>
      <c r="FI849" s="3"/>
      <c r="FJ849" s="3"/>
      <c r="FK849" s="3"/>
      <c r="FL849" s="3"/>
      <c r="FM849" s="3"/>
      <c r="FN849" s="3"/>
      <c r="FO849" s="3"/>
      <c r="FP849" s="3"/>
      <c r="FQ849" s="3"/>
      <c r="FR849" s="3"/>
      <c r="FS849" s="3"/>
      <c r="FT849" s="3"/>
      <c r="FU849" s="3"/>
      <c r="FV849" s="3"/>
      <c r="FW849" s="3"/>
      <c r="FX849" s="3"/>
      <c r="FY849" s="3"/>
      <c r="FZ849" s="3"/>
      <c r="GA849" s="3"/>
      <c r="GB849" s="3"/>
      <c r="GC849" s="3"/>
      <c r="GD849" s="3"/>
      <c r="GE849" s="3"/>
      <c r="GF849" s="3"/>
      <c r="GG849" s="3"/>
      <c r="GH849" s="3"/>
      <c r="GI849" s="3"/>
      <c r="GJ849" s="3"/>
      <c r="GK849" s="3"/>
      <c r="GL849" s="3"/>
      <c r="GM849" s="3"/>
      <c r="GN849" s="3"/>
      <c r="GO849" s="3"/>
      <c r="GP849" s="3"/>
      <c r="GQ849" s="3"/>
      <c r="GR849" s="3"/>
      <c r="GS849" s="3"/>
      <c r="GT849" s="3"/>
      <c r="GU849" s="3"/>
      <c r="GV849" s="3"/>
      <c r="GW849" s="3"/>
      <c r="GX849" s="3"/>
      <c r="GY849" s="3"/>
      <c r="GZ849" s="3"/>
      <c r="HA849" s="3"/>
      <c r="HB849" s="3"/>
      <c r="HC849" s="3"/>
      <c r="HD849" s="3"/>
      <c r="HE849" s="3"/>
      <c r="HF849" s="3"/>
      <c r="HG849" s="3"/>
      <c r="HH849" s="3"/>
      <c r="HI849" s="3"/>
      <c r="HJ849" s="3"/>
      <c r="HK849" s="3"/>
      <c r="HL849" s="3"/>
      <c r="HM849" s="3"/>
      <c r="HN849" s="3"/>
      <c r="HO849" s="3"/>
      <c r="HP849" s="3"/>
      <c r="HQ849" s="3"/>
      <c r="HR849" s="3"/>
      <c r="HS849" s="3"/>
      <c r="HT849" s="3"/>
      <c r="HU849" s="3"/>
      <c r="HV849" s="3"/>
      <c r="HW849" s="3"/>
      <c r="HX849" s="3"/>
      <c r="HY849" s="3"/>
      <c r="HZ849" s="3"/>
      <c r="IA849" s="3"/>
      <c r="IB849" s="3"/>
      <c r="IC849" s="3"/>
      <c r="ID849" s="3"/>
      <c r="IE849" s="3"/>
      <c r="IF849" s="3"/>
      <c r="IG849" s="3"/>
      <c r="IH849" s="3"/>
      <c r="II849" s="3"/>
      <c r="IJ849" s="3"/>
      <c r="IK849" s="3"/>
      <c r="IL849" s="3"/>
      <c r="IM849" s="3"/>
      <c r="IN849" s="3"/>
      <c r="IO849" s="3"/>
      <c r="IP849" s="3"/>
      <c r="IQ849" s="3"/>
      <c r="IR849" s="3"/>
      <c r="IS849" s="3"/>
      <c r="IT849" s="3"/>
      <c r="IU849" s="3"/>
      <c r="IV849" s="3"/>
    </row>
    <row r="850" spans="1:256" s="602" customFormat="1" thickTop="1">
      <c r="A850" s="63"/>
      <c r="B850" s="63"/>
      <c r="C850" s="3"/>
      <c r="D850" s="3"/>
      <c r="E850" s="63"/>
      <c r="F850" s="63"/>
      <c r="G850" s="63"/>
      <c r="H850" s="63"/>
      <c r="I850" s="63"/>
      <c r="J850" s="63"/>
      <c r="K850" s="63" t="s">
        <v>134</v>
      </c>
      <c r="L850" s="63"/>
      <c r="M850" s="63"/>
      <c r="N850" s="63"/>
      <c r="O850" s="64"/>
      <c r="P850" s="63"/>
      <c r="Q850" s="63"/>
      <c r="R850" s="63"/>
      <c r="S850" s="63"/>
      <c r="T850" s="63"/>
    </row>
    <row r="851" spans="1:256" s="602" customFormat="1" ht="12">
      <c r="A851" s="63"/>
      <c r="B851" s="63"/>
      <c r="C851" s="63" t="s">
        <v>135</v>
      </c>
      <c r="D851" s="37" t="s">
        <v>520</v>
      </c>
      <c r="E851" s="63"/>
      <c r="F851" s="63"/>
      <c r="G851" s="63"/>
      <c r="H851" s="63"/>
      <c r="I851" s="63"/>
      <c r="J851" s="63"/>
      <c r="K851" s="63"/>
      <c r="L851" s="63"/>
      <c r="M851" s="63"/>
      <c r="N851" s="63"/>
      <c r="O851" s="64"/>
      <c r="P851" s="63"/>
      <c r="Q851" s="63"/>
      <c r="R851" s="63"/>
      <c r="S851" s="63"/>
      <c r="T851" s="63"/>
    </row>
    <row r="852" spans="1:256" s="3" customFormat="1" ht="13.2">
      <c r="A852" s="63"/>
      <c r="B852" s="63"/>
      <c r="C852" s="63"/>
      <c r="D852" s="37" t="s">
        <v>456</v>
      </c>
      <c r="E852" s="63"/>
      <c r="F852" s="63"/>
      <c r="G852" s="63"/>
      <c r="H852" s="63"/>
      <c r="I852" s="63"/>
      <c r="J852" s="63"/>
      <c r="K852" s="63"/>
      <c r="L852" s="63"/>
      <c r="M852" s="63"/>
      <c r="N852" s="63"/>
      <c r="O852" s="64"/>
      <c r="P852" s="63"/>
      <c r="Q852" s="63"/>
      <c r="R852" s="63"/>
      <c r="S852" s="38"/>
      <c r="T852" s="38"/>
      <c r="U852" s="602"/>
      <c r="V852" s="602"/>
      <c r="W852" s="602"/>
      <c r="X852" s="602"/>
      <c r="Y852" s="602"/>
      <c r="Z852" s="602"/>
      <c r="AA852" s="602"/>
      <c r="AB852" s="602"/>
      <c r="AC852" s="602"/>
      <c r="AD852" s="602"/>
      <c r="AE852" s="602"/>
      <c r="AF852" s="602"/>
      <c r="AG852" s="602"/>
      <c r="AH852" s="602"/>
      <c r="AI852" s="602"/>
      <c r="AJ852" s="602"/>
      <c r="AK852" s="602"/>
      <c r="AL852" s="602"/>
      <c r="AM852" s="602"/>
      <c r="AN852" s="602"/>
      <c r="AO852" s="602"/>
      <c r="AP852" s="602"/>
      <c r="AQ852" s="602"/>
      <c r="AR852" s="602"/>
      <c r="AS852" s="602"/>
      <c r="AT852" s="602"/>
      <c r="AU852" s="602"/>
      <c r="AV852" s="602"/>
      <c r="AW852" s="602"/>
      <c r="AX852" s="602"/>
      <c r="AY852" s="602"/>
      <c r="AZ852" s="602"/>
      <c r="BA852" s="602"/>
      <c r="BB852" s="602"/>
      <c r="BC852" s="602"/>
      <c r="BD852" s="602"/>
      <c r="BE852" s="602"/>
      <c r="BF852" s="602"/>
      <c r="BG852" s="602"/>
      <c r="BH852" s="602"/>
      <c r="BI852" s="602"/>
      <c r="BJ852" s="602"/>
      <c r="BK852" s="602"/>
      <c r="BL852" s="602"/>
      <c r="BM852" s="602"/>
      <c r="BN852" s="602"/>
      <c r="BO852" s="602"/>
      <c r="BP852" s="602"/>
      <c r="BQ852" s="602"/>
      <c r="BR852" s="602"/>
      <c r="BS852" s="602"/>
      <c r="BT852" s="602"/>
      <c r="BU852" s="602"/>
      <c r="BV852" s="602"/>
      <c r="BW852" s="602"/>
      <c r="BX852" s="602"/>
      <c r="BY852" s="602"/>
      <c r="BZ852" s="602"/>
      <c r="CA852" s="602"/>
      <c r="CB852" s="602"/>
      <c r="CC852" s="602"/>
      <c r="CD852" s="602"/>
      <c r="CE852" s="602"/>
      <c r="CF852" s="602"/>
      <c r="CG852" s="602"/>
      <c r="CH852" s="602"/>
      <c r="CI852" s="602"/>
      <c r="CJ852" s="602"/>
      <c r="CK852" s="602"/>
      <c r="CL852" s="602"/>
      <c r="CM852" s="602"/>
      <c r="CN852" s="602"/>
      <c r="CO852" s="602"/>
      <c r="CP852" s="602"/>
      <c r="CQ852" s="602"/>
      <c r="CR852" s="602"/>
      <c r="CS852" s="602"/>
      <c r="CT852" s="602"/>
      <c r="CU852" s="602"/>
      <c r="CV852" s="602"/>
      <c r="CW852" s="602"/>
      <c r="CX852" s="602"/>
      <c r="CY852" s="602"/>
      <c r="CZ852" s="602"/>
      <c r="DA852" s="602"/>
      <c r="DB852" s="602"/>
      <c r="DC852" s="602"/>
      <c r="DD852" s="602"/>
      <c r="DE852" s="602"/>
      <c r="DF852" s="602"/>
      <c r="DG852" s="602"/>
      <c r="DH852" s="602"/>
      <c r="DI852" s="602"/>
      <c r="DJ852" s="602"/>
      <c r="DK852" s="602"/>
      <c r="DL852" s="602"/>
      <c r="DM852" s="602"/>
      <c r="DN852" s="602"/>
      <c r="DO852" s="602"/>
      <c r="DP852" s="602"/>
      <c r="DQ852" s="602"/>
      <c r="DR852" s="602"/>
      <c r="DS852" s="602"/>
      <c r="DT852" s="602"/>
      <c r="DU852" s="602"/>
      <c r="DV852" s="602"/>
      <c r="DW852" s="602"/>
      <c r="DX852" s="602"/>
      <c r="DY852" s="602"/>
      <c r="DZ852" s="602"/>
      <c r="EA852" s="602"/>
      <c r="EB852" s="602"/>
      <c r="EC852" s="602"/>
      <c r="ED852" s="602"/>
      <c r="EE852" s="602"/>
      <c r="EF852" s="602"/>
      <c r="EG852" s="602"/>
      <c r="EH852" s="602"/>
      <c r="EI852" s="602"/>
      <c r="EJ852" s="602"/>
      <c r="EK852" s="602"/>
      <c r="EL852" s="602"/>
      <c r="EM852" s="602"/>
      <c r="EN852" s="602"/>
      <c r="EO852" s="602"/>
      <c r="EP852" s="602"/>
      <c r="EQ852" s="602"/>
      <c r="ER852" s="602"/>
      <c r="ES852" s="602"/>
      <c r="ET852" s="602"/>
      <c r="EU852" s="602"/>
      <c r="EV852" s="602"/>
      <c r="EW852" s="602"/>
      <c r="EX852" s="602"/>
      <c r="EY852" s="602"/>
      <c r="EZ852" s="602"/>
      <c r="FA852" s="602"/>
      <c r="FB852" s="602"/>
      <c r="FC852" s="602"/>
      <c r="FD852" s="602"/>
      <c r="FE852" s="602"/>
      <c r="FF852" s="602"/>
      <c r="FG852" s="602"/>
      <c r="FH852" s="602"/>
      <c r="FI852" s="602"/>
      <c r="FJ852" s="602"/>
      <c r="FK852" s="602"/>
      <c r="FL852" s="602"/>
      <c r="FM852" s="602"/>
      <c r="FN852" s="602"/>
      <c r="FO852" s="602"/>
      <c r="FP852" s="602"/>
      <c r="FQ852" s="602"/>
      <c r="FR852" s="602"/>
      <c r="FS852" s="602"/>
      <c r="FT852" s="602"/>
      <c r="FU852" s="602"/>
      <c r="FV852" s="602"/>
      <c r="FW852" s="602"/>
      <c r="FX852" s="602"/>
      <c r="FY852" s="602"/>
      <c r="FZ852" s="602"/>
      <c r="GA852" s="602"/>
      <c r="GB852" s="602"/>
      <c r="GC852" s="602"/>
      <c r="GD852" s="602"/>
      <c r="GE852" s="602"/>
      <c r="GF852" s="602"/>
      <c r="GG852" s="602"/>
      <c r="GH852" s="602"/>
      <c r="GI852" s="602"/>
      <c r="GJ852" s="602"/>
      <c r="GK852" s="602"/>
      <c r="GL852" s="602"/>
      <c r="GM852" s="602"/>
      <c r="GN852" s="602"/>
      <c r="GO852" s="602"/>
      <c r="GP852" s="602"/>
      <c r="GQ852" s="602"/>
      <c r="GR852" s="602"/>
      <c r="GS852" s="602"/>
      <c r="GT852" s="602"/>
      <c r="GU852" s="602"/>
      <c r="GV852" s="602"/>
      <c r="GW852" s="602"/>
      <c r="GX852" s="602"/>
      <c r="GY852" s="602"/>
      <c r="GZ852" s="602"/>
      <c r="HA852" s="602"/>
      <c r="HB852" s="602"/>
      <c r="HC852" s="602"/>
      <c r="HD852" s="602"/>
      <c r="HE852" s="602"/>
      <c r="HF852" s="602"/>
      <c r="HG852" s="602"/>
      <c r="HH852" s="602"/>
      <c r="HI852" s="602"/>
      <c r="HJ852" s="602"/>
      <c r="HK852" s="602"/>
      <c r="HL852" s="602"/>
      <c r="HM852" s="602"/>
      <c r="HN852" s="602"/>
      <c r="HO852" s="602"/>
      <c r="HP852" s="602"/>
      <c r="HQ852" s="602"/>
      <c r="HR852" s="602"/>
      <c r="HS852" s="602"/>
      <c r="HT852" s="602"/>
      <c r="HU852" s="602"/>
      <c r="HV852" s="602"/>
      <c r="HW852" s="602"/>
      <c r="HX852" s="602"/>
      <c r="HY852" s="602"/>
      <c r="HZ852" s="602"/>
      <c r="IA852" s="602"/>
      <c r="IB852" s="602"/>
      <c r="IC852" s="602"/>
      <c r="ID852" s="602"/>
      <c r="IE852" s="602"/>
      <c r="IF852" s="602"/>
      <c r="IG852" s="602"/>
      <c r="IH852" s="602"/>
      <c r="II852" s="602"/>
      <c r="IJ852" s="602"/>
      <c r="IK852" s="602"/>
      <c r="IL852" s="602"/>
      <c r="IM852" s="602"/>
      <c r="IN852" s="602"/>
      <c r="IO852" s="602"/>
      <c r="IP852" s="602"/>
      <c r="IQ852" s="602"/>
      <c r="IR852" s="602"/>
      <c r="IS852" s="602"/>
      <c r="IT852" s="602"/>
      <c r="IU852" s="602"/>
      <c r="IV852" s="602"/>
    </row>
    <row r="853" spans="1:256" s="602" customFormat="1" thickBot="1">
      <c r="A853" s="611"/>
      <c r="B853" s="3"/>
      <c r="C853" s="3"/>
      <c r="D853" s="3"/>
      <c r="E853" s="3"/>
      <c r="F853" s="3"/>
      <c r="G853" s="3"/>
      <c r="H853" s="3"/>
      <c r="I853" s="3"/>
      <c r="J853" s="3"/>
      <c r="K853" s="3"/>
      <c r="L853" s="3"/>
      <c r="M853" s="3"/>
      <c r="N853" s="3"/>
      <c r="O853" s="158"/>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c r="FA853" s="3"/>
      <c r="FB853" s="3"/>
      <c r="FC853" s="3"/>
      <c r="FD853" s="3"/>
      <c r="FE853" s="3"/>
      <c r="FF853" s="3"/>
      <c r="FG853" s="3"/>
      <c r="FH853" s="3"/>
      <c r="FI853" s="3"/>
      <c r="FJ853" s="3"/>
      <c r="FK853" s="3"/>
      <c r="FL853" s="3"/>
      <c r="FM853" s="3"/>
      <c r="FN853" s="3"/>
      <c r="FO853" s="3"/>
      <c r="FP853" s="3"/>
      <c r="FQ853" s="3"/>
      <c r="FR853" s="3"/>
      <c r="FS853" s="3"/>
      <c r="FT853" s="3"/>
      <c r="FU853" s="3"/>
      <c r="FV853" s="3"/>
      <c r="FW853" s="3"/>
      <c r="FX853" s="3"/>
      <c r="FY853" s="3"/>
      <c r="FZ853" s="3"/>
      <c r="GA853" s="3"/>
      <c r="GB853" s="3"/>
      <c r="GC853" s="3"/>
      <c r="GD853" s="3"/>
      <c r="GE853" s="3"/>
      <c r="GF853" s="3"/>
      <c r="GG853" s="3"/>
      <c r="GH853" s="3"/>
      <c r="GI853" s="3"/>
      <c r="GJ853" s="3"/>
      <c r="GK853" s="3"/>
      <c r="GL853" s="3"/>
      <c r="GM853" s="3"/>
      <c r="GN853" s="3"/>
      <c r="GO853" s="3"/>
      <c r="GP853" s="3"/>
      <c r="GQ853" s="3"/>
      <c r="GR853" s="3"/>
      <c r="GS853" s="3"/>
      <c r="GT853" s="3"/>
      <c r="GU853" s="3"/>
      <c r="GV853" s="3"/>
      <c r="GW853" s="3"/>
      <c r="GX853" s="3"/>
      <c r="GY853" s="3"/>
      <c r="GZ853" s="3"/>
      <c r="HA853" s="3"/>
      <c r="HB853" s="3"/>
      <c r="HC853" s="3"/>
      <c r="HD853" s="3"/>
      <c r="HE853" s="3"/>
      <c r="HF853" s="3"/>
      <c r="HG853" s="3"/>
      <c r="HH853" s="3"/>
      <c r="HI853" s="3"/>
      <c r="HJ853" s="3"/>
      <c r="HK853" s="3"/>
      <c r="HL853" s="3"/>
      <c r="HM853" s="3"/>
      <c r="HN853" s="3"/>
      <c r="HO853" s="3"/>
      <c r="HP853" s="3"/>
      <c r="HQ853" s="3"/>
      <c r="HR853" s="3"/>
      <c r="HS853" s="3"/>
      <c r="HT853" s="3"/>
      <c r="HU853" s="3"/>
      <c r="HV853" s="3"/>
      <c r="HW853" s="3"/>
      <c r="HX853" s="3"/>
      <c r="HY853" s="3"/>
      <c r="HZ853" s="3"/>
      <c r="IA853" s="3"/>
      <c r="IB853" s="3"/>
      <c r="IC853" s="3"/>
      <c r="ID853" s="3"/>
      <c r="IE853" s="3"/>
      <c r="IF853" s="3"/>
      <c r="IG853" s="3"/>
      <c r="IH853" s="3"/>
      <c r="II853" s="3"/>
      <c r="IJ853" s="3"/>
      <c r="IK853" s="3"/>
      <c r="IL853" s="3"/>
      <c r="IM853" s="3"/>
      <c r="IN853" s="3"/>
      <c r="IO853" s="3"/>
      <c r="IP853" s="3"/>
      <c r="IQ853" s="3"/>
      <c r="IR853" s="3"/>
      <c r="IS853" s="3"/>
      <c r="IT853" s="3"/>
      <c r="IU853" s="3"/>
      <c r="IV853" s="3"/>
    </row>
    <row r="854" spans="1:256" s="602" customFormat="1" ht="12" customHeight="1" thickTop="1">
      <c r="A854" s="63"/>
      <c r="B854" s="41"/>
      <c r="C854" s="63"/>
      <c r="E854" s="42" t="s">
        <v>138</v>
      </c>
      <c r="F854" s="42" t="s">
        <v>139</v>
      </c>
      <c r="G854" s="63"/>
      <c r="H854" s="63"/>
      <c r="I854" s="63"/>
      <c r="J854" s="63"/>
      <c r="K854" s="63" t="s">
        <v>140</v>
      </c>
      <c r="L854" s="63"/>
      <c r="M854" s="63"/>
      <c r="N854" s="63"/>
      <c r="O854" s="64"/>
      <c r="P854" s="63"/>
      <c r="Q854" s="63"/>
      <c r="R854" s="63"/>
      <c r="S854" s="63"/>
      <c r="T854" s="41"/>
      <c r="AG854" s="667" t="s">
        <v>278</v>
      </c>
      <c r="AH854" s="667" t="s">
        <v>279</v>
      </c>
      <c r="AI854" s="667" t="s">
        <v>280</v>
      </c>
      <c r="AJ854" s="667" t="s">
        <v>281</v>
      </c>
      <c r="AK854" s="667" t="s">
        <v>282</v>
      </c>
      <c r="AM854" s="668" t="s">
        <v>291</v>
      </c>
      <c r="AN854" s="669" t="s">
        <v>292</v>
      </c>
      <c r="AO854" s="603" t="s">
        <v>288</v>
      </c>
    </row>
    <row r="855" spans="1:256" s="602" customFormat="1" ht="13.2">
      <c r="A855" s="670">
        <v>1</v>
      </c>
      <c r="B855" s="671" t="s">
        <v>320</v>
      </c>
      <c r="C855" s="672"/>
      <c r="D855" s="673" t="s">
        <v>521</v>
      </c>
      <c r="E855" s="674">
        <f ca="1">IF(AND($A855=0,$A$1="DIF"),0, ROUND(ROUND(($R861*$S$2+($T861*$T$2))/A855,2)*$C$2,2))</f>
        <v>6.13</v>
      </c>
      <c r="F855" s="675">
        <f ca="1">ROUND($A855*$E855,2)</f>
        <v>6.13</v>
      </c>
      <c r="G855" s="676" t="s">
        <v>142</v>
      </c>
      <c r="H855" s="664"/>
      <c r="I855" s="677"/>
      <c r="J855" s="664"/>
      <c r="K855" s="664" t="s">
        <v>3</v>
      </c>
      <c r="L855" s="678" t="s">
        <v>143</v>
      </c>
      <c r="M855" s="678"/>
      <c r="N855" s="678"/>
      <c r="O855" s="678"/>
      <c r="P855" s="678"/>
      <c r="Q855" s="63"/>
      <c r="T855" s="679" t="str">
        <f ca="1">IF(AND($R861=0,$T861=0),"0.00","mu :" &amp; ROUND($F855/$C$2/($R861+$T861*$D$9),2))</f>
        <v>mu :1.35</v>
      </c>
      <c r="W855" s="604"/>
      <c r="AG855" s="549">
        <f ca="1">IF($E855=0,0,ROUND($R861*$S$2*$C$2/$A855,2))</f>
        <v>0</v>
      </c>
      <c r="AH855" s="549">
        <f ca="1">$AG855*$A855</f>
        <v>0</v>
      </c>
      <c r="AI855" s="605">
        <f ca="1">$E855-$AG855</f>
        <v>6.13</v>
      </c>
      <c r="AJ855" s="605">
        <f ca="1">$A855*$AI855</f>
        <v>6.13</v>
      </c>
      <c r="AK855" s="606">
        <f ca="1">ROUND(($AG855+$AI855)*$A855,2)</f>
        <v>6.13</v>
      </c>
      <c r="AM855" s="607">
        <f ca="1">ROUND(R861,2)</f>
        <v>0</v>
      </c>
      <c r="AN855" s="608">
        <f ca="1">ROUND(T861,2)</f>
        <v>0.17</v>
      </c>
      <c r="AO855" s="609">
        <f ca="1">ROUND(AM855+AN855,2)*A855</f>
        <v>0.17</v>
      </c>
    </row>
    <row r="856" spans="1:256" s="713" customFormat="1" ht="13.2">
      <c r="A856" s="672"/>
      <c r="B856"/>
      <c r="C856" s="672"/>
      <c r="D856" s="673" t="s">
        <v>353</v>
      </c>
      <c r="E856" s="602"/>
      <c r="F856" s="664"/>
      <c r="G856" s="3"/>
      <c r="H856" s="664"/>
      <c r="I856" s="677"/>
      <c r="J856" s="664"/>
      <c r="K856" s="664" t="s">
        <v>144</v>
      </c>
      <c r="L856" s="664"/>
      <c r="M856" s="664"/>
      <c r="N856" s="664"/>
      <c r="O856" s="664"/>
      <c r="P856" s="664"/>
      <c r="Q856" s="63"/>
      <c r="R856" s="610"/>
      <c r="S856" s="680"/>
      <c r="T856" s="664"/>
      <c r="U856" s="602"/>
      <c r="V856" s="602"/>
      <c r="W856" s="602"/>
      <c r="X856" s="602"/>
      <c r="Y856" s="602"/>
      <c r="Z856" s="602"/>
      <c r="AA856" s="602"/>
      <c r="AB856" s="602"/>
      <c r="AC856" s="602"/>
      <c r="AD856" s="602"/>
      <c r="AE856" s="602"/>
      <c r="AF856" s="602"/>
      <c r="AG856" s="602"/>
      <c r="AH856" s="602"/>
      <c r="AI856" s="602"/>
      <c r="AJ856" s="602"/>
      <c r="AK856" s="602"/>
      <c r="AL856" s="602"/>
      <c r="AM856" s="602"/>
      <c r="AN856" s="602"/>
      <c r="AO856" s="602"/>
      <c r="AP856" s="602"/>
      <c r="AQ856" s="602"/>
      <c r="AR856" s="602"/>
      <c r="AS856" s="602"/>
      <c r="AT856" s="602"/>
      <c r="AU856" s="602"/>
      <c r="AV856" s="602"/>
      <c r="AW856" s="602"/>
      <c r="AX856" s="602"/>
      <c r="AY856" s="602"/>
      <c r="AZ856" s="602"/>
      <c r="BA856" s="602"/>
      <c r="BB856" s="602"/>
      <c r="BC856" s="602"/>
      <c r="BD856" s="602"/>
      <c r="BE856" s="602"/>
      <c r="BF856" s="602"/>
      <c r="BG856" s="602"/>
      <c r="BH856" s="602"/>
      <c r="BI856" s="602"/>
      <c r="BJ856" s="602"/>
      <c r="BK856" s="602"/>
      <c r="BL856" s="602"/>
      <c r="BM856" s="602"/>
      <c r="BN856" s="602"/>
      <c r="BO856" s="602"/>
      <c r="BP856" s="602"/>
      <c r="BQ856" s="602"/>
      <c r="BR856" s="602"/>
      <c r="BS856" s="602"/>
      <c r="BT856" s="602"/>
      <c r="BU856" s="602"/>
      <c r="BV856" s="602"/>
      <c r="BW856" s="602"/>
      <c r="BX856" s="602"/>
      <c r="BY856" s="602"/>
      <c r="BZ856" s="602"/>
      <c r="CA856" s="602"/>
      <c r="CB856" s="602"/>
      <c r="CC856" s="602"/>
      <c r="CD856" s="602"/>
      <c r="CE856" s="602"/>
      <c r="CF856" s="602"/>
      <c r="CG856" s="602"/>
      <c r="CH856" s="602"/>
      <c r="CI856" s="602"/>
      <c r="CJ856" s="602"/>
      <c r="CK856" s="602"/>
      <c r="CL856" s="602"/>
      <c r="CM856" s="602"/>
      <c r="CN856" s="602"/>
      <c r="CO856" s="602"/>
      <c r="CP856" s="602"/>
      <c r="CQ856" s="602"/>
      <c r="CR856" s="602"/>
      <c r="CS856" s="602"/>
      <c r="CT856" s="602"/>
      <c r="CU856" s="602"/>
      <c r="CV856" s="602"/>
      <c r="CW856" s="602"/>
      <c r="CX856" s="602"/>
      <c r="CY856" s="602"/>
      <c r="CZ856" s="602"/>
      <c r="DA856" s="602"/>
      <c r="DB856" s="602"/>
      <c r="DC856" s="602"/>
      <c r="DD856" s="602"/>
      <c r="DE856" s="602"/>
      <c r="DF856" s="602"/>
      <c r="DG856" s="602"/>
      <c r="DH856" s="602"/>
      <c r="DI856" s="602"/>
      <c r="DJ856" s="602"/>
      <c r="DK856" s="602"/>
      <c r="DL856" s="602"/>
      <c r="DM856" s="602"/>
      <c r="DN856" s="602"/>
      <c r="DO856" s="602"/>
      <c r="DP856" s="602"/>
      <c r="DQ856" s="602"/>
      <c r="DR856" s="602"/>
      <c r="DS856" s="602"/>
      <c r="DT856" s="602"/>
      <c r="DU856" s="602"/>
      <c r="DV856" s="602"/>
      <c r="DW856" s="602"/>
      <c r="DX856" s="602"/>
      <c r="DY856" s="602"/>
      <c r="DZ856" s="602"/>
      <c r="EA856" s="602"/>
      <c r="EB856" s="602"/>
      <c r="EC856" s="602"/>
      <c r="ED856" s="602"/>
      <c r="EE856" s="602"/>
      <c r="EF856" s="602"/>
      <c r="EG856" s="602"/>
      <c r="EH856" s="602"/>
      <c r="EI856" s="602"/>
      <c r="EJ856" s="602"/>
      <c r="EK856" s="602"/>
      <c r="EL856" s="602"/>
      <c r="EM856" s="602"/>
      <c r="EN856" s="602"/>
      <c r="EO856" s="602"/>
      <c r="EP856" s="602"/>
      <c r="EQ856" s="602"/>
      <c r="ER856" s="602"/>
      <c r="ES856" s="602"/>
      <c r="ET856" s="602"/>
      <c r="EU856" s="602"/>
      <c r="EV856" s="602"/>
      <c r="EW856" s="602"/>
      <c r="EX856" s="602"/>
      <c r="EY856" s="602"/>
      <c r="EZ856" s="602"/>
      <c r="FA856" s="602"/>
      <c r="FB856" s="602"/>
      <c r="FC856" s="602"/>
      <c r="FD856" s="602"/>
      <c r="FE856" s="602"/>
      <c r="FF856" s="602"/>
      <c r="FG856" s="602"/>
      <c r="FH856" s="602"/>
      <c r="FI856" s="602"/>
      <c r="FJ856" s="602"/>
      <c r="FK856" s="602"/>
      <c r="FL856" s="602"/>
      <c r="FM856" s="602"/>
      <c r="FN856" s="602"/>
      <c r="FO856" s="602"/>
      <c r="FP856" s="602"/>
      <c r="FQ856" s="602"/>
      <c r="FR856" s="602"/>
      <c r="FS856" s="602"/>
      <c r="FT856" s="602"/>
      <c r="FU856" s="602"/>
      <c r="FV856" s="602"/>
      <c r="FW856" s="602"/>
      <c r="FX856" s="602"/>
      <c r="FY856" s="602"/>
      <c r="FZ856" s="602"/>
      <c r="GA856" s="602"/>
      <c r="GB856" s="602"/>
      <c r="GC856" s="602"/>
      <c r="GD856" s="602"/>
      <c r="GE856" s="602"/>
      <c r="GF856" s="602"/>
      <c r="GG856" s="602"/>
      <c r="GH856" s="602"/>
      <c r="GI856" s="602"/>
      <c r="GJ856" s="602"/>
      <c r="GK856" s="602"/>
      <c r="GL856" s="602"/>
      <c r="GM856" s="602"/>
      <c r="GN856" s="602"/>
      <c r="GO856" s="602"/>
      <c r="GP856" s="602"/>
      <c r="GQ856" s="602"/>
      <c r="GR856" s="602"/>
      <c r="GS856" s="602"/>
      <c r="GT856" s="602"/>
      <c r="GU856" s="602"/>
      <c r="GV856" s="602"/>
      <c r="GW856" s="602"/>
      <c r="GX856" s="602"/>
      <c r="GY856" s="602"/>
      <c r="GZ856" s="602"/>
      <c r="HA856" s="602"/>
      <c r="HB856" s="602"/>
      <c r="HC856" s="602"/>
      <c r="HD856" s="602"/>
      <c r="HE856" s="602"/>
      <c r="HF856" s="602"/>
      <c r="HG856" s="602"/>
      <c r="HH856" s="602"/>
      <c r="HI856" s="602"/>
      <c r="HJ856" s="602"/>
      <c r="HK856" s="602"/>
      <c r="HL856" s="602"/>
      <c r="HM856" s="602"/>
      <c r="HN856" s="602"/>
      <c r="HO856" s="602"/>
      <c r="HP856" s="602"/>
      <c r="HQ856" s="602"/>
      <c r="HR856" s="602"/>
      <c r="HS856" s="602"/>
      <c r="HT856" s="602"/>
      <c r="HU856" s="602"/>
      <c r="HV856" s="602"/>
      <c r="HW856" s="602"/>
      <c r="HX856" s="602"/>
      <c r="HY856" s="602"/>
      <c r="HZ856" s="602"/>
      <c r="IA856" s="602"/>
      <c r="IB856" s="602"/>
      <c r="IC856" s="602"/>
      <c r="ID856" s="602"/>
      <c r="IE856" s="602"/>
      <c r="IF856" s="602"/>
      <c r="IG856" s="602"/>
      <c r="IH856" s="602"/>
      <c r="II856" s="602"/>
      <c r="IJ856" s="602"/>
      <c r="IK856" s="602"/>
      <c r="IL856" s="602"/>
      <c r="IM856" s="602"/>
      <c r="IN856" s="602"/>
      <c r="IO856" s="602"/>
      <c r="IP856" s="602"/>
      <c r="IQ856" s="602"/>
      <c r="IR856" s="602"/>
      <c r="IS856" s="602"/>
      <c r="IT856" s="602"/>
      <c r="IU856" s="602"/>
      <c r="IV856" s="602"/>
    </row>
    <row r="857" spans="1:256" s="713" customFormat="1" ht="13.2">
      <c r="A857"/>
      <c r="B857" s="807"/>
      <c r="C857" s="807" t="s">
        <v>692</v>
      </c>
      <c r="D857" s="807" t="str">
        <f ca="1">CELL("Address",Elec_Rates!D$106)</f>
        <v>[E25_0477_IH_Retro_Elec_Est_Rev_A_AW.xlsx]Elec_Rates!$D$106</v>
      </c>
      <c r="E857" s="808"/>
      <c r="F857" s="808"/>
      <c r="G857" s="809" t="s">
        <v>693</v>
      </c>
      <c r="H857" s="809"/>
      <c r="I857" s="809"/>
      <c r="J857" s="809"/>
      <c r="K857" s="810"/>
      <c r="L857" s="808"/>
      <c r="M857" s="808"/>
      <c r="N857" s="808"/>
      <c r="O857" s="811"/>
      <c r="P857" s="808"/>
      <c r="Q857" s="812"/>
      <c r="R857" s="813"/>
      <c r="S857" s="812"/>
      <c r="T857" s="814"/>
      <c r="U857" s="815"/>
    </row>
    <row r="858" spans="1:256" s="730" customFormat="1" ht="11.4">
      <c r="A858" s="816">
        <v>1</v>
      </c>
      <c r="B858" s="817">
        <v>2.5</v>
      </c>
      <c r="C858" s="817">
        <f>$A858*$B858</f>
        <v>2.5</v>
      </c>
      <c r="D858" s="818" t="str">
        <f>Elec_Rates!$D$106</f>
        <v>001# Lighting installation galvanised</v>
      </c>
      <c r="E858" s="818" t="s">
        <v>753</v>
      </c>
      <c r="F858" s="815"/>
      <c r="G858" s="819" t="s">
        <v>754</v>
      </c>
      <c r="H858" s="819"/>
      <c r="I858" s="819"/>
      <c r="J858" s="819"/>
      <c r="K858" s="820"/>
      <c r="L858" s="815"/>
      <c r="M858" s="815"/>
      <c r="N858" s="815"/>
      <c r="O858" s="821"/>
      <c r="P858" s="818"/>
      <c r="Q858" s="822">
        <f ca="1">$B858*Elec_Rates!$R$106</f>
        <v>0</v>
      </c>
      <c r="R858" s="813">
        <f ca="1">$A858*Q858</f>
        <v>0</v>
      </c>
      <c r="S858" s="822">
        <f ca="1">$B858*Elec_Rates!$T$106</f>
        <v>0</v>
      </c>
      <c r="T858" s="814">
        <f ca="1">$A858*S858</f>
        <v>0</v>
      </c>
      <c r="U858" s="583"/>
      <c r="V858" s="713"/>
      <c r="W858" s="713"/>
      <c r="X858" s="713"/>
      <c r="Y858" s="713"/>
      <c r="Z858" s="713"/>
      <c r="AA858" s="713"/>
      <c r="AB858" s="713"/>
      <c r="AC858" s="713"/>
      <c r="AD858" s="713"/>
      <c r="AE858" s="713"/>
      <c r="AF858" s="713"/>
      <c r="AG858" s="713"/>
      <c r="AH858" s="713"/>
      <c r="AI858" s="713"/>
      <c r="AJ858" s="713"/>
      <c r="AK858" s="713"/>
      <c r="AL858" s="713"/>
      <c r="AM858" s="713"/>
      <c r="AN858" s="713"/>
      <c r="AO858" s="713"/>
      <c r="AP858" s="713"/>
      <c r="AQ858" s="713"/>
      <c r="AR858" s="713"/>
      <c r="AS858" s="713"/>
      <c r="AT858" s="713"/>
      <c r="AU858" s="713"/>
      <c r="AV858" s="713"/>
      <c r="AW858" s="713"/>
      <c r="AX858" s="713"/>
      <c r="AY858" s="713"/>
      <c r="AZ858" s="713"/>
      <c r="BA858" s="713"/>
      <c r="BB858" s="713"/>
      <c r="BC858" s="713"/>
      <c r="BD858" s="713"/>
      <c r="BE858" s="713"/>
      <c r="BF858" s="713"/>
      <c r="BG858" s="713"/>
      <c r="BH858" s="713"/>
      <c r="BI858" s="713"/>
      <c r="BJ858" s="713"/>
      <c r="BK858" s="713"/>
      <c r="BL858" s="713"/>
      <c r="BM858" s="713"/>
      <c r="BN858" s="713"/>
      <c r="BO858" s="713"/>
      <c r="BP858" s="713"/>
      <c r="BQ858" s="713"/>
      <c r="BR858" s="713"/>
      <c r="BS858" s="713"/>
      <c r="BT858" s="713"/>
      <c r="BU858" s="713"/>
      <c r="BV858" s="713"/>
      <c r="BW858" s="713"/>
      <c r="BX858" s="713"/>
      <c r="BY858" s="713"/>
      <c r="BZ858" s="713"/>
      <c r="CA858" s="713"/>
      <c r="CB858" s="713"/>
      <c r="CC858" s="713"/>
      <c r="CD858" s="713"/>
      <c r="CE858" s="713"/>
      <c r="CF858" s="713"/>
      <c r="CG858" s="713"/>
      <c r="CH858" s="713"/>
      <c r="CI858" s="713"/>
      <c r="CJ858" s="713"/>
      <c r="CK858" s="713"/>
      <c r="CL858" s="713"/>
      <c r="CM858" s="713"/>
      <c r="CN858" s="713"/>
      <c r="CO858" s="713"/>
      <c r="CP858" s="713"/>
      <c r="CQ858" s="713"/>
      <c r="CR858" s="713"/>
      <c r="CS858" s="713"/>
      <c r="CT858" s="713"/>
      <c r="CU858" s="713"/>
      <c r="CV858" s="713"/>
      <c r="CW858" s="713"/>
      <c r="CX858" s="713"/>
      <c r="CY858" s="713"/>
      <c r="CZ858" s="713"/>
      <c r="DA858" s="713"/>
      <c r="DB858" s="713"/>
      <c r="DC858" s="713"/>
      <c r="DD858" s="713"/>
      <c r="DE858" s="713"/>
      <c r="DF858" s="713"/>
      <c r="DG858" s="713"/>
      <c r="DH858" s="713"/>
      <c r="DI858" s="713"/>
      <c r="DJ858" s="713"/>
      <c r="DK858" s="713"/>
      <c r="DL858" s="713"/>
      <c r="DM858" s="713"/>
      <c r="DN858" s="713"/>
      <c r="DO858" s="713"/>
      <c r="DP858" s="713"/>
      <c r="DQ858" s="713"/>
      <c r="DR858" s="713"/>
      <c r="DS858" s="713"/>
      <c r="DT858" s="713"/>
      <c r="DU858" s="713"/>
      <c r="DV858" s="713"/>
      <c r="DW858" s="713"/>
      <c r="DX858" s="713"/>
      <c r="DY858" s="713"/>
      <c r="DZ858" s="713"/>
      <c r="EA858" s="713"/>
      <c r="EB858" s="713"/>
      <c r="EC858" s="713"/>
      <c r="ED858" s="713"/>
      <c r="EE858" s="713"/>
      <c r="EF858" s="713"/>
      <c r="EG858" s="713"/>
      <c r="EH858" s="713"/>
      <c r="EI858" s="713"/>
      <c r="EJ858" s="713"/>
      <c r="EK858" s="713"/>
      <c r="EL858" s="713"/>
      <c r="EM858" s="713"/>
      <c r="EN858" s="713"/>
      <c r="EO858" s="713"/>
      <c r="EP858" s="713"/>
      <c r="EQ858" s="713"/>
      <c r="ER858" s="713"/>
      <c r="ES858" s="713"/>
      <c r="ET858" s="713"/>
      <c r="EU858" s="713"/>
      <c r="EV858" s="713"/>
      <c r="EW858" s="713"/>
      <c r="EX858" s="713"/>
      <c r="EY858" s="713"/>
      <c r="EZ858" s="713"/>
      <c r="FA858" s="713"/>
      <c r="FB858" s="713"/>
      <c r="FC858" s="713"/>
      <c r="FD858" s="713"/>
      <c r="FE858" s="713"/>
      <c r="FF858" s="713"/>
      <c r="FG858" s="713"/>
      <c r="FH858" s="713"/>
      <c r="FI858" s="713"/>
      <c r="FJ858" s="713"/>
      <c r="FK858" s="713"/>
      <c r="FL858" s="713"/>
      <c r="FM858" s="713"/>
      <c r="FN858" s="713"/>
      <c r="FO858" s="713"/>
      <c r="FP858" s="713"/>
      <c r="FQ858" s="713"/>
      <c r="FR858" s="713"/>
      <c r="FS858" s="713"/>
      <c r="FT858" s="713"/>
      <c r="FU858" s="713"/>
      <c r="FV858" s="713"/>
      <c r="FW858" s="713"/>
      <c r="FX858" s="713"/>
      <c r="FY858" s="713"/>
      <c r="FZ858" s="713"/>
      <c r="GA858" s="713"/>
      <c r="GB858" s="713"/>
      <c r="GC858" s="713"/>
      <c r="GD858" s="713"/>
      <c r="GE858" s="713"/>
      <c r="GF858" s="713"/>
      <c r="GG858" s="713"/>
      <c r="GH858" s="713"/>
      <c r="GI858" s="713"/>
      <c r="GJ858" s="713"/>
      <c r="GK858" s="713"/>
      <c r="GL858" s="713"/>
      <c r="GM858" s="713"/>
      <c r="GN858" s="713"/>
      <c r="GO858" s="713"/>
      <c r="GP858" s="713"/>
      <c r="GQ858" s="713"/>
      <c r="GR858" s="713"/>
      <c r="GS858" s="713"/>
      <c r="GT858" s="713"/>
      <c r="GU858" s="713"/>
      <c r="GV858" s="713"/>
      <c r="GW858" s="713"/>
      <c r="GX858" s="713"/>
      <c r="GY858" s="713"/>
      <c r="GZ858" s="713"/>
      <c r="HA858" s="713"/>
      <c r="HB858" s="713"/>
      <c r="HC858" s="713"/>
      <c r="HD858" s="713"/>
      <c r="HE858" s="713"/>
      <c r="HF858" s="713"/>
      <c r="HG858" s="713"/>
      <c r="HH858" s="713"/>
      <c r="HI858" s="713"/>
      <c r="HJ858" s="713"/>
      <c r="HK858" s="713"/>
      <c r="HL858" s="713"/>
      <c r="HM858" s="713"/>
      <c r="HN858" s="713"/>
      <c r="HO858" s="713"/>
      <c r="HP858" s="713"/>
      <c r="HQ858" s="713"/>
      <c r="HR858" s="713"/>
      <c r="HS858" s="713"/>
      <c r="HT858" s="713"/>
      <c r="HU858" s="713"/>
      <c r="HV858" s="713"/>
      <c r="HW858" s="713"/>
      <c r="HX858" s="713"/>
      <c r="HY858" s="713"/>
      <c r="HZ858" s="713"/>
      <c r="IA858" s="713"/>
      <c r="IB858" s="713"/>
      <c r="IC858" s="713"/>
      <c r="ID858" s="713"/>
      <c r="IE858" s="713"/>
      <c r="IF858" s="713"/>
      <c r="IG858" s="713"/>
      <c r="IH858" s="713"/>
      <c r="II858" s="713"/>
      <c r="IJ858" s="713"/>
      <c r="IK858" s="713"/>
      <c r="IL858" s="713"/>
      <c r="IM858" s="713"/>
      <c r="IN858" s="713"/>
      <c r="IO858" s="713"/>
      <c r="IP858" s="713"/>
      <c r="IQ858" s="713"/>
      <c r="IR858" s="713"/>
      <c r="IS858" s="713"/>
      <c r="IT858" s="713"/>
      <c r="IU858" s="713"/>
      <c r="IV858" s="713"/>
    </row>
    <row r="859" spans="1:256" s="602" customFormat="1" ht="13.2">
      <c r="A859" s="167">
        <v>1</v>
      </c>
      <c r="B859" s="730" t="s">
        <v>141</v>
      </c>
      <c r="C859" s="730"/>
      <c r="D859" s="730" t="s">
        <v>755</v>
      </c>
      <c r="E859" s="730"/>
      <c r="F859" s="730"/>
      <c r="G859" s="731" t="s">
        <v>756</v>
      </c>
      <c r="H859" s="732">
        <v>705</v>
      </c>
      <c r="I859" s="730" t="s">
        <v>674</v>
      </c>
      <c r="J859" s="730"/>
      <c r="K859" s="730"/>
      <c r="L859" s="730"/>
      <c r="M859" s="730"/>
      <c r="N859" s="730"/>
      <c r="O859" s="733">
        <v>3</v>
      </c>
      <c r="P859" s="734"/>
      <c r="Q859" s="735"/>
      <c r="R859" s="736">
        <f>$A859*Q859</f>
        <v>0</v>
      </c>
      <c r="S859" s="735">
        <v>0.17</v>
      </c>
      <c r="T859" s="737">
        <f>$A859*S859*$T$1</f>
        <v>0.17</v>
      </c>
      <c r="U859" s="730"/>
      <c r="V859" s="730"/>
      <c r="W859" s="730"/>
      <c r="X859" s="730"/>
      <c r="Y859" s="730"/>
      <c r="Z859" s="730"/>
      <c r="AA859" s="730"/>
      <c r="AB859" s="730"/>
      <c r="AC859" s="730"/>
      <c r="AD859" s="730"/>
      <c r="AE859" s="730"/>
      <c r="AF859" s="730"/>
      <c r="AG859" s="730"/>
      <c r="AH859" s="730"/>
      <c r="AI859" s="730"/>
      <c r="AJ859" s="730"/>
      <c r="AK859" s="730"/>
      <c r="AL859" s="730"/>
      <c r="AM859" s="730"/>
      <c r="AN859" s="730"/>
      <c r="AO859" s="730"/>
      <c r="AP859" s="730"/>
      <c r="AQ859" s="730"/>
      <c r="AR859" s="730"/>
      <c r="AS859" s="730"/>
      <c r="AT859" s="730"/>
      <c r="AU859" s="730"/>
      <c r="AV859" s="730"/>
      <c r="AW859" s="730"/>
      <c r="AX859" s="730"/>
      <c r="AY859" s="730"/>
      <c r="AZ859" s="730"/>
      <c r="BA859" s="730"/>
      <c r="BB859" s="730"/>
      <c r="BC859" s="730"/>
      <c r="BD859" s="730"/>
      <c r="BE859" s="730"/>
      <c r="BF859" s="730"/>
      <c r="BG859" s="730"/>
      <c r="BH859" s="730"/>
      <c r="BI859" s="730"/>
      <c r="BJ859" s="730"/>
      <c r="BK859" s="730"/>
      <c r="BL859" s="730"/>
      <c r="BM859" s="730"/>
      <c r="BN859" s="730"/>
      <c r="BO859" s="730"/>
      <c r="BP859" s="730"/>
      <c r="BQ859" s="730"/>
      <c r="BR859" s="730"/>
      <c r="BS859" s="730"/>
      <c r="BT859" s="730"/>
      <c r="BU859" s="730"/>
      <c r="BV859" s="730"/>
      <c r="BW859" s="730"/>
      <c r="BX859" s="730"/>
      <c r="BY859" s="730"/>
      <c r="BZ859" s="730"/>
      <c r="CA859" s="730"/>
      <c r="CB859" s="730"/>
      <c r="CC859" s="730"/>
      <c r="CD859" s="730"/>
      <c r="CE859" s="730"/>
      <c r="CF859" s="730"/>
      <c r="CG859" s="730"/>
      <c r="CH859" s="730"/>
      <c r="CI859" s="730"/>
      <c r="CJ859" s="730"/>
      <c r="CK859" s="730"/>
      <c r="CL859" s="730"/>
      <c r="CM859" s="730"/>
      <c r="CN859" s="730"/>
      <c r="CO859" s="730"/>
      <c r="CP859" s="730"/>
      <c r="CQ859" s="730"/>
      <c r="CR859" s="730"/>
      <c r="CS859" s="730"/>
      <c r="CT859" s="730"/>
      <c r="CU859" s="730"/>
      <c r="CV859" s="730"/>
      <c r="CW859" s="730"/>
      <c r="CX859" s="730"/>
      <c r="CY859" s="730"/>
      <c r="CZ859" s="730"/>
      <c r="DA859" s="730"/>
      <c r="DB859" s="730"/>
      <c r="DC859" s="730"/>
      <c r="DD859" s="730"/>
      <c r="DE859" s="730"/>
      <c r="DF859" s="730"/>
      <c r="DG859" s="730"/>
      <c r="DH859" s="730"/>
      <c r="DI859" s="730"/>
      <c r="DJ859" s="730"/>
      <c r="DK859" s="730"/>
      <c r="DL859" s="730"/>
      <c r="DM859" s="730"/>
      <c r="DN859" s="730"/>
      <c r="DO859" s="730"/>
      <c r="DP859" s="730"/>
      <c r="DQ859" s="730"/>
      <c r="DR859" s="730"/>
      <c r="DS859" s="730"/>
      <c r="DT859" s="730"/>
      <c r="DU859" s="730"/>
      <c r="DV859" s="730"/>
      <c r="DW859" s="730"/>
      <c r="DX859" s="730"/>
      <c r="DY859" s="730"/>
      <c r="DZ859" s="730"/>
      <c r="EA859" s="730"/>
      <c r="EB859" s="730"/>
      <c r="EC859" s="730"/>
      <c r="ED859" s="730"/>
      <c r="EE859" s="730"/>
      <c r="EF859" s="730"/>
      <c r="EG859" s="730"/>
      <c r="EH859" s="730"/>
      <c r="EI859" s="730"/>
      <c r="EJ859" s="730"/>
      <c r="EK859" s="730"/>
      <c r="EL859" s="730"/>
      <c r="EM859" s="730"/>
      <c r="EN859" s="730"/>
      <c r="EO859" s="730"/>
      <c r="EP859" s="730"/>
      <c r="EQ859" s="730"/>
      <c r="ER859" s="730"/>
      <c r="ES859" s="730"/>
      <c r="ET859" s="730"/>
      <c r="EU859" s="730"/>
      <c r="EV859" s="730"/>
      <c r="EW859" s="730"/>
      <c r="EX859" s="730"/>
      <c r="EY859" s="730"/>
      <c r="EZ859" s="730"/>
      <c r="FA859" s="730"/>
      <c r="FB859" s="730"/>
      <c r="FC859" s="730"/>
      <c r="FD859" s="730"/>
      <c r="FE859" s="730"/>
      <c r="FF859" s="730"/>
      <c r="FG859" s="730"/>
      <c r="FH859" s="730"/>
      <c r="FI859" s="730"/>
      <c r="FJ859" s="730"/>
      <c r="FK859" s="730"/>
      <c r="FL859" s="730"/>
      <c r="FM859" s="730"/>
      <c r="FN859" s="730"/>
      <c r="FO859" s="730"/>
      <c r="FP859" s="730"/>
      <c r="FQ859" s="730"/>
      <c r="FR859" s="730"/>
      <c r="FS859" s="730"/>
      <c r="FT859" s="730"/>
      <c r="FU859" s="730"/>
      <c r="FV859" s="730"/>
      <c r="FW859" s="730"/>
      <c r="FX859" s="730"/>
      <c r="FY859" s="730"/>
      <c r="FZ859" s="730"/>
      <c r="GA859" s="730"/>
      <c r="GB859" s="730"/>
      <c r="GC859" s="730"/>
      <c r="GD859" s="730"/>
      <c r="GE859" s="730"/>
      <c r="GF859" s="730"/>
      <c r="GG859" s="730"/>
      <c r="GH859" s="730"/>
      <c r="GI859" s="730"/>
      <c r="GJ859" s="730"/>
      <c r="GK859" s="730"/>
      <c r="GL859" s="730"/>
      <c r="GM859" s="730"/>
      <c r="GN859" s="730"/>
      <c r="GO859" s="730"/>
      <c r="GP859" s="730"/>
      <c r="GQ859" s="730"/>
      <c r="GR859" s="730"/>
      <c r="GS859" s="730"/>
      <c r="GT859" s="730"/>
      <c r="GU859" s="730"/>
      <c r="GV859" s="730"/>
      <c r="GW859" s="730"/>
      <c r="GX859" s="730"/>
      <c r="GY859" s="730"/>
      <c r="GZ859" s="730"/>
      <c r="HA859" s="730"/>
      <c r="HB859" s="730"/>
      <c r="HC859" s="730"/>
      <c r="HD859" s="730"/>
      <c r="HE859" s="730"/>
      <c r="HF859" s="730"/>
      <c r="HG859" s="730"/>
      <c r="HH859" s="730"/>
      <c r="HI859" s="730"/>
      <c r="HJ859" s="730"/>
      <c r="HK859" s="730"/>
      <c r="HL859" s="730"/>
      <c r="HM859" s="730"/>
      <c r="HN859" s="730"/>
      <c r="HO859" s="730"/>
      <c r="HP859" s="730"/>
      <c r="HQ859" s="730"/>
      <c r="HR859" s="730"/>
      <c r="HS859" s="730"/>
      <c r="HT859" s="730"/>
      <c r="HU859" s="730"/>
      <c r="HV859" s="730"/>
      <c r="HW859" s="730"/>
      <c r="HX859" s="730"/>
      <c r="HY859" s="730"/>
      <c r="HZ859" s="730"/>
      <c r="IA859" s="730"/>
      <c r="IB859" s="730"/>
      <c r="IC859" s="730"/>
      <c r="ID859" s="730"/>
      <c r="IE859" s="730"/>
      <c r="IF859" s="730"/>
      <c r="IG859" s="730"/>
      <c r="IH859" s="730"/>
      <c r="II859" s="730"/>
      <c r="IJ859" s="730"/>
      <c r="IK859" s="730"/>
      <c r="IL859" s="730"/>
      <c r="IM859" s="730"/>
      <c r="IN859" s="730"/>
      <c r="IO859" s="730"/>
      <c r="IP859" s="730"/>
      <c r="IQ859" s="730"/>
      <c r="IR859" s="730"/>
      <c r="IS859" s="730"/>
      <c r="IT859" s="730"/>
      <c r="IU859" s="730"/>
      <c r="IV859" s="730"/>
    </row>
    <row r="860" spans="1:256" s="602" customFormat="1" ht="12">
      <c r="A860" s="663"/>
      <c r="B860" s="663"/>
      <c r="C860" s="663"/>
      <c r="D860" s="663"/>
      <c r="E860" s="663"/>
      <c r="F860" s="664"/>
      <c r="G860" s="663"/>
      <c r="H860" s="663"/>
      <c r="I860" s="601"/>
      <c r="J860" s="663"/>
      <c r="K860" s="663"/>
      <c r="L860" s="663"/>
      <c r="M860" s="663"/>
      <c r="N860" s="663"/>
      <c r="O860" s="663"/>
      <c r="P860" s="663"/>
      <c r="Q860" s="601"/>
      <c r="R860" s="666">
        <f>$A860*Q860</f>
        <v>0</v>
      </c>
      <c r="S860" s="601"/>
      <c r="T860" s="681">
        <f>$A860*S860*$T$1</f>
        <v>0</v>
      </c>
    </row>
    <row r="861" spans="1:256" s="602" customFormat="1" ht="12.6" thickBot="1">
      <c r="A861" s="682" t="s">
        <v>145</v>
      </c>
      <c r="B861" s="683">
        <f>(R860+T860)</f>
        <v>0</v>
      </c>
      <c r="C861" s="684"/>
      <c r="D861" s="684"/>
      <c r="E861" s="684"/>
      <c r="F861" s="685"/>
      <c r="G861" s="684" t="s">
        <v>146</v>
      </c>
      <c r="H861" s="684"/>
      <c r="I861" s="686"/>
      <c r="J861" s="684"/>
      <c r="K861" s="684" t="s">
        <v>3</v>
      </c>
      <c r="L861" s="687" t="s">
        <v>143</v>
      </c>
      <c r="M861" s="687"/>
      <c r="N861" s="687"/>
      <c r="O861" s="687"/>
      <c r="P861" s="687"/>
      <c r="Q861" s="688"/>
      <c r="R861" s="689">
        <f ca="1">SUM(R856:R860)</f>
        <v>0</v>
      </c>
      <c r="S861" s="684"/>
      <c r="T861" s="689">
        <f ca="1">SUM(T856:T860)</f>
        <v>0.17</v>
      </c>
      <c r="U861" s="611"/>
      <c r="V861" s="611"/>
      <c r="W861" s="611"/>
      <c r="X861" s="611"/>
      <c r="Y861" s="611"/>
      <c r="Z861" s="611"/>
      <c r="AA861" s="611"/>
      <c r="AB861" s="611"/>
      <c r="AC861" s="611"/>
      <c r="AD861" s="611"/>
      <c r="AE861" s="611"/>
      <c r="AF861" s="611"/>
      <c r="AG861" s="611"/>
      <c r="AH861" s="611"/>
      <c r="AI861" s="611"/>
      <c r="AJ861" s="611"/>
      <c r="AK861" s="611"/>
      <c r="AL861" s="611"/>
      <c r="AM861" s="611"/>
      <c r="AN861" s="611"/>
      <c r="AO861" s="611"/>
    </row>
    <row r="862" spans="1:256" s="602" customFormat="1" ht="12" customHeight="1" thickTop="1">
      <c r="A862" s="63"/>
      <c r="B862" s="41"/>
      <c r="C862" s="63"/>
      <c r="E862" s="42" t="s">
        <v>138</v>
      </c>
      <c r="F862" s="42" t="s">
        <v>139</v>
      </c>
      <c r="G862" s="63"/>
      <c r="H862" s="63"/>
      <c r="I862" s="63"/>
      <c r="J862" s="63"/>
      <c r="K862" s="63" t="s">
        <v>140</v>
      </c>
      <c r="L862" s="63"/>
      <c r="M862" s="63"/>
      <c r="N862" s="63"/>
      <c r="O862" s="64"/>
      <c r="P862" s="63"/>
      <c r="Q862" s="63"/>
      <c r="R862" s="63"/>
      <c r="S862" s="63"/>
      <c r="T862" s="41"/>
      <c r="AG862" s="667" t="s">
        <v>278</v>
      </c>
      <c r="AH862" s="667" t="s">
        <v>279</v>
      </c>
      <c r="AI862" s="667" t="s">
        <v>280</v>
      </c>
      <c r="AJ862" s="667" t="s">
        <v>281</v>
      </c>
      <c r="AK862" s="667" t="s">
        <v>282</v>
      </c>
      <c r="AM862" s="668" t="s">
        <v>291</v>
      </c>
      <c r="AN862" s="669" t="s">
        <v>292</v>
      </c>
      <c r="AO862" s="603" t="s">
        <v>288</v>
      </c>
    </row>
    <row r="863" spans="1:256" s="602" customFormat="1" ht="13.2">
      <c r="A863" s="670">
        <v>2</v>
      </c>
      <c r="B863" s="671" t="s">
        <v>320</v>
      </c>
      <c r="C863" s="672"/>
      <c r="D863" s="673" t="s">
        <v>522</v>
      </c>
      <c r="E863" s="674">
        <f ca="1">IF(AND($A863=0,$A$1="DIF"),0, ROUND(ROUND(($R868*$S$2+($T868*$T$2))/A863,2)*$C$2,2))</f>
        <v>0</v>
      </c>
      <c r="F863" s="675">
        <f ca="1">ROUND($A863*$E863,2)</f>
        <v>0</v>
      </c>
      <c r="G863" s="676" t="s">
        <v>142</v>
      </c>
      <c r="H863" s="664"/>
      <c r="I863" s="677"/>
      <c r="J863" s="664"/>
      <c r="K863" s="664" t="s">
        <v>3</v>
      </c>
      <c r="L863" s="678" t="s">
        <v>143</v>
      </c>
      <c r="M863" s="678"/>
      <c r="N863" s="678"/>
      <c r="O863" s="678"/>
      <c r="P863" s="678"/>
      <c r="Q863" s="63"/>
      <c r="T863" s="679" t="str">
        <f ca="1">IF(AND($R868=0,$T868=0),"0.00","mu :" &amp; ROUND($F863/$C$2/($R868+$T868*$D$9),2))</f>
        <v>0.00</v>
      </c>
      <c r="W863" s="604"/>
      <c r="AG863" s="549">
        <f ca="1">IF($E863=0,0,ROUND($R868*$S$2*$C$2/$A863,2))</f>
        <v>0</v>
      </c>
      <c r="AH863" s="549">
        <f ca="1">$AG863*$A863</f>
        <v>0</v>
      </c>
      <c r="AI863" s="605">
        <f ca="1">$E863-$AG863</f>
        <v>0</v>
      </c>
      <c r="AJ863" s="605">
        <f ca="1">$A863*$AI863</f>
        <v>0</v>
      </c>
      <c r="AK863" s="606">
        <f ca="1">ROUND(($AG863+$AI863)*$A863,2)</f>
        <v>0</v>
      </c>
      <c r="AM863" s="607">
        <f ca="1">ROUND(R868,2)</f>
        <v>0</v>
      </c>
      <c r="AN863" s="608">
        <f ca="1">ROUND(T868,2)</f>
        <v>0</v>
      </c>
      <c r="AO863" s="609">
        <f ca="1">ROUND(AM863+AN863,2)*A863</f>
        <v>0</v>
      </c>
    </row>
    <row r="864" spans="1:256" s="713" customFormat="1" ht="13.2">
      <c r="A864" s="672"/>
      <c r="B864"/>
      <c r="C864" s="672"/>
      <c r="D864" s="673" t="s">
        <v>334</v>
      </c>
      <c r="E864" s="602"/>
      <c r="F864" s="664"/>
      <c r="G864" s="3"/>
      <c r="H864" s="664"/>
      <c r="I864" s="677"/>
      <c r="J864" s="664"/>
      <c r="K864" s="664" t="s">
        <v>144</v>
      </c>
      <c r="L864" s="664"/>
      <c r="M864" s="664"/>
      <c r="N864" s="664"/>
      <c r="O864" s="664"/>
      <c r="P864" s="664"/>
      <c r="Q864" s="63"/>
      <c r="R864" s="610"/>
      <c r="S864" s="680"/>
      <c r="T864" s="664"/>
      <c r="U864" s="602"/>
      <c r="V864" s="602"/>
      <c r="W864" s="602"/>
      <c r="X864" s="602"/>
      <c r="Y864" s="602"/>
      <c r="Z864" s="602"/>
      <c r="AA864" s="602"/>
      <c r="AB864" s="602"/>
      <c r="AC864" s="602"/>
      <c r="AD864" s="602"/>
      <c r="AE864" s="602"/>
      <c r="AF864" s="602"/>
      <c r="AG864" s="602"/>
      <c r="AH864" s="602"/>
      <c r="AI864" s="602"/>
      <c r="AJ864" s="602"/>
      <c r="AK864" s="602"/>
      <c r="AL864" s="602"/>
      <c r="AM864" s="602"/>
      <c r="AN864" s="602"/>
      <c r="AO864" s="602"/>
      <c r="AP864" s="602"/>
      <c r="AQ864" s="602"/>
      <c r="AR864" s="602"/>
      <c r="AS864" s="602"/>
      <c r="AT864" s="602"/>
      <c r="AU864" s="602"/>
      <c r="AV864" s="602"/>
      <c r="AW864" s="602"/>
      <c r="AX864" s="602"/>
      <c r="AY864" s="602"/>
      <c r="AZ864" s="602"/>
      <c r="BA864" s="602"/>
      <c r="BB864" s="602"/>
      <c r="BC864" s="602"/>
      <c r="BD864" s="602"/>
      <c r="BE864" s="602"/>
      <c r="BF864" s="602"/>
      <c r="BG864" s="602"/>
      <c r="BH864" s="602"/>
      <c r="BI864" s="602"/>
      <c r="BJ864" s="602"/>
      <c r="BK864" s="602"/>
      <c r="BL864" s="602"/>
      <c r="BM864" s="602"/>
      <c r="BN864" s="602"/>
      <c r="BO864" s="602"/>
      <c r="BP864" s="602"/>
      <c r="BQ864" s="602"/>
      <c r="BR864" s="602"/>
      <c r="BS864" s="602"/>
      <c r="BT864" s="602"/>
      <c r="BU864" s="602"/>
      <c r="BV864" s="602"/>
      <c r="BW864" s="602"/>
      <c r="BX864" s="602"/>
      <c r="BY864" s="602"/>
      <c r="BZ864" s="602"/>
      <c r="CA864" s="602"/>
      <c r="CB864" s="602"/>
      <c r="CC864" s="602"/>
      <c r="CD864" s="602"/>
      <c r="CE864" s="602"/>
      <c r="CF864" s="602"/>
      <c r="CG864" s="602"/>
      <c r="CH864" s="602"/>
      <c r="CI864" s="602"/>
      <c r="CJ864" s="602"/>
      <c r="CK864" s="602"/>
      <c r="CL864" s="602"/>
      <c r="CM864" s="602"/>
      <c r="CN864" s="602"/>
      <c r="CO864" s="602"/>
      <c r="CP864" s="602"/>
      <c r="CQ864" s="602"/>
      <c r="CR864" s="602"/>
      <c r="CS864" s="602"/>
      <c r="CT864" s="602"/>
      <c r="CU864" s="602"/>
      <c r="CV864" s="602"/>
      <c r="CW864" s="602"/>
      <c r="CX864" s="602"/>
      <c r="CY864" s="602"/>
      <c r="CZ864" s="602"/>
      <c r="DA864" s="602"/>
      <c r="DB864" s="602"/>
      <c r="DC864" s="602"/>
      <c r="DD864" s="602"/>
      <c r="DE864" s="602"/>
      <c r="DF864" s="602"/>
      <c r="DG864" s="602"/>
      <c r="DH864" s="602"/>
      <c r="DI864" s="602"/>
      <c r="DJ864" s="602"/>
      <c r="DK864" s="602"/>
      <c r="DL864" s="602"/>
      <c r="DM864" s="602"/>
      <c r="DN864" s="602"/>
      <c r="DO864" s="602"/>
      <c r="DP864" s="602"/>
      <c r="DQ864" s="602"/>
      <c r="DR864" s="602"/>
      <c r="DS864" s="602"/>
      <c r="DT864" s="602"/>
      <c r="DU864" s="602"/>
      <c r="DV864" s="602"/>
      <c r="DW864" s="602"/>
      <c r="DX864" s="602"/>
      <c r="DY864" s="602"/>
      <c r="DZ864" s="602"/>
      <c r="EA864" s="602"/>
      <c r="EB864" s="602"/>
      <c r="EC864" s="602"/>
      <c r="ED864" s="602"/>
      <c r="EE864" s="602"/>
      <c r="EF864" s="602"/>
      <c r="EG864" s="602"/>
      <c r="EH864" s="602"/>
      <c r="EI864" s="602"/>
      <c r="EJ864" s="602"/>
      <c r="EK864" s="602"/>
      <c r="EL864" s="602"/>
      <c r="EM864" s="602"/>
      <c r="EN864" s="602"/>
      <c r="EO864" s="602"/>
      <c r="EP864" s="602"/>
      <c r="EQ864" s="602"/>
      <c r="ER864" s="602"/>
      <c r="ES864" s="602"/>
      <c r="ET864" s="602"/>
      <c r="EU864" s="602"/>
      <c r="EV864" s="602"/>
      <c r="EW864" s="602"/>
      <c r="EX864" s="602"/>
      <c r="EY864" s="602"/>
      <c r="EZ864" s="602"/>
      <c r="FA864" s="602"/>
      <c r="FB864" s="602"/>
      <c r="FC864" s="602"/>
      <c r="FD864" s="602"/>
      <c r="FE864" s="602"/>
      <c r="FF864" s="602"/>
      <c r="FG864" s="602"/>
      <c r="FH864" s="602"/>
      <c r="FI864" s="602"/>
      <c r="FJ864" s="602"/>
      <c r="FK864" s="602"/>
      <c r="FL864" s="602"/>
      <c r="FM864" s="602"/>
      <c r="FN864" s="602"/>
      <c r="FO864" s="602"/>
      <c r="FP864" s="602"/>
      <c r="FQ864" s="602"/>
      <c r="FR864" s="602"/>
      <c r="FS864" s="602"/>
      <c r="FT864" s="602"/>
      <c r="FU864" s="602"/>
      <c r="FV864" s="602"/>
      <c r="FW864" s="602"/>
      <c r="FX864" s="602"/>
      <c r="FY864" s="602"/>
      <c r="FZ864" s="602"/>
      <c r="GA864" s="602"/>
      <c r="GB864" s="602"/>
      <c r="GC864" s="602"/>
      <c r="GD864" s="602"/>
      <c r="GE864" s="602"/>
      <c r="GF864" s="602"/>
      <c r="GG864" s="602"/>
      <c r="GH864" s="602"/>
      <c r="GI864" s="602"/>
      <c r="GJ864" s="602"/>
      <c r="GK864" s="602"/>
      <c r="GL864" s="602"/>
      <c r="GM864" s="602"/>
      <c r="GN864" s="602"/>
      <c r="GO864" s="602"/>
      <c r="GP864" s="602"/>
      <c r="GQ864" s="602"/>
      <c r="GR864" s="602"/>
      <c r="GS864" s="602"/>
      <c r="GT864" s="602"/>
      <c r="GU864" s="602"/>
      <c r="GV864" s="602"/>
      <c r="GW864" s="602"/>
      <c r="GX864" s="602"/>
      <c r="GY864" s="602"/>
      <c r="GZ864" s="602"/>
      <c r="HA864" s="602"/>
      <c r="HB864" s="602"/>
      <c r="HC864" s="602"/>
      <c r="HD864" s="602"/>
      <c r="HE864" s="602"/>
      <c r="HF864" s="602"/>
      <c r="HG864" s="602"/>
      <c r="HH864" s="602"/>
      <c r="HI864" s="602"/>
      <c r="HJ864" s="602"/>
      <c r="HK864" s="602"/>
      <c r="HL864" s="602"/>
      <c r="HM864" s="602"/>
      <c r="HN864" s="602"/>
      <c r="HO864" s="602"/>
      <c r="HP864" s="602"/>
      <c r="HQ864" s="602"/>
      <c r="HR864" s="602"/>
      <c r="HS864" s="602"/>
      <c r="HT864" s="602"/>
      <c r="HU864" s="602"/>
      <c r="HV864" s="602"/>
      <c r="HW864" s="602"/>
      <c r="HX864" s="602"/>
      <c r="HY864" s="602"/>
      <c r="HZ864" s="602"/>
      <c r="IA864" s="602"/>
      <c r="IB864" s="602"/>
      <c r="IC864" s="602"/>
      <c r="ID864" s="602"/>
      <c r="IE864" s="602"/>
      <c r="IF864" s="602"/>
      <c r="IG864" s="602"/>
      <c r="IH864" s="602"/>
      <c r="II864" s="602"/>
      <c r="IJ864" s="602"/>
      <c r="IK864" s="602"/>
      <c r="IL864" s="602"/>
      <c r="IM864" s="602"/>
      <c r="IN864" s="602"/>
      <c r="IO864" s="602"/>
      <c r="IP864" s="602"/>
      <c r="IQ864" s="602"/>
      <c r="IR864" s="602"/>
      <c r="IS864" s="602"/>
      <c r="IT864" s="602"/>
      <c r="IU864" s="602"/>
      <c r="IV864" s="602"/>
    </row>
    <row r="865" spans="1:256" s="713" customFormat="1" ht="13.2">
      <c r="A865"/>
      <c r="B865" s="807"/>
      <c r="C865" s="807" t="s">
        <v>692</v>
      </c>
      <c r="D865" s="807" t="str">
        <f ca="1">CELL("Address",Elec_Rates!D$125)</f>
        <v>[E25_0477_IH_Retro_Elec_Est_Rev_A_AW.xlsx]Elec_Rates!$D$125</v>
      </c>
      <c r="E865" s="808"/>
      <c r="F865" s="808"/>
      <c r="G865" s="809" t="s">
        <v>693</v>
      </c>
      <c r="H865" s="809"/>
      <c r="I865" s="809"/>
      <c r="J865" s="809"/>
      <c r="K865" s="810"/>
      <c r="L865" s="808"/>
      <c r="M865" s="808"/>
      <c r="N865" s="808"/>
      <c r="O865" s="811"/>
      <c r="P865" s="808"/>
      <c r="Q865" s="812"/>
      <c r="R865" s="813"/>
      <c r="S865" s="812"/>
      <c r="T865" s="814"/>
      <c r="U865" s="815"/>
    </row>
    <row r="866" spans="1:256" s="602" customFormat="1" ht="11.4">
      <c r="A866" s="816">
        <v>2</v>
      </c>
      <c r="B866" s="817">
        <v>1</v>
      </c>
      <c r="C866" s="817">
        <f>$A866*$B866</f>
        <v>2</v>
      </c>
      <c r="D866" s="818" t="str">
        <f>Elec_Rates!$D$125</f>
        <v>001# Emergency lighting installation galvanised</v>
      </c>
      <c r="E866" s="818" t="s">
        <v>709</v>
      </c>
      <c r="F866" s="815"/>
      <c r="G866" s="819" t="s">
        <v>708</v>
      </c>
      <c r="H866" s="819"/>
      <c r="I866" s="819"/>
      <c r="J866" s="819"/>
      <c r="K866" s="820"/>
      <c r="L866" s="815"/>
      <c r="M866" s="815"/>
      <c r="N866" s="815"/>
      <c r="O866" s="821"/>
      <c r="P866" s="818"/>
      <c r="Q866" s="822">
        <f ca="1">$B866*Elec_Rates!$R$125</f>
        <v>0</v>
      </c>
      <c r="R866" s="813">
        <f ca="1">$A866*Q866</f>
        <v>0</v>
      </c>
      <c r="S866" s="822">
        <f ca="1">$B866*Elec_Rates!$T$125</f>
        <v>0</v>
      </c>
      <c r="T866" s="814">
        <f ca="1">$A866*S866</f>
        <v>0</v>
      </c>
      <c r="U866" s="583"/>
      <c r="V866" s="713"/>
      <c r="W866" s="713"/>
      <c r="X866" s="713"/>
      <c r="Y866" s="713"/>
      <c r="Z866" s="713"/>
      <c r="AA866" s="713"/>
      <c r="AB866" s="713"/>
      <c r="AC866" s="713"/>
      <c r="AD866" s="713"/>
      <c r="AE866" s="713"/>
      <c r="AF866" s="713"/>
      <c r="AG866" s="713"/>
      <c r="AH866" s="713"/>
      <c r="AI866" s="713"/>
      <c r="AJ866" s="713"/>
      <c r="AK866" s="713"/>
      <c r="AL866" s="713"/>
      <c r="AM866" s="713"/>
      <c r="AN866" s="713"/>
      <c r="AO866" s="713"/>
      <c r="AP866" s="713"/>
      <c r="AQ866" s="713"/>
      <c r="AR866" s="713"/>
      <c r="AS866" s="713"/>
      <c r="AT866" s="713"/>
      <c r="AU866" s="713"/>
      <c r="AV866" s="713"/>
      <c r="AW866" s="713"/>
      <c r="AX866" s="713"/>
      <c r="AY866" s="713"/>
      <c r="AZ866" s="713"/>
      <c r="BA866" s="713"/>
      <c r="BB866" s="713"/>
      <c r="BC866" s="713"/>
      <c r="BD866" s="713"/>
      <c r="BE866" s="713"/>
      <c r="BF866" s="713"/>
      <c r="BG866" s="713"/>
      <c r="BH866" s="713"/>
      <c r="BI866" s="713"/>
      <c r="BJ866" s="713"/>
      <c r="BK866" s="713"/>
      <c r="BL866" s="713"/>
      <c r="BM866" s="713"/>
      <c r="BN866" s="713"/>
      <c r="BO866" s="713"/>
      <c r="BP866" s="713"/>
      <c r="BQ866" s="713"/>
      <c r="BR866" s="713"/>
      <c r="BS866" s="713"/>
      <c r="BT866" s="713"/>
      <c r="BU866" s="713"/>
      <c r="BV866" s="713"/>
      <c r="BW866" s="713"/>
      <c r="BX866" s="713"/>
      <c r="BY866" s="713"/>
      <c r="BZ866" s="713"/>
      <c r="CA866" s="713"/>
      <c r="CB866" s="713"/>
      <c r="CC866" s="713"/>
      <c r="CD866" s="713"/>
      <c r="CE866" s="713"/>
      <c r="CF866" s="713"/>
      <c r="CG866" s="713"/>
      <c r="CH866" s="713"/>
      <c r="CI866" s="713"/>
      <c r="CJ866" s="713"/>
      <c r="CK866" s="713"/>
      <c r="CL866" s="713"/>
      <c r="CM866" s="713"/>
      <c r="CN866" s="713"/>
      <c r="CO866" s="713"/>
      <c r="CP866" s="713"/>
      <c r="CQ866" s="713"/>
      <c r="CR866" s="713"/>
      <c r="CS866" s="713"/>
      <c r="CT866" s="713"/>
      <c r="CU866" s="713"/>
      <c r="CV866" s="713"/>
      <c r="CW866" s="713"/>
      <c r="CX866" s="713"/>
      <c r="CY866" s="713"/>
      <c r="CZ866" s="713"/>
      <c r="DA866" s="713"/>
      <c r="DB866" s="713"/>
      <c r="DC866" s="713"/>
      <c r="DD866" s="713"/>
      <c r="DE866" s="713"/>
      <c r="DF866" s="713"/>
      <c r="DG866" s="713"/>
      <c r="DH866" s="713"/>
      <c r="DI866" s="713"/>
      <c r="DJ866" s="713"/>
      <c r="DK866" s="713"/>
      <c r="DL866" s="713"/>
      <c r="DM866" s="713"/>
      <c r="DN866" s="713"/>
      <c r="DO866" s="713"/>
      <c r="DP866" s="713"/>
      <c r="DQ866" s="713"/>
      <c r="DR866" s="713"/>
      <c r="DS866" s="713"/>
      <c r="DT866" s="713"/>
      <c r="DU866" s="713"/>
      <c r="DV866" s="713"/>
      <c r="DW866" s="713"/>
      <c r="DX866" s="713"/>
      <c r="DY866" s="713"/>
      <c r="DZ866" s="713"/>
      <c r="EA866" s="713"/>
      <c r="EB866" s="713"/>
      <c r="EC866" s="713"/>
      <c r="ED866" s="713"/>
      <c r="EE866" s="713"/>
      <c r="EF866" s="713"/>
      <c r="EG866" s="713"/>
      <c r="EH866" s="713"/>
      <c r="EI866" s="713"/>
      <c r="EJ866" s="713"/>
      <c r="EK866" s="713"/>
      <c r="EL866" s="713"/>
      <c r="EM866" s="713"/>
      <c r="EN866" s="713"/>
      <c r="EO866" s="713"/>
      <c r="EP866" s="713"/>
      <c r="EQ866" s="713"/>
      <c r="ER866" s="713"/>
      <c r="ES866" s="713"/>
      <c r="ET866" s="713"/>
      <c r="EU866" s="713"/>
      <c r="EV866" s="713"/>
      <c r="EW866" s="713"/>
      <c r="EX866" s="713"/>
      <c r="EY866" s="713"/>
      <c r="EZ866" s="713"/>
      <c r="FA866" s="713"/>
      <c r="FB866" s="713"/>
      <c r="FC866" s="713"/>
      <c r="FD866" s="713"/>
      <c r="FE866" s="713"/>
      <c r="FF866" s="713"/>
      <c r="FG866" s="713"/>
      <c r="FH866" s="713"/>
      <c r="FI866" s="713"/>
      <c r="FJ866" s="713"/>
      <c r="FK866" s="713"/>
      <c r="FL866" s="713"/>
      <c r="FM866" s="713"/>
      <c r="FN866" s="713"/>
      <c r="FO866" s="713"/>
      <c r="FP866" s="713"/>
      <c r="FQ866" s="713"/>
      <c r="FR866" s="713"/>
      <c r="FS866" s="713"/>
      <c r="FT866" s="713"/>
      <c r="FU866" s="713"/>
      <c r="FV866" s="713"/>
      <c r="FW866" s="713"/>
      <c r="FX866" s="713"/>
      <c r="FY866" s="713"/>
      <c r="FZ866" s="713"/>
      <c r="GA866" s="713"/>
      <c r="GB866" s="713"/>
      <c r="GC866" s="713"/>
      <c r="GD866" s="713"/>
      <c r="GE866" s="713"/>
      <c r="GF866" s="713"/>
      <c r="GG866" s="713"/>
      <c r="GH866" s="713"/>
      <c r="GI866" s="713"/>
      <c r="GJ866" s="713"/>
      <c r="GK866" s="713"/>
      <c r="GL866" s="713"/>
      <c r="GM866" s="713"/>
      <c r="GN866" s="713"/>
      <c r="GO866" s="713"/>
      <c r="GP866" s="713"/>
      <c r="GQ866" s="713"/>
      <c r="GR866" s="713"/>
      <c r="GS866" s="713"/>
      <c r="GT866" s="713"/>
      <c r="GU866" s="713"/>
      <c r="GV866" s="713"/>
      <c r="GW866" s="713"/>
      <c r="GX866" s="713"/>
      <c r="GY866" s="713"/>
      <c r="GZ866" s="713"/>
      <c r="HA866" s="713"/>
      <c r="HB866" s="713"/>
      <c r="HC866" s="713"/>
      <c r="HD866" s="713"/>
      <c r="HE866" s="713"/>
      <c r="HF866" s="713"/>
      <c r="HG866" s="713"/>
      <c r="HH866" s="713"/>
      <c r="HI866" s="713"/>
      <c r="HJ866" s="713"/>
      <c r="HK866" s="713"/>
      <c r="HL866" s="713"/>
      <c r="HM866" s="713"/>
      <c r="HN866" s="713"/>
      <c r="HO866" s="713"/>
      <c r="HP866" s="713"/>
      <c r="HQ866" s="713"/>
      <c r="HR866" s="713"/>
      <c r="HS866" s="713"/>
      <c r="HT866" s="713"/>
      <c r="HU866" s="713"/>
      <c r="HV866" s="713"/>
      <c r="HW866" s="713"/>
      <c r="HX866" s="713"/>
      <c r="HY866" s="713"/>
      <c r="HZ866" s="713"/>
      <c r="IA866" s="713"/>
      <c r="IB866" s="713"/>
      <c r="IC866" s="713"/>
      <c r="ID866" s="713"/>
      <c r="IE866" s="713"/>
      <c r="IF866" s="713"/>
      <c r="IG866" s="713"/>
      <c r="IH866" s="713"/>
      <c r="II866" s="713"/>
      <c r="IJ866" s="713"/>
      <c r="IK866" s="713"/>
      <c r="IL866" s="713"/>
      <c r="IM866" s="713"/>
      <c r="IN866" s="713"/>
      <c r="IO866" s="713"/>
      <c r="IP866" s="713"/>
      <c r="IQ866" s="713"/>
      <c r="IR866" s="713"/>
      <c r="IS866" s="713"/>
      <c r="IT866" s="713"/>
      <c r="IU866" s="713"/>
      <c r="IV866" s="713"/>
    </row>
    <row r="867" spans="1:256" s="602" customFormat="1" ht="12">
      <c r="A867" s="663"/>
      <c r="B867" s="663"/>
      <c r="C867" s="663"/>
      <c r="D867" s="663"/>
      <c r="E867" s="663"/>
      <c r="F867" s="664"/>
      <c r="G867" s="663"/>
      <c r="H867" s="663"/>
      <c r="I867" s="601"/>
      <c r="J867" s="663"/>
      <c r="K867" s="663"/>
      <c r="L867" s="663"/>
      <c r="M867" s="663"/>
      <c r="N867" s="663"/>
      <c r="O867" s="663"/>
      <c r="P867" s="663"/>
      <c r="Q867" s="601"/>
      <c r="R867" s="666">
        <f>$A867*Q867</f>
        <v>0</v>
      </c>
      <c r="S867" s="601"/>
      <c r="T867" s="681">
        <f>$A867*S867*$T$1</f>
        <v>0</v>
      </c>
    </row>
    <row r="868" spans="1:256" s="602" customFormat="1" ht="12.6" thickBot="1">
      <c r="A868" s="682" t="s">
        <v>145</v>
      </c>
      <c r="B868" s="683">
        <f>(R867+T867)</f>
        <v>0</v>
      </c>
      <c r="C868" s="684"/>
      <c r="D868" s="684"/>
      <c r="E868" s="684"/>
      <c r="F868" s="685"/>
      <c r="G868" s="684" t="s">
        <v>146</v>
      </c>
      <c r="H868" s="684"/>
      <c r="I868" s="686"/>
      <c r="J868" s="684"/>
      <c r="K868" s="684" t="s">
        <v>3</v>
      </c>
      <c r="L868" s="687" t="s">
        <v>143</v>
      </c>
      <c r="M868" s="687"/>
      <c r="N868" s="687"/>
      <c r="O868" s="687"/>
      <c r="P868" s="687"/>
      <c r="Q868" s="688"/>
      <c r="R868" s="689">
        <f ca="1">SUM(R864:R867)</f>
        <v>0</v>
      </c>
      <c r="S868" s="684"/>
      <c r="T868" s="689">
        <f ca="1">SUM(T864:T867)</f>
        <v>0</v>
      </c>
      <c r="U868" s="611"/>
      <c r="V868" s="611"/>
      <c r="W868" s="611"/>
      <c r="X868" s="611"/>
      <c r="Y868" s="611"/>
      <c r="Z868" s="611"/>
      <c r="AA868" s="611"/>
      <c r="AB868" s="611"/>
      <c r="AC868" s="611"/>
      <c r="AD868" s="611"/>
      <c r="AE868" s="611"/>
      <c r="AF868" s="611"/>
      <c r="AG868" s="611"/>
      <c r="AH868" s="611"/>
      <c r="AI868" s="611"/>
      <c r="AJ868" s="611"/>
      <c r="AK868" s="611"/>
      <c r="AL868" s="611"/>
      <c r="AM868" s="611"/>
      <c r="AN868" s="611"/>
      <c r="AO868" s="611"/>
    </row>
    <row r="869" spans="1:256" s="602" customFormat="1" thickTop="1">
      <c r="A869" s="63"/>
      <c r="B869" s="63"/>
      <c r="C869" s="3"/>
      <c r="D869" s="3"/>
      <c r="E869" s="63"/>
      <c r="F869" s="63"/>
      <c r="G869" s="63"/>
      <c r="H869" s="63"/>
      <c r="I869" s="63"/>
      <c r="J869" s="63"/>
      <c r="K869" s="63" t="s">
        <v>134</v>
      </c>
      <c r="L869" s="63"/>
      <c r="M869" s="63"/>
      <c r="N869" s="63"/>
      <c r="O869" s="64"/>
      <c r="P869" s="63"/>
      <c r="Q869" s="63"/>
      <c r="R869" s="63"/>
      <c r="S869" s="63"/>
      <c r="T869" s="63"/>
    </row>
    <row r="870" spans="1:256" s="602" customFormat="1" ht="12">
      <c r="A870" s="63"/>
      <c r="B870" s="63"/>
      <c r="C870" s="63" t="s">
        <v>135</v>
      </c>
      <c r="D870" s="37" t="s">
        <v>523</v>
      </c>
      <c r="E870" s="63"/>
      <c r="F870" s="63"/>
      <c r="G870" s="63"/>
      <c r="H870" s="63"/>
      <c r="I870" s="63"/>
      <c r="J870" s="63"/>
      <c r="K870" s="63"/>
      <c r="L870" s="63"/>
      <c r="M870" s="63"/>
      <c r="N870" s="63"/>
      <c r="O870" s="64"/>
      <c r="P870" s="63"/>
      <c r="Q870" s="63"/>
      <c r="R870" s="63"/>
      <c r="S870" s="63"/>
      <c r="T870" s="63"/>
    </row>
    <row r="871" spans="1:256" s="3" customFormat="1" ht="13.2">
      <c r="A871" s="63"/>
      <c r="B871" s="63"/>
      <c r="C871" s="63"/>
      <c r="D871" s="37" t="s">
        <v>335</v>
      </c>
      <c r="E871" s="63"/>
      <c r="F871" s="63"/>
      <c r="G871" s="63"/>
      <c r="H871" s="63"/>
      <c r="I871" s="63"/>
      <c r="J871" s="63"/>
      <c r="K871" s="63"/>
      <c r="L871" s="63"/>
      <c r="M871" s="63"/>
      <c r="N871" s="63"/>
      <c r="O871" s="64"/>
      <c r="P871" s="63"/>
      <c r="Q871" s="63"/>
      <c r="R871" s="63"/>
      <c r="S871" s="38"/>
      <c r="T871" s="38"/>
      <c r="U871" s="602"/>
      <c r="V871" s="602"/>
      <c r="W871" s="602"/>
      <c r="X871" s="602"/>
      <c r="Y871" s="602"/>
      <c r="Z871" s="602"/>
      <c r="AA871" s="602"/>
      <c r="AB871" s="602"/>
      <c r="AC871" s="602"/>
      <c r="AD871" s="602"/>
      <c r="AE871" s="602"/>
      <c r="AF871" s="602"/>
      <c r="AG871" s="602"/>
      <c r="AH871" s="602"/>
      <c r="AI871" s="602"/>
      <c r="AJ871" s="602"/>
      <c r="AK871" s="602"/>
      <c r="AL871" s="602"/>
      <c r="AM871" s="602"/>
      <c r="AN871" s="602"/>
      <c r="AO871" s="602"/>
      <c r="AP871" s="602"/>
      <c r="AQ871" s="602"/>
      <c r="AR871" s="602"/>
      <c r="AS871" s="602"/>
      <c r="AT871" s="602"/>
      <c r="AU871" s="602"/>
      <c r="AV871" s="602"/>
      <c r="AW871" s="602"/>
      <c r="AX871" s="602"/>
      <c r="AY871" s="602"/>
      <c r="AZ871" s="602"/>
      <c r="BA871" s="602"/>
      <c r="BB871" s="602"/>
      <c r="BC871" s="602"/>
      <c r="BD871" s="602"/>
      <c r="BE871" s="602"/>
      <c r="BF871" s="602"/>
      <c r="BG871" s="602"/>
      <c r="BH871" s="602"/>
      <c r="BI871" s="602"/>
      <c r="BJ871" s="602"/>
      <c r="BK871" s="602"/>
      <c r="BL871" s="602"/>
      <c r="BM871" s="602"/>
      <c r="BN871" s="602"/>
      <c r="BO871" s="602"/>
      <c r="BP871" s="602"/>
      <c r="BQ871" s="602"/>
      <c r="BR871" s="602"/>
      <c r="BS871" s="602"/>
      <c r="BT871" s="602"/>
      <c r="BU871" s="602"/>
      <c r="BV871" s="602"/>
      <c r="BW871" s="602"/>
      <c r="BX871" s="602"/>
      <c r="BY871" s="602"/>
      <c r="BZ871" s="602"/>
      <c r="CA871" s="602"/>
      <c r="CB871" s="602"/>
      <c r="CC871" s="602"/>
      <c r="CD871" s="602"/>
      <c r="CE871" s="602"/>
      <c r="CF871" s="602"/>
      <c r="CG871" s="602"/>
      <c r="CH871" s="602"/>
      <c r="CI871" s="602"/>
      <c r="CJ871" s="602"/>
      <c r="CK871" s="602"/>
      <c r="CL871" s="602"/>
      <c r="CM871" s="602"/>
      <c r="CN871" s="602"/>
      <c r="CO871" s="602"/>
      <c r="CP871" s="602"/>
      <c r="CQ871" s="602"/>
      <c r="CR871" s="602"/>
      <c r="CS871" s="602"/>
      <c r="CT871" s="602"/>
      <c r="CU871" s="602"/>
      <c r="CV871" s="602"/>
      <c r="CW871" s="602"/>
      <c r="CX871" s="602"/>
      <c r="CY871" s="602"/>
      <c r="CZ871" s="602"/>
      <c r="DA871" s="602"/>
      <c r="DB871" s="602"/>
      <c r="DC871" s="602"/>
      <c r="DD871" s="602"/>
      <c r="DE871" s="602"/>
      <c r="DF871" s="602"/>
      <c r="DG871" s="602"/>
      <c r="DH871" s="602"/>
      <c r="DI871" s="602"/>
      <c r="DJ871" s="602"/>
      <c r="DK871" s="602"/>
      <c r="DL871" s="602"/>
      <c r="DM871" s="602"/>
      <c r="DN871" s="602"/>
      <c r="DO871" s="602"/>
      <c r="DP871" s="602"/>
      <c r="DQ871" s="602"/>
      <c r="DR871" s="602"/>
      <c r="DS871" s="602"/>
      <c r="DT871" s="602"/>
      <c r="DU871" s="602"/>
      <c r="DV871" s="602"/>
      <c r="DW871" s="602"/>
      <c r="DX871" s="602"/>
      <c r="DY871" s="602"/>
      <c r="DZ871" s="602"/>
      <c r="EA871" s="602"/>
      <c r="EB871" s="602"/>
      <c r="EC871" s="602"/>
      <c r="ED871" s="602"/>
      <c r="EE871" s="602"/>
      <c r="EF871" s="602"/>
      <c r="EG871" s="602"/>
      <c r="EH871" s="602"/>
      <c r="EI871" s="602"/>
      <c r="EJ871" s="602"/>
      <c r="EK871" s="602"/>
      <c r="EL871" s="602"/>
      <c r="EM871" s="602"/>
      <c r="EN871" s="602"/>
      <c r="EO871" s="602"/>
      <c r="EP871" s="602"/>
      <c r="EQ871" s="602"/>
      <c r="ER871" s="602"/>
      <c r="ES871" s="602"/>
      <c r="ET871" s="602"/>
      <c r="EU871" s="602"/>
      <c r="EV871" s="602"/>
      <c r="EW871" s="602"/>
      <c r="EX871" s="602"/>
      <c r="EY871" s="602"/>
      <c r="EZ871" s="602"/>
      <c r="FA871" s="602"/>
      <c r="FB871" s="602"/>
      <c r="FC871" s="602"/>
      <c r="FD871" s="602"/>
      <c r="FE871" s="602"/>
      <c r="FF871" s="602"/>
      <c r="FG871" s="602"/>
      <c r="FH871" s="602"/>
      <c r="FI871" s="602"/>
      <c r="FJ871" s="602"/>
      <c r="FK871" s="602"/>
      <c r="FL871" s="602"/>
      <c r="FM871" s="602"/>
      <c r="FN871" s="602"/>
      <c r="FO871" s="602"/>
      <c r="FP871" s="602"/>
      <c r="FQ871" s="602"/>
      <c r="FR871" s="602"/>
      <c r="FS871" s="602"/>
      <c r="FT871" s="602"/>
      <c r="FU871" s="602"/>
      <c r="FV871" s="602"/>
      <c r="FW871" s="602"/>
      <c r="FX871" s="602"/>
      <c r="FY871" s="602"/>
      <c r="FZ871" s="602"/>
      <c r="GA871" s="602"/>
      <c r="GB871" s="602"/>
      <c r="GC871" s="602"/>
      <c r="GD871" s="602"/>
      <c r="GE871" s="602"/>
      <c r="GF871" s="602"/>
      <c r="GG871" s="602"/>
      <c r="GH871" s="602"/>
      <c r="GI871" s="602"/>
      <c r="GJ871" s="602"/>
      <c r="GK871" s="602"/>
      <c r="GL871" s="602"/>
      <c r="GM871" s="602"/>
      <c r="GN871" s="602"/>
      <c r="GO871" s="602"/>
      <c r="GP871" s="602"/>
      <c r="GQ871" s="602"/>
      <c r="GR871" s="602"/>
      <c r="GS871" s="602"/>
      <c r="GT871" s="602"/>
      <c r="GU871" s="602"/>
      <c r="GV871" s="602"/>
      <c r="GW871" s="602"/>
      <c r="GX871" s="602"/>
      <c r="GY871" s="602"/>
      <c r="GZ871" s="602"/>
      <c r="HA871" s="602"/>
      <c r="HB871" s="602"/>
      <c r="HC871" s="602"/>
      <c r="HD871" s="602"/>
      <c r="HE871" s="602"/>
      <c r="HF871" s="602"/>
      <c r="HG871" s="602"/>
      <c r="HH871" s="602"/>
      <c r="HI871" s="602"/>
      <c r="HJ871" s="602"/>
      <c r="HK871" s="602"/>
      <c r="HL871" s="602"/>
      <c r="HM871" s="602"/>
      <c r="HN871" s="602"/>
      <c r="HO871" s="602"/>
      <c r="HP871" s="602"/>
      <c r="HQ871" s="602"/>
      <c r="HR871" s="602"/>
      <c r="HS871" s="602"/>
      <c r="HT871" s="602"/>
      <c r="HU871" s="602"/>
      <c r="HV871" s="602"/>
      <c r="HW871" s="602"/>
      <c r="HX871" s="602"/>
      <c r="HY871" s="602"/>
      <c r="HZ871" s="602"/>
      <c r="IA871" s="602"/>
      <c r="IB871" s="602"/>
      <c r="IC871" s="602"/>
      <c r="ID871" s="602"/>
      <c r="IE871" s="602"/>
      <c r="IF871" s="602"/>
      <c r="IG871" s="602"/>
      <c r="IH871" s="602"/>
      <c r="II871" s="602"/>
      <c r="IJ871" s="602"/>
      <c r="IK871" s="602"/>
      <c r="IL871" s="602"/>
      <c r="IM871" s="602"/>
      <c r="IN871" s="602"/>
      <c r="IO871" s="602"/>
      <c r="IP871" s="602"/>
      <c r="IQ871" s="602"/>
      <c r="IR871" s="602"/>
      <c r="IS871" s="602"/>
      <c r="IT871" s="602"/>
      <c r="IU871" s="602"/>
      <c r="IV871" s="602"/>
    </row>
    <row r="872" spans="1:256" s="602" customFormat="1" thickBot="1">
      <c r="A872" s="611"/>
      <c r="B872" s="3"/>
      <c r="C872" s="3"/>
      <c r="D872" s="3"/>
      <c r="E872" s="3"/>
      <c r="F872" s="3"/>
      <c r="G872" s="3"/>
      <c r="H872" s="3"/>
      <c r="I872" s="3"/>
      <c r="J872" s="3"/>
      <c r="K872" s="3"/>
      <c r="L872" s="3"/>
      <c r="M872" s="3"/>
      <c r="N872" s="3"/>
      <c r="O872" s="158"/>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c r="FA872" s="3"/>
      <c r="FB872" s="3"/>
      <c r="FC872" s="3"/>
      <c r="FD872" s="3"/>
      <c r="FE872" s="3"/>
      <c r="FF872" s="3"/>
      <c r="FG872" s="3"/>
      <c r="FH872" s="3"/>
      <c r="FI872" s="3"/>
      <c r="FJ872" s="3"/>
      <c r="FK872" s="3"/>
      <c r="FL872" s="3"/>
      <c r="FM872" s="3"/>
      <c r="FN872" s="3"/>
      <c r="FO872" s="3"/>
      <c r="FP872" s="3"/>
      <c r="FQ872" s="3"/>
      <c r="FR872" s="3"/>
      <c r="FS872" s="3"/>
      <c r="FT872" s="3"/>
      <c r="FU872" s="3"/>
      <c r="FV872" s="3"/>
      <c r="FW872" s="3"/>
      <c r="FX872" s="3"/>
      <c r="FY872" s="3"/>
      <c r="FZ872" s="3"/>
      <c r="GA872" s="3"/>
      <c r="GB872" s="3"/>
      <c r="GC872" s="3"/>
      <c r="GD872" s="3"/>
      <c r="GE872" s="3"/>
      <c r="GF872" s="3"/>
      <c r="GG872" s="3"/>
      <c r="GH872" s="3"/>
      <c r="GI872" s="3"/>
      <c r="GJ872" s="3"/>
      <c r="GK872" s="3"/>
      <c r="GL872" s="3"/>
      <c r="GM872" s="3"/>
      <c r="GN872" s="3"/>
      <c r="GO872" s="3"/>
      <c r="GP872" s="3"/>
      <c r="GQ872" s="3"/>
      <c r="GR872" s="3"/>
      <c r="GS872" s="3"/>
      <c r="GT872" s="3"/>
      <c r="GU872" s="3"/>
      <c r="GV872" s="3"/>
      <c r="GW872" s="3"/>
      <c r="GX872" s="3"/>
      <c r="GY872" s="3"/>
      <c r="GZ872" s="3"/>
      <c r="HA872" s="3"/>
      <c r="HB872" s="3"/>
      <c r="HC872" s="3"/>
      <c r="HD872" s="3"/>
      <c r="HE872" s="3"/>
      <c r="HF872" s="3"/>
      <c r="HG872" s="3"/>
      <c r="HH872" s="3"/>
      <c r="HI872" s="3"/>
      <c r="HJ872" s="3"/>
      <c r="HK872" s="3"/>
      <c r="HL872" s="3"/>
      <c r="HM872" s="3"/>
      <c r="HN872" s="3"/>
      <c r="HO872" s="3"/>
      <c r="HP872" s="3"/>
      <c r="HQ872" s="3"/>
      <c r="HR872" s="3"/>
      <c r="HS872" s="3"/>
      <c r="HT872" s="3"/>
      <c r="HU872" s="3"/>
      <c r="HV872" s="3"/>
      <c r="HW872" s="3"/>
      <c r="HX872" s="3"/>
      <c r="HY872" s="3"/>
      <c r="HZ872" s="3"/>
      <c r="IA872" s="3"/>
      <c r="IB872" s="3"/>
      <c r="IC872" s="3"/>
      <c r="ID872" s="3"/>
      <c r="IE872" s="3"/>
      <c r="IF872" s="3"/>
      <c r="IG872" s="3"/>
      <c r="IH872" s="3"/>
      <c r="II872" s="3"/>
      <c r="IJ872" s="3"/>
      <c r="IK872" s="3"/>
      <c r="IL872" s="3"/>
      <c r="IM872" s="3"/>
      <c r="IN872" s="3"/>
      <c r="IO872" s="3"/>
      <c r="IP872" s="3"/>
      <c r="IQ872" s="3"/>
      <c r="IR872" s="3"/>
      <c r="IS872" s="3"/>
      <c r="IT872" s="3"/>
      <c r="IU872" s="3"/>
      <c r="IV872" s="3"/>
    </row>
    <row r="873" spans="1:256" s="602" customFormat="1" ht="12" customHeight="1" thickTop="1">
      <c r="A873" s="63"/>
      <c r="B873" s="41"/>
      <c r="C873" s="63"/>
      <c r="E873" s="42" t="s">
        <v>138</v>
      </c>
      <c r="F873" s="42" t="s">
        <v>139</v>
      </c>
      <c r="G873" s="63"/>
      <c r="H873" s="63"/>
      <c r="I873" s="63"/>
      <c r="J873" s="63"/>
      <c r="K873" s="63" t="s">
        <v>140</v>
      </c>
      <c r="L873" s="63"/>
      <c r="M873" s="63"/>
      <c r="N873" s="63"/>
      <c r="O873" s="64"/>
      <c r="P873" s="63"/>
      <c r="Q873" s="63"/>
      <c r="R873" s="63"/>
      <c r="S873" s="63"/>
      <c r="T873" s="41"/>
      <c r="AG873" s="667" t="s">
        <v>278</v>
      </c>
      <c r="AH873" s="667" t="s">
        <v>279</v>
      </c>
      <c r="AI873" s="667" t="s">
        <v>280</v>
      </c>
      <c r="AJ873" s="667" t="s">
        <v>281</v>
      </c>
      <c r="AK873" s="667" t="s">
        <v>282</v>
      </c>
      <c r="AM873" s="668" t="s">
        <v>291</v>
      </c>
      <c r="AN873" s="669" t="s">
        <v>292</v>
      </c>
      <c r="AO873" s="603" t="s">
        <v>288</v>
      </c>
    </row>
    <row r="874" spans="1:256" s="602" customFormat="1" ht="13.2">
      <c r="A874" s="670">
        <v>4</v>
      </c>
      <c r="B874" s="671" t="s">
        <v>320</v>
      </c>
      <c r="C874" s="672"/>
      <c r="D874" s="673" t="s">
        <v>524</v>
      </c>
      <c r="E874" s="674">
        <f>IF(AND($A874=0,$A$1="DIF"),0, ROUND(ROUND(($R878*$S$2+($T878*$T$2))/A874,2)*$C$2,2))</f>
        <v>0</v>
      </c>
      <c r="F874" s="675">
        <f>ROUND($A874*$E874,2)</f>
        <v>0</v>
      </c>
      <c r="G874" s="676" t="s">
        <v>142</v>
      </c>
      <c r="H874" s="664"/>
      <c r="I874" s="677"/>
      <c r="J874" s="664"/>
      <c r="K874" s="664" t="s">
        <v>3</v>
      </c>
      <c r="L874" s="678" t="s">
        <v>143</v>
      </c>
      <c r="M874" s="678"/>
      <c r="N874" s="678"/>
      <c r="O874" s="678"/>
      <c r="P874" s="678"/>
      <c r="Q874" s="63"/>
      <c r="T874" s="679" t="str">
        <f>IF(AND($R878=0,$T878=0),"0.00","mu :" &amp; ROUND($F874/$C$2/($R878+$T878*$D$9),2))</f>
        <v>0.00</v>
      </c>
      <c r="W874" s="604"/>
      <c r="AG874" s="549">
        <f>IF($E874=0,0,ROUND($R878*$S$2*$C$2/$A874,2))</f>
        <v>0</v>
      </c>
      <c r="AH874" s="549">
        <f>$AG874*$A874</f>
        <v>0</v>
      </c>
      <c r="AI874" s="605">
        <f>$E874-$AG874</f>
        <v>0</v>
      </c>
      <c r="AJ874" s="605">
        <f>$A874*$AI874</f>
        <v>0</v>
      </c>
      <c r="AK874" s="606">
        <f>ROUND(($AG874+$AI874)*$A874,2)</f>
        <v>0</v>
      </c>
      <c r="AM874" s="607">
        <f>ROUND(R878,2)</f>
        <v>0</v>
      </c>
      <c r="AN874" s="608">
        <f>ROUND(T878,2)</f>
        <v>0</v>
      </c>
      <c r="AO874" s="609">
        <f>ROUND(AM874+AN874,2)*A874</f>
        <v>0</v>
      </c>
    </row>
    <row r="875" spans="1:256" s="730" customFormat="1" ht="13.2">
      <c r="A875" s="672"/>
      <c r="B875"/>
      <c r="C875" s="672"/>
      <c r="D875" s="673" t="s">
        <v>336</v>
      </c>
      <c r="E875" s="602"/>
      <c r="F875" s="664"/>
      <c r="G875" s="3"/>
      <c r="H875" s="664"/>
      <c r="I875" s="677"/>
      <c r="J875" s="664"/>
      <c r="K875" s="664" t="s">
        <v>144</v>
      </c>
      <c r="L875" s="664"/>
      <c r="M875" s="664"/>
      <c r="N875" s="664"/>
      <c r="O875" s="664"/>
      <c r="P875" s="664"/>
      <c r="Q875" s="63"/>
      <c r="R875" s="610"/>
      <c r="S875" s="680"/>
      <c r="T875" s="664"/>
      <c r="U875" s="602"/>
      <c r="V875" s="602"/>
      <c r="W875" s="602"/>
      <c r="X875" s="602"/>
      <c r="Y875" s="602"/>
      <c r="Z875" s="602"/>
      <c r="AA875" s="602"/>
      <c r="AB875" s="602"/>
      <c r="AC875" s="602"/>
      <c r="AD875" s="602"/>
      <c r="AE875" s="602"/>
      <c r="AF875" s="602"/>
      <c r="AG875" s="602"/>
      <c r="AH875" s="602"/>
      <c r="AI875" s="602"/>
      <c r="AJ875" s="602"/>
      <c r="AK875" s="602"/>
      <c r="AL875" s="602"/>
      <c r="AM875" s="602"/>
      <c r="AN875" s="602"/>
      <c r="AO875" s="602"/>
      <c r="AP875" s="602"/>
      <c r="AQ875" s="602"/>
      <c r="AR875" s="602"/>
      <c r="AS875" s="602"/>
      <c r="AT875" s="602"/>
      <c r="AU875" s="602"/>
      <c r="AV875" s="602"/>
      <c r="AW875" s="602"/>
      <c r="AX875" s="602"/>
      <c r="AY875" s="602"/>
      <c r="AZ875" s="602"/>
      <c r="BA875" s="602"/>
      <c r="BB875" s="602"/>
      <c r="BC875" s="602"/>
      <c r="BD875" s="602"/>
      <c r="BE875" s="602"/>
      <c r="BF875" s="602"/>
      <c r="BG875" s="602"/>
      <c r="BH875" s="602"/>
      <c r="BI875" s="602"/>
      <c r="BJ875" s="602"/>
      <c r="BK875" s="602"/>
      <c r="BL875" s="602"/>
      <c r="BM875" s="602"/>
      <c r="BN875" s="602"/>
      <c r="BO875" s="602"/>
      <c r="BP875" s="602"/>
      <c r="BQ875" s="602"/>
      <c r="BR875" s="602"/>
      <c r="BS875" s="602"/>
      <c r="BT875" s="602"/>
      <c r="BU875" s="602"/>
      <c r="BV875" s="602"/>
      <c r="BW875" s="602"/>
      <c r="BX875" s="602"/>
      <c r="BY875" s="602"/>
      <c r="BZ875" s="602"/>
      <c r="CA875" s="602"/>
      <c r="CB875" s="602"/>
      <c r="CC875" s="602"/>
      <c r="CD875" s="602"/>
      <c r="CE875" s="602"/>
      <c r="CF875" s="602"/>
      <c r="CG875" s="602"/>
      <c r="CH875" s="602"/>
      <c r="CI875" s="602"/>
      <c r="CJ875" s="602"/>
      <c r="CK875" s="602"/>
      <c r="CL875" s="602"/>
      <c r="CM875" s="602"/>
      <c r="CN875" s="602"/>
      <c r="CO875" s="602"/>
      <c r="CP875" s="602"/>
      <c r="CQ875" s="602"/>
      <c r="CR875" s="602"/>
      <c r="CS875" s="602"/>
      <c r="CT875" s="602"/>
      <c r="CU875" s="602"/>
      <c r="CV875" s="602"/>
      <c r="CW875" s="602"/>
      <c r="CX875" s="602"/>
      <c r="CY875" s="602"/>
      <c r="CZ875" s="602"/>
      <c r="DA875" s="602"/>
      <c r="DB875" s="602"/>
      <c r="DC875" s="602"/>
      <c r="DD875" s="602"/>
      <c r="DE875" s="602"/>
      <c r="DF875" s="602"/>
      <c r="DG875" s="602"/>
      <c r="DH875" s="602"/>
      <c r="DI875" s="602"/>
      <c r="DJ875" s="602"/>
      <c r="DK875" s="602"/>
      <c r="DL875" s="602"/>
      <c r="DM875" s="602"/>
      <c r="DN875" s="602"/>
      <c r="DO875" s="602"/>
      <c r="DP875" s="602"/>
      <c r="DQ875" s="602"/>
      <c r="DR875" s="602"/>
      <c r="DS875" s="602"/>
      <c r="DT875" s="602"/>
      <c r="DU875" s="602"/>
      <c r="DV875" s="602"/>
      <c r="DW875" s="602"/>
      <c r="DX875" s="602"/>
      <c r="DY875" s="602"/>
      <c r="DZ875" s="602"/>
      <c r="EA875" s="602"/>
      <c r="EB875" s="602"/>
      <c r="EC875" s="602"/>
      <c r="ED875" s="602"/>
      <c r="EE875" s="602"/>
      <c r="EF875" s="602"/>
      <c r="EG875" s="602"/>
      <c r="EH875" s="602"/>
      <c r="EI875" s="602"/>
      <c r="EJ875" s="602"/>
      <c r="EK875" s="602"/>
      <c r="EL875" s="602"/>
      <c r="EM875" s="602"/>
      <c r="EN875" s="602"/>
      <c r="EO875" s="602"/>
      <c r="EP875" s="602"/>
      <c r="EQ875" s="602"/>
      <c r="ER875" s="602"/>
      <c r="ES875" s="602"/>
      <c r="ET875" s="602"/>
      <c r="EU875" s="602"/>
      <c r="EV875" s="602"/>
      <c r="EW875" s="602"/>
      <c r="EX875" s="602"/>
      <c r="EY875" s="602"/>
      <c r="EZ875" s="602"/>
      <c r="FA875" s="602"/>
      <c r="FB875" s="602"/>
      <c r="FC875" s="602"/>
      <c r="FD875" s="602"/>
      <c r="FE875" s="602"/>
      <c r="FF875" s="602"/>
      <c r="FG875" s="602"/>
      <c r="FH875" s="602"/>
      <c r="FI875" s="602"/>
      <c r="FJ875" s="602"/>
      <c r="FK875" s="602"/>
      <c r="FL875" s="602"/>
      <c r="FM875" s="602"/>
      <c r="FN875" s="602"/>
      <c r="FO875" s="602"/>
      <c r="FP875" s="602"/>
      <c r="FQ875" s="602"/>
      <c r="FR875" s="602"/>
      <c r="FS875" s="602"/>
      <c r="FT875" s="602"/>
      <c r="FU875" s="602"/>
      <c r="FV875" s="602"/>
      <c r="FW875" s="602"/>
      <c r="FX875" s="602"/>
      <c r="FY875" s="602"/>
      <c r="FZ875" s="602"/>
      <c r="GA875" s="602"/>
      <c r="GB875" s="602"/>
      <c r="GC875" s="602"/>
      <c r="GD875" s="602"/>
      <c r="GE875" s="602"/>
      <c r="GF875" s="602"/>
      <c r="GG875" s="602"/>
      <c r="GH875" s="602"/>
      <c r="GI875" s="602"/>
      <c r="GJ875" s="602"/>
      <c r="GK875" s="602"/>
      <c r="GL875" s="602"/>
      <c r="GM875" s="602"/>
      <c r="GN875" s="602"/>
      <c r="GO875" s="602"/>
      <c r="GP875" s="602"/>
      <c r="GQ875" s="602"/>
      <c r="GR875" s="602"/>
      <c r="GS875" s="602"/>
      <c r="GT875" s="602"/>
      <c r="GU875" s="602"/>
      <c r="GV875" s="602"/>
      <c r="GW875" s="602"/>
      <c r="GX875" s="602"/>
      <c r="GY875" s="602"/>
      <c r="GZ875" s="602"/>
      <c r="HA875" s="602"/>
      <c r="HB875" s="602"/>
      <c r="HC875" s="602"/>
      <c r="HD875" s="602"/>
      <c r="HE875" s="602"/>
      <c r="HF875" s="602"/>
      <c r="HG875" s="602"/>
      <c r="HH875" s="602"/>
      <c r="HI875" s="602"/>
      <c r="HJ875" s="602"/>
      <c r="HK875" s="602"/>
      <c r="HL875" s="602"/>
      <c r="HM875" s="602"/>
      <c r="HN875" s="602"/>
      <c r="HO875" s="602"/>
      <c r="HP875" s="602"/>
      <c r="HQ875" s="602"/>
      <c r="HR875" s="602"/>
      <c r="HS875" s="602"/>
      <c r="HT875" s="602"/>
      <c r="HU875" s="602"/>
      <c r="HV875" s="602"/>
      <c r="HW875" s="602"/>
      <c r="HX875" s="602"/>
      <c r="HY875" s="602"/>
      <c r="HZ875" s="602"/>
      <c r="IA875" s="602"/>
      <c r="IB875" s="602"/>
      <c r="IC875" s="602"/>
      <c r="ID875" s="602"/>
      <c r="IE875" s="602"/>
      <c r="IF875" s="602"/>
      <c r="IG875" s="602"/>
      <c r="IH875" s="602"/>
      <c r="II875" s="602"/>
      <c r="IJ875" s="602"/>
      <c r="IK875" s="602"/>
      <c r="IL875" s="602"/>
      <c r="IM875" s="602"/>
      <c r="IN875" s="602"/>
      <c r="IO875" s="602"/>
      <c r="IP875" s="602"/>
      <c r="IQ875" s="602"/>
      <c r="IR875" s="602"/>
      <c r="IS875" s="602"/>
      <c r="IT875" s="602"/>
      <c r="IU875" s="602"/>
      <c r="IV875" s="602"/>
    </row>
    <row r="876" spans="1:256" s="602" customFormat="1" ht="13.2">
      <c r="A876" s="167">
        <v>4</v>
      </c>
      <c r="B876" s="730" t="s">
        <v>141</v>
      </c>
      <c r="C876" s="730"/>
      <c r="D876" s="730" t="s">
        <v>710</v>
      </c>
      <c r="E876" s="749" t="s">
        <v>675</v>
      </c>
      <c r="F876" s="730" t="s">
        <v>336</v>
      </c>
      <c r="G876" s="731" t="s">
        <v>711</v>
      </c>
      <c r="H876" s="732">
        <v>835</v>
      </c>
      <c r="I876" s="730" t="s">
        <v>674</v>
      </c>
      <c r="J876" s="730"/>
      <c r="K876" s="730"/>
      <c r="L876" s="730"/>
      <c r="M876" s="730"/>
      <c r="N876" s="730"/>
      <c r="O876" s="733">
        <v>3</v>
      </c>
      <c r="P876" s="734"/>
      <c r="Q876" s="735"/>
      <c r="R876" s="736">
        <f>$A876*Q876</f>
        <v>0</v>
      </c>
      <c r="S876" s="735"/>
      <c r="T876" s="737">
        <f>$A876*S876*$T$1</f>
        <v>0</v>
      </c>
      <c r="U876" s="730"/>
      <c r="V876" s="730"/>
      <c r="W876" s="730"/>
      <c r="X876" s="730"/>
      <c r="Y876" s="730"/>
      <c r="Z876" s="730"/>
      <c r="AA876" s="730"/>
      <c r="AB876" s="730"/>
      <c r="AC876" s="730"/>
      <c r="AD876" s="730"/>
      <c r="AE876" s="730"/>
      <c r="AF876" s="730"/>
      <c r="AG876" s="730"/>
      <c r="AH876" s="730"/>
      <c r="AI876" s="730"/>
      <c r="AJ876" s="730"/>
      <c r="AK876" s="730"/>
      <c r="AL876" s="730"/>
      <c r="AM876" s="730"/>
      <c r="AN876" s="730"/>
      <c r="AO876" s="730"/>
      <c r="AP876" s="730"/>
      <c r="AQ876" s="730"/>
      <c r="AR876" s="730"/>
      <c r="AS876" s="730"/>
      <c r="AT876" s="730"/>
      <c r="AU876" s="730"/>
      <c r="AV876" s="730"/>
      <c r="AW876" s="730"/>
      <c r="AX876" s="730"/>
      <c r="AY876" s="730"/>
      <c r="AZ876" s="730"/>
      <c r="BA876" s="730"/>
      <c r="BB876" s="730"/>
      <c r="BC876" s="730"/>
      <c r="BD876" s="730"/>
      <c r="BE876" s="730"/>
      <c r="BF876" s="730"/>
      <c r="BG876" s="730"/>
      <c r="BH876" s="730"/>
      <c r="BI876" s="730"/>
      <c r="BJ876" s="730"/>
      <c r="BK876" s="730"/>
      <c r="BL876" s="730"/>
      <c r="BM876" s="730"/>
      <c r="BN876" s="730"/>
      <c r="BO876" s="730"/>
      <c r="BP876" s="730"/>
      <c r="BQ876" s="730"/>
      <c r="BR876" s="730"/>
      <c r="BS876" s="730"/>
      <c r="BT876" s="730"/>
      <c r="BU876" s="730"/>
      <c r="BV876" s="730"/>
      <c r="BW876" s="730"/>
      <c r="BX876" s="730"/>
      <c r="BY876" s="730"/>
      <c r="BZ876" s="730"/>
      <c r="CA876" s="730"/>
      <c r="CB876" s="730"/>
      <c r="CC876" s="730"/>
      <c r="CD876" s="730"/>
      <c r="CE876" s="730"/>
      <c r="CF876" s="730"/>
      <c r="CG876" s="730"/>
      <c r="CH876" s="730"/>
      <c r="CI876" s="730"/>
      <c r="CJ876" s="730"/>
      <c r="CK876" s="730"/>
      <c r="CL876" s="730"/>
      <c r="CM876" s="730"/>
      <c r="CN876" s="730"/>
      <c r="CO876" s="730"/>
      <c r="CP876" s="730"/>
      <c r="CQ876" s="730"/>
      <c r="CR876" s="730"/>
      <c r="CS876" s="730"/>
      <c r="CT876" s="730"/>
      <c r="CU876" s="730"/>
      <c r="CV876" s="730"/>
      <c r="CW876" s="730"/>
      <c r="CX876" s="730"/>
      <c r="CY876" s="730"/>
      <c r="CZ876" s="730"/>
      <c r="DA876" s="730"/>
      <c r="DB876" s="730"/>
      <c r="DC876" s="730"/>
      <c r="DD876" s="730"/>
      <c r="DE876" s="730"/>
      <c r="DF876" s="730"/>
      <c r="DG876" s="730"/>
      <c r="DH876" s="730"/>
      <c r="DI876" s="730"/>
      <c r="DJ876" s="730"/>
      <c r="DK876" s="730"/>
      <c r="DL876" s="730"/>
      <c r="DM876" s="730"/>
      <c r="DN876" s="730"/>
      <c r="DO876" s="730"/>
      <c r="DP876" s="730"/>
      <c r="DQ876" s="730"/>
      <c r="DR876" s="730"/>
      <c r="DS876" s="730"/>
      <c r="DT876" s="730"/>
      <c r="DU876" s="730"/>
      <c r="DV876" s="730"/>
      <c r="DW876" s="730"/>
      <c r="DX876" s="730"/>
      <c r="DY876" s="730"/>
      <c r="DZ876" s="730"/>
      <c r="EA876" s="730"/>
      <c r="EB876" s="730"/>
      <c r="EC876" s="730"/>
      <c r="ED876" s="730"/>
      <c r="EE876" s="730"/>
      <c r="EF876" s="730"/>
      <c r="EG876" s="730"/>
      <c r="EH876" s="730"/>
      <c r="EI876" s="730"/>
      <c r="EJ876" s="730"/>
      <c r="EK876" s="730"/>
      <c r="EL876" s="730"/>
      <c r="EM876" s="730"/>
      <c r="EN876" s="730"/>
      <c r="EO876" s="730"/>
      <c r="EP876" s="730"/>
      <c r="EQ876" s="730"/>
      <c r="ER876" s="730"/>
      <c r="ES876" s="730"/>
      <c r="ET876" s="730"/>
      <c r="EU876" s="730"/>
      <c r="EV876" s="730"/>
      <c r="EW876" s="730"/>
      <c r="EX876" s="730"/>
      <c r="EY876" s="730"/>
      <c r="EZ876" s="730"/>
      <c r="FA876" s="730"/>
      <c r="FB876" s="730"/>
      <c r="FC876" s="730"/>
      <c r="FD876" s="730"/>
      <c r="FE876" s="730"/>
      <c r="FF876" s="730"/>
      <c r="FG876" s="730"/>
      <c r="FH876" s="730"/>
      <c r="FI876" s="730"/>
      <c r="FJ876" s="730"/>
      <c r="FK876" s="730"/>
      <c r="FL876" s="730"/>
      <c r="FM876" s="730"/>
      <c r="FN876" s="730"/>
      <c r="FO876" s="730"/>
      <c r="FP876" s="730"/>
      <c r="FQ876" s="730"/>
      <c r="FR876" s="730"/>
      <c r="FS876" s="730"/>
      <c r="FT876" s="730"/>
      <c r="FU876" s="730"/>
      <c r="FV876" s="730"/>
      <c r="FW876" s="730"/>
      <c r="FX876" s="730"/>
      <c r="FY876" s="730"/>
      <c r="FZ876" s="730"/>
      <c r="GA876" s="730"/>
      <c r="GB876" s="730"/>
      <c r="GC876" s="730"/>
      <c r="GD876" s="730"/>
      <c r="GE876" s="730"/>
      <c r="GF876" s="730"/>
      <c r="GG876" s="730"/>
      <c r="GH876" s="730"/>
      <c r="GI876" s="730"/>
      <c r="GJ876" s="730"/>
      <c r="GK876" s="730"/>
      <c r="GL876" s="730"/>
      <c r="GM876" s="730"/>
      <c r="GN876" s="730"/>
      <c r="GO876" s="730"/>
      <c r="GP876" s="730"/>
      <c r="GQ876" s="730"/>
      <c r="GR876" s="730"/>
      <c r="GS876" s="730"/>
      <c r="GT876" s="730"/>
      <c r="GU876" s="730"/>
      <c r="GV876" s="730"/>
      <c r="GW876" s="730"/>
      <c r="GX876" s="730"/>
      <c r="GY876" s="730"/>
      <c r="GZ876" s="730"/>
      <c r="HA876" s="730"/>
      <c r="HB876" s="730"/>
      <c r="HC876" s="730"/>
      <c r="HD876" s="730"/>
      <c r="HE876" s="730"/>
      <c r="HF876" s="730"/>
      <c r="HG876" s="730"/>
      <c r="HH876" s="730"/>
      <c r="HI876" s="730"/>
      <c r="HJ876" s="730"/>
      <c r="HK876" s="730"/>
      <c r="HL876" s="730"/>
      <c r="HM876" s="730"/>
      <c r="HN876" s="730"/>
      <c r="HO876" s="730"/>
      <c r="HP876" s="730"/>
      <c r="HQ876" s="730"/>
      <c r="HR876" s="730"/>
      <c r="HS876" s="730"/>
      <c r="HT876" s="730"/>
      <c r="HU876" s="730"/>
      <c r="HV876" s="730"/>
      <c r="HW876" s="730"/>
      <c r="HX876" s="730"/>
      <c r="HY876" s="730"/>
      <c r="HZ876" s="730"/>
      <c r="IA876" s="730"/>
      <c r="IB876" s="730"/>
      <c r="IC876" s="730"/>
      <c r="ID876" s="730"/>
      <c r="IE876" s="730"/>
      <c r="IF876" s="730"/>
      <c r="IG876" s="730"/>
      <c r="IH876" s="730"/>
      <c r="II876" s="730"/>
      <c r="IJ876" s="730"/>
      <c r="IK876" s="730"/>
      <c r="IL876" s="730"/>
      <c r="IM876" s="730"/>
      <c r="IN876" s="730"/>
      <c r="IO876" s="730"/>
      <c r="IP876" s="730"/>
      <c r="IQ876" s="730"/>
      <c r="IR876" s="730"/>
      <c r="IS876" s="730"/>
      <c r="IT876" s="730"/>
      <c r="IU876" s="730"/>
      <c r="IV876" s="730"/>
    </row>
    <row r="877" spans="1:256" s="602" customFormat="1" ht="12">
      <c r="A877" s="663"/>
      <c r="B877" s="663"/>
      <c r="C877" s="663"/>
      <c r="D877" s="663"/>
      <c r="E877" s="663"/>
      <c r="F877" s="664"/>
      <c r="G877" s="663"/>
      <c r="H877" s="663"/>
      <c r="I877" s="601"/>
      <c r="J877" s="663"/>
      <c r="K877" s="663"/>
      <c r="L877" s="663"/>
      <c r="M877" s="663"/>
      <c r="N877" s="663"/>
      <c r="O877" s="663"/>
      <c r="P877" s="663"/>
      <c r="Q877" s="601"/>
      <c r="R877" s="666">
        <f>$A877*Q877</f>
        <v>0</v>
      </c>
      <c r="S877" s="601"/>
      <c r="T877" s="681">
        <f>$A877*S877*$T$1</f>
        <v>0</v>
      </c>
    </row>
    <row r="878" spans="1:256" s="602" customFormat="1" ht="12.6" thickBot="1">
      <c r="A878" s="682" t="s">
        <v>145</v>
      </c>
      <c r="B878" s="683">
        <f>(R877+T877)</f>
        <v>0</v>
      </c>
      <c r="C878" s="684"/>
      <c r="D878" s="684"/>
      <c r="E878" s="684"/>
      <c r="F878" s="685"/>
      <c r="G878" s="684" t="s">
        <v>146</v>
      </c>
      <c r="H878" s="684"/>
      <c r="I878" s="686"/>
      <c r="J878" s="684"/>
      <c r="K878" s="684" t="s">
        <v>3</v>
      </c>
      <c r="L878" s="687" t="s">
        <v>143</v>
      </c>
      <c r="M878" s="687"/>
      <c r="N878" s="687"/>
      <c r="O878" s="687"/>
      <c r="P878" s="687"/>
      <c r="Q878" s="688"/>
      <c r="R878" s="689">
        <f>SUM(R875:R877)</f>
        <v>0</v>
      </c>
      <c r="S878" s="684"/>
      <c r="T878" s="689">
        <f>SUM(T875:T877)</f>
        <v>0</v>
      </c>
      <c r="U878" s="611"/>
      <c r="V878" s="611"/>
      <c r="W878" s="611"/>
      <c r="X878" s="611"/>
      <c r="Y878" s="611"/>
      <c r="Z878" s="611"/>
      <c r="AA878" s="611"/>
      <c r="AB878" s="611"/>
      <c r="AC878" s="611"/>
      <c r="AD878" s="611"/>
      <c r="AE878" s="611"/>
      <c r="AF878" s="611"/>
      <c r="AG878" s="611"/>
      <c r="AH878" s="611"/>
      <c r="AI878" s="611"/>
      <c r="AJ878" s="611"/>
      <c r="AK878" s="611"/>
      <c r="AL878" s="611"/>
      <c r="AM878" s="611"/>
      <c r="AN878" s="611"/>
      <c r="AO878" s="611"/>
    </row>
    <row r="879" spans="1:256" s="602" customFormat="1" ht="12" customHeight="1" thickTop="1">
      <c r="A879" s="63"/>
      <c r="B879" s="41"/>
      <c r="C879" s="63"/>
      <c r="E879" s="42" t="s">
        <v>138</v>
      </c>
      <c r="F879" s="42" t="s">
        <v>139</v>
      </c>
      <c r="G879" s="63"/>
      <c r="H879" s="63"/>
      <c r="I879" s="63"/>
      <c r="J879" s="63"/>
      <c r="K879" s="63" t="s">
        <v>140</v>
      </c>
      <c r="L879" s="63"/>
      <c r="M879" s="63"/>
      <c r="N879" s="63"/>
      <c r="O879" s="64"/>
      <c r="P879" s="63"/>
      <c r="Q879" s="63"/>
      <c r="R879" s="63"/>
      <c r="S879" s="63"/>
      <c r="T879" s="41"/>
      <c r="AG879" s="667" t="s">
        <v>278</v>
      </c>
      <c r="AH879" s="667" t="s">
        <v>279</v>
      </c>
      <c r="AI879" s="667" t="s">
        <v>280</v>
      </c>
      <c r="AJ879" s="667" t="s">
        <v>281</v>
      </c>
      <c r="AK879" s="667" t="s">
        <v>282</v>
      </c>
      <c r="AM879" s="668" t="s">
        <v>291</v>
      </c>
      <c r="AN879" s="669" t="s">
        <v>292</v>
      </c>
      <c r="AO879" s="603" t="s">
        <v>288</v>
      </c>
    </row>
    <row r="880" spans="1:256" s="602" customFormat="1" ht="13.2">
      <c r="A880" s="670">
        <v>2</v>
      </c>
      <c r="B880" s="671" t="s">
        <v>320</v>
      </c>
      <c r="C880" s="672"/>
      <c r="D880" s="673" t="s">
        <v>525</v>
      </c>
      <c r="E880" s="674">
        <f>IF(AND($A880=0,$A$1="DIF"),0, ROUND(ROUND(($R884*$S$2+($T884*$T$2))/A880,2)*$C$2,2))</f>
        <v>0</v>
      </c>
      <c r="F880" s="675">
        <f>ROUND($A880*$E880,2)</f>
        <v>0</v>
      </c>
      <c r="G880" s="676" t="s">
        <v>142</v>
      </c>
      <c r="H880" s="664"/>
      <c r="I880" s="677"/>
      <c r="J880" s="664"/>
      <c r="K880" s="664" t="s">
        <v>3</v>
      </c>
      <c r="L880" s="678" t="s">
        <v>143</v>
      </c>
      <c r="M880" s="678"/>
      <c r="N880" s="678"/>
      <c r="O880" s="678"/>
      <c r="P880" s="678"/>
      <c r="Q880" s="63"/>
      <c r="T880" s="679" t="str">
        <f>IF(AND($R884=0,$T884=0),"0.00","mu :" &amp; ROUND($F880/$C$2/($R884+$T884*$D$9),2))</f>
        <v>0.00</v>
      </c>
      <c r="W880" s="604"/>
      <c r="AG880" s="549">
        <f>IF($E880=0,0,ROUND($R884*$S$2*$C$2/$A880,2))</f>
        <v>0</v>
      </c>
      <c r="AH880" s="549">
        <f>$AG880*$A880</f>
        <v>0</v>
      </c>
      <c r="AI880" s="605">
        <f>$E880-$AG880</f>
        <v>0</v>
      </c>
      <c r="AJ880" s="605">
        <f>$A880*$AI880</f>
        <v>0</v>
      </c>
      <c r="AK880" s="606">
        <f>ROUND(($AG880+$AI880)*$A880,2)</f>
        <v>0</v>
      </c>
      <c r="AM880" s="607">
        <f>ROUND(R884,2)</f>
        <v>0</v>
      </c>
      <c r="AN880" s="608">
        <f>ROUND(T884,2)</f>
        <v>0</v>
      </c>
      <c r="AO880" s="609">
        <f>ROUND(AM880+AN880,2)*A880</f>
        <v>0</v>
      </c>
    </row>
    <row r="881" spans="1:256" s="730" customFormat="1" ht="13.2">
      <c r="A881" s="672"/>
      <c r="B881"/>
      <c r="C881" s="672"/>
      <c r="D881" s="673" t="s">
        <v>337</v>
      </c>
      <c r="E881" s="602"/>
      <c r="F881" s="664"/>
      <c r="G881" s="3"/>
      <c r="H881" s="664"/>
      <c r="I881" s="677"/>
      <c r="J881" s="664"/>
      <c r="K881" s="664" t="s">
        <v>144</v>
      </c>
      <c r="L881" s="664"/>
      <c r="M881" s="664"/>
      <c r="N881" s="664"/>
      <c r="O881" s="664"/>
      <c r="P881" s="664"/>
      <c r="Q881" s="63"/>
      <c r="R881" s="610"/>
      <c r="S881" s="680"/>
      <c r="T881" s="664"/>
      <c r="U881" s="602"/>
      <c r="V881" s="602"/>
      <c r="W881" s="602"/>
      <c r="X881" s="602"/>
      <c r="Y881" s="602"/>
      <c r="Z881" s="602"/>
      <c r="AA881" s="602"/>
      <c r="AB881" s="602"/>
      <c r="AC881" s="602"/>
      <c r="AD881" s="602"/>
      <c r="AE881" s="602"/>
      <c r="AF881" s="602"/>
      <c r="AG881" s="602"/>
      <c r="AH881" s="602"/>
      <c r="AI881" s="602"/>
      <c r="AJ881" s="602"/>
      <c r="AK881" s="602"/>
      <c r="AL881" s="602"/>
      <c r="AM881" s="602"/>
      <c r="AN881" s="602"/>
      <c r="AO881" s="602"/>
      <c r="AP881" s="602"/>
      <c r="AQ881" s="602"/>
      <c r="AR881" s="602"/>
      <c r="AS881" s="602"/>
      <c r="AT881" s="602"/>
      <c r="AU881" s="602"/>
      <c r="AV881" s="602"/>
      <c r="AW881" s="602"/>
      <c r="AX881" s="602"/>
      <c r="AY881" s="602"/>
      <c r="AZ881" s="602"/>
      <c r="BA881" s="602"/>
      <c r="BB881" s="602"/>
      <c r="BC881" s="602"/>
      <c r="BD881" s="602"/>
      <c r="BE881" s="602"/>
      <c r="BF881" s="602"/>
      <c r="BG881" s="602"/>
      <c r="BH881" s="602"/>
      <c r="BI881" s="602"/>
      <c r="BJ881" s="602"/>
      <c r="BK881" s="602"/>
      <c r="BL881" s="602"/>
      <c r="BM881" s="602"/>
      <c r="BN881" s="602"/>
      <c r="BO881" s="602"/>
      <c r="BP881" s="602"/>
      <c r="BQ881" s="602"/>
      <c r="BR881" s="602"/>
      <c r="BS881" s="602"/>
      <c r="BT881" s="602"/>
      <c r="BU881" s="602"/>
      <c r="BV881" s="602"/>
      <c r="BW881" s="602"/>
      <c r="BX881" s="602"/>
      <c r="BY881" s="602"/>
      <c r="BZ881" s="602"/>
      <c r="CA881" s="602"/>
      <c r="CB881" s="602"/>
      <c r="CC881" s="602"/>
      <c r="CD881" s="602"/>
      <c r="CE881" s="602"/>
      <c r="CF881" s="602"/>
      <c r="CG881" s="602"/>
      <c r="CH881" s="602"/>
      <c r="CI881" s="602"/>
      <c r="CJ881" s="602"/>
      <c r="CK881" s="602"/>
      <c r="CL881" s="602"/>
      <c r="CM881" s="602"/>
      <c r="CN881" s="602"/>
      <c r="CO881" s="602"/>
      <c r="CP881" s="602"/>
      <c r="CQ881" s="602"/>
      <c r="CR881" s="602"/>
      <c r="CS881" s="602"/>
      <c r="CT881" s="602"/>
      <c r="CU881" s="602"/>
      <c r="CV881" s="602"/>
      <c r="CW881" s="602"/>
      <c r="CX881" s="602"/>
      <c r="CY881" s="602"/>
      <c r="CZ881" s="602"/>
      <c r="DA881" s="602"/>
      <c r="DB881" s="602"/>
      <c r="DC881" s="602"/>
      <c r="DD881" s="602"/>
      <c r="DE881" s="602"/>
      <c r="DF881" s="602"/>
      <c r="DG881" s="602"/>
      <c r="DH881" s="602"/>
      <c r="DI881" s="602"/>
      <c r="DJ881" s="602"/>
      <c r="DK881" s="602"/>
      <c r="DL881" s="602"/>
      <c r="DM881" s="602"/>
      <c r="DN881" s="602"/>
      <c r="DO881" s="602"/>
      <c r="DP881" s="602"/>
      <c r="DQ881" s="602"/>
      <c r="DR881" s="602"/>
      <c r="DS881" s="602"/>
      <c r="DT881" s="602"/>
      <c r="DU881" s="602"/>
      <c r="DV881" s="602"/>
      <c r="DW881" s="602"/>
      <c r="DX881" s="602"/>
      <c r="DY881" s="602"/>
      <c r="DZ881" s="602"/>
      <c r="EA881" s="602"/>
      <c r="EB881" s="602"/>
      <c r="EC881" s="602"/>
      <c r="ED881" s="602"/>
      <c r="EE881" s="602"/>
      <c r="EF881" s="602"/>
      <c r="EG881" s="602"/>
      <c r="EH881" s="602"/>
      <c r="EI881" s="602"/>
      <c r="EJ881" s="602"/>
      <c r="EK881" s="602"/>
      <c r="EL881" s="602"/>
      <c r="EM881" s="602"/>
      <c r="EN881" s="602"/>
      <c r="EO881" s="602"/>
      <c r="EP881" s="602"/>
      <c r="EQ881" s="602"/>
      <c r="ER881" s="602"/>
      <c r="ES881" s="602"/>
      <c r="ET881" s="602"/>
      <c r="EU881" s="602"/>
      <c r="EV881" s="602"/>
      <c r="EW881" s="602"/>
      <c r="EX881" s="602"/>
      <c r="EY881" s="602"/>
      <c r="EZ881" s="602"/>
      <c r="FA881" s="602"/>
      <c r="FB881" s="602"/>
      <c r="FC881" s="602"/>
      <c r="FD881" s="602"/>
      <c r="FE881" s="602"/>
      <c r="FF881" s="602"/>
      <c r="FG881" s="602"/>
      <c r="FH881" s="602"/>
      <c r="FI881" s="602"/>
      <c r="FJ881" s="602"/>
      <c r="FK881" s="602"/>
      <c r="FL881" s="602"/>
      <c r="FM881" s="602"/>
      <c r="FN881" s="602"/>
      <c r="FO881" s="602"/>
      <c r="FP881" s="602"/>
      <c r="FQ881" s="602"/>
      <c r="FR881" s="602"/>
      <c r="FS881" s="602"/>
      <c r="FT881" s="602"/>
      <c r="FU881" s="602"/>
      <c r="FV881" s="602"/>
      <c r="FW881" s="602"/>
      <c r="FX881" s="602"/>
      <c r="FY881" s="602"/>
      <c r="FZ881" s="602"/>
      <c r="GA881" s="602"/>
      <c r="GB881" s="602"/>
      <c r="GC881" s="602"/>
      <c r="GD881" s="602"/>
      <c r="GE881" s="602"/>
      <c r="GF881" s="602"/>
      <c r="GG881" s="602"/>
      <c r="GH881" s="602"/>
      <c r="GI881" s="602"/>
      <c r="GJ881" s="602"/>
      <c r="GK881" s="602"/>
      <c r="GL881" s="602"/>
      <c r="GM881" s="602"/>
      <c r="GN881" s="602"/>
      <c r="GO881" s="602"/>
      <c r="GP881" s="602"/>
      <c r="GQ881" s="602"/>
      <c r="GR881" s="602"/>
      <c r="GS881" s="602"/>
      <c r="GT881" s="602"/>
      <c r="GU881" s="602"/>
      <c r="GV881" s="602"/>
      <c r="GW881" s="602"/>
      <c r="GX881" s="602"/>
      <c r="GY881" s="602"/>
      <c r="GZ881" s="602"/>
      <c r="HA881" s="602"/>
      <c r="HB881" s="602"/>
      <c r="HC881" s="602"/>
      <c r="HD881" s="602"/>
      <c r="HE881" s="602"/>
      <c r="HF881" s="602"/>
      <c r="HG881" s="602"/>
      <c r="HH881" s="602"/>
      <c r="HI881" s="602"/>
      <c r="HJ881" s="602"/>
      <c r="HK881" s="602"/>
      <c r="HL881" s="602"/>
      <c r="HM881" s="602"/>
      <c r="HN881" s="602"/>
      <c r="HO881" s="602"/>
      <c r="HP881" s="602"/>
      <c r="HQ881" s="602"/>
      <c r="HR881" s="602"/>
      <c r="HS881" s="602"/>
      <c r="HT881" s="602"/>
      <c r="HU881" s="602"/>
      <c r="HV881" s="602"/>
      <c r="HW881" s="602"/>
      <c r="HX881" s="602"/>
      <c r="HY881" s="602"/>
      <c r="HZ881" s="602"/>
      <c r="IA881" s="602"/>
      <c r="IB881" s="602"/>
      <c r="IC881" s="602"/>
      <c r="ID881" s="602"/>
      <c r="IE881" s="602"/>
      <c r="IF881" s="602"/>
      <c r="IG881" s="602"/>
      <c r="IH881" s="602"/>
      <c r="II881" s="602"/>
      <c r="IJ881" s="602"/>
      <c r="IK881" s="602"/>
      <c r="IL881" s="602"/>
      <c r="IM881" s="602"/>
      <c r="IN881" s="602"/>
      <c r="IO881" s="602"/>
      <c r="IP881" s="602"/>
      <c r="IQ881" s="602"/>
      <c r="IR881" s="602"/>
      <c r="IS881" s="602"/>
      <c r="IT881" s="602"/>
      <c r="IU881" s="602"/>
      <c r="IV881" s="602"/>
    </row>
    <row r="882" spans="1:256" s="602" customFormat="1" ht="13.2">
      <c r="A882" s="167">
        <v>2</v>
      </c>
      <c r="B882" s="730" t="s">
        <v>141</v>
      </c>
      <c r="C882" s="730"/>
      <c r="D882" s="730" t="s">
        <v>712</v>
      </c>
      <c r="E882" s="749" t="s">
        <v>675</v>
      </c>
      <c r="F882" s="730" t="s">
        <v>337</v>
      </c>
      <c r="G882" s="731" t="s">
        <v>713</v>
      </c>
      <c r="H882" s="732">
        <v>835</v>
      </c>
      <c r="I882" s="730" t="s">
        <v>674</v>
      </c>
      <c r="J882" s="730"/>
      <c r="K882" s="730"/>
      <c r="L882" s="730"/>
      <c r="M882" s="730"/>
      <c r="N882" s="730"/>
      <c r="O882" s="733">
        <v>3</v>
      </c>
      <c r="P882" s="734"/>
      <c r="Q882" s="735"/>
      <c r="R882" s="736">
        <f>$A882*Q882</f>
        <v>0</v>
      </c>
      <c r="S882" s="735"/>
      <c r="T882" s="737">
        <f>$A882*S882*$T$1</f>
        <v>0</v>
      </c>
      <c r="U882" s="730"/>
      <c r="V882" s="730"/>
      <c r="W882" s="730"/>
      <c r="X882" s="730"/>
      <c r="Y882" s="730"/>
      <c r="Z882" s="730"/>
      <c r="AA882" s="730"/>
      <c r="AB882" s="730"/>
      <c r="AC882" s="730"/>
      <c r="AD882" s="730"/>
      <c r="AE882" s="730"/>
      <c r="AF882" s="730"/>
      <c r="AG882" s="730"/>
      <c r="AH882" s="730"/>
      <c r="AI882" s="730"/>
      <c r="AJ882" s="730"/>
      <c r="AK882" s="730"/>
      <c r="AL882" s="730"/>
      <c r="AM882" s="730"/>
      <c r="AN882" s="730"/>
      <c r="AO882" s="730"/>
      <c r="AP882" s="730"/>
      <c r="AQ882" s="730"/>
      <c r="AR882" s="730"/>
      <c r="AS882" s="730"/>
      <c r="AT882" s="730"/>
      <c r="AU882" s="730"/>
      <c r="AV882" s="730"/>
      <c r="AW882" s="730"/>
      <c r="AX882" s="730"/>
      <c r="AY882" s="730"/>
      <c r="AZ882" s="730"/>
      <c r="BA882" s="730"/>
      <c r="BB882" s="730"/>
      <c r="BC882" s="730"/>
      <c r="BD882" s="730"/>
      <c r="BE882" s="730"/>
      <c r="BF882" s="730"/>
      <c r="BG882" s="730"/>
      <c r="BH882" s="730"/>
      <c r="BI882" s="730"/>
      <c r="BJ882" s="730"/>
      <c r="BK882" s="730"/>
      <c r="BL882" s="730"/>
      <c r="BM882" s="730"/>
      <c r="BN882" s="730"/>
      <c r="BO882" s="730"/>
      <c r="BP882" s="730"/>
      <c r="BQ882" s="730"/>
      <c r="BR882" s="730"/>
      <c r="BS882" s="730"/>
      <c r="BT882" s="730"/>
      <c r="BU882" s="730"/>
      <c r="BV882" s="730"/>
      <c r="BW882" s="730"/>
      <c r="BX882" s="730"/>
      <c r="BY882" s="730"/>
      <c r="BZ882" s="730"/>
      <c r="CA882" s="730"/>
      <c r="CB882" s="730"/>
      <c r="CC882" s="730"/>
      <c r="CD882" s="730"/>
      <c r="CE882" s="730"/>
      <c r="CF882" s="730"/>
      <c r="CG882" s="730"/>
      <c r="CH882" s="730"/>
      <c r="CI882" s="730"/>
      <c r="CJ882" s="730"/>
      <c r="CK882" s="730"/>
      <c r="CL882" s="730"/>
      <c r="CM882" s="730"/>
      <c r="CN882" s="730"/>
      <c r="CO882" s="730"/>
      <c r="CP882" s="730"/>
      <c r="CQ882" s="730"/>
      <c r="CR882" s="730"/>
      <c r="CS882" s="730"/>
      <c r="CT882" s="730"/>
      <c r="CU882" s="730"/>
      <c r="CV882" s="730"/>
      <c r="CW882" s="730"/>
      <c r="CX882" s="730"/>
      <c r="CY882" s="730"/>
      <c r="CZ882" s="730"/>
      <c r="DA882" s="730"/>
      <c r="DB882" s="730"/>
      <c r="DC882" s="730"/>
      <c r="DD882" s="730"/>
      <c r="DE882" s="730"/>
      <c r="DF882" s="730"/>
      <c r="DG882" s="730"/>
      <c r="DH882" s="730"/>
      <c r="DI882" s="730"/>
      <c r="DJ882" s="730"/>
      <c r="DK882" s="730"/>
      <c r="DL882" s="730"/>
      <c r="DM882" s="730"/>
      <c r="DN882" s="730"/>
      <c r="DO882" s="730"/>
      <c r="DP882" s="730"/>
      <c r="DQ882" s="730"/>
      <c r="DR882" s="730"/>
      <c r="DS882" s="730"/>
      <c r="DT882" s="730"/>
      <c r="DU882" s="730"/>
      <c r="DV882" s="730"/>
      <c r="DW882" s="730"/>
      <c r="DX882" s="730"/>
      <c r="DY882" s="730"/>
      <c r="DZ882" s="730"/>
      <c r="EA882" s="730"/>
      <c r="EB882" s="730"/>
      <c r="EC882" s="730"/>
      <c r="ED882" s="730"/>
      <c r="EE882" s="730"/>
      <c r="EF882" s="730"/>
      <c r="EG882" s="730"/>
      <c r="EH882" s="730"/>
      <c r="EI882" s="730"/>
      <c r="EJ882" s="730"/>
      <c r="EK882" s="730"/>
      <c r="EL882" s="730"/>
      <c r="EM882" s="730"/>
      <c r="EN882" s="730"/>
      <c r="EO882" s="730"/>
      <c r="EP882" s="730"/>
      <c r="EQ882" s="730"/>
      <c r="ER882" s="730"/>
      <c r="ES882" s="730"/>
      <c r="ET882" s="730"/>
      <c r="EU882" s="730"/>
      <c r="EV882" s="730"/>
      <c r="EW882" s="730"/>
      <c r="EX882" s="730"/>
      <c r="EY882" s="730"/>
      <c r="EZ882" s="730"/>
      <c r="FA882" s="730"/>
      <c r="FB882" s="730"/>
      <c r="FC882" s="730"/>
      <c r="FD882" s="730"/>
      <c r="FE882" s="730"/>
      <c r="FF882" s="730"/>
      <c r="FG882" s="730"/>
      <c r="FH882" s="730"/>
      <c r="FI882" s="730"/>
      <c r="FJ882" s="730"/>
      <c r="FK882" s="730"/>
      <c r="FL882" s="730"/>
      <c r="FM882" s="730"/>
      <c r="FN882" s="730"/>
      <c r="FO882" s="730"/>
      <c r="FP882" s="730"/>
      <c r="FQ882" s="730"/>
      <c r="FR882" s="730"/>
      <c r="FS882" s="730"/>
      <c r="FT882" s="730"/>
      <c r="FU882" s="730"/>
      <c r="FV882" s="730"/>
      <c r="FW882" s="730"/>
      <c r="FX882" s="730"/>
      <c r="FY882" s="730"/>
      <c r="FZ882" s="730"/>
      <c r="GA882" s="730"/>
      <c r="GB882" s="730"/>
      <c r="GC882" s="730"/>
      <c r="GD882" s="730"/>
      <c r="GE882" s="730"/>
      <c r="GF882" s="730"/>
      <c r="GG882" s="730"/>
      <c r="GH882" s="730"/>
      <c r="GI882" s="730"/>
      <c r="GJ882" s="730"/>
      <c r="GK882" s="730"/>
      <c r="GL882" s="730"/>
      <c r="GM882" s="730"/>
      <c r="GN882" s="730"/>
      <c r="GO882" s="730"/>
      <c r="GP882" s="730"/>
      <c r="GQ882" s="730"/>
      <c r="GR882" s="730"/>
      <c r="GS882" s="730"/>
      <c r="GT882" s="730"/>
      <c r="GU882" s="730"/>
      <c r="GV882" s="730"/>
      <c r="GW882" s="730"/>
      <c r="GX882" s="730"/>
      <c r="GY882" s="730"/>
      <c r="GZ882" s="730"/>
      <c r="HA882" s="730"/>
      <c r="HB882" s="730"/>
      <c r="HC882" s="730"/>
      <c r="HD882" s="730"/>
      <c r="HE882" s="730"/>
      <c r="HF882" s="730"/>
      <c r="HG882" s="730"/>
      <c r="HH882" s="730"/>
      <c r="HI882" s="730"/>
      <c r="HJ882" s="730"/>
      <c r="HK882" s="730"/>
      <c r="HL882" s="730"/>
      <c r="HM882" s="730"/>
      <c r="HN882" s="730"/>
      <c r="HO882" s="730"/>
      <c r="HP882" s="730"/>
      <c r="HQ882" s="730"/>
      <c r="HR882" s="730"/>
      <c r="HS882" s="730"/>
      <c r="HT882" s="730"/>
      <c r="HU882" s="730"/>
      <c r="HV882" s="730"/>
      <c r="HW882" s="730"/>
      <c r="HX882" s="730"/>
      <c r="HY882" s="730"/>
      <c r="HZ882" s="730"/>
      <c r="IA882" s="730"/>
      <c r="IB882" s="730"/>
      <c r="IC882" s="730"/>
      <c r="ID882" s="730"/>
      <c r="IE882" s="730"/>
      <c r="IF882" s="730"/>
      <c r="IG882" s="730"/>
      <c r="IH882" s="730"/>
      <c r="II882" s="730"/>
      <c r="IJ882" s="730"/>
      <c r="IK882" s="730"/>
      <c r="IL882" s="730"/>
      <c r="IM882" s="730"/>
      <c r="IN882" s="730"/>
      <c r="IO882" s="730"/>
      <c r="IP882" s="730"/>
      <c r="IQ882" s="730"/>
      <c r="IR882" s="730"/>
      <c r="IS882" s="730"/>
      <c r="IT882" s="730"/>
      <c r="IU882" s="730"/>
      <c r="IV882" s="730"/>
    </row>
    <row r="883" spans="1:256" s="602" customFormat="1" ht="12">
      <c r="A883" s="663"/>
      <c r="B883" s="663"/>
      <c r="C883" s="663"/>
      <c r="D883" s="663"/>
      <c r="E883" s="663"/>
      <c r="F883" s="664"/>
      <c r="G883" s="663"/>
      <c r="H883" s="663"/>
      <c r="I883" s="601"/>
      <c r="J883" s="663"/>
      <c r="K883" s="663"/>
      <c r="L883" s="663"/>
      <c r="M883" s="663"/>
      <c r="N883" s="663"/>
      <c r="O883" s="663"/>
      <c r="P883" s="663"/>
      <c r="Q883" s="601"/>
      <c r="R883" s="666">
        <f>$A883*Q883</f>
        <v>0</v>
      </c>
      <c r="S883" s="601"/>
      <c r="T883" s="681">
        <f>$A883*S883*$T$1</f>
        <v>0</v>
      </c>
    </row>
    <row r="884" spans="1:256" s="602" customFormat="1" ht="12.6" thickBot="1">
      <c r="A884" s="682" t="s">
        <v>145</v>
      </c>
      <c r="B884" s="683">
        <f>(R883+T883)</f>
        <v>0</v>
      </c>
      <c r="C884" s="684"/>
      <c r="D884" s="684"/>
      <c r="E884" s="684"/>
      <c r="F884" s="685"/>
      <c r="G884" s="684" t="s">
        <v>146</v>
      </c>
      <c r="H884" s="684"/>
      <c r="I884" s="686"/>
      <c r="J884" s="684"/>
      <c r="K884" s="684" t="s">
        <v>3</v>
      </c>
      <c r="L884" s="687" t="s">
        <v>143</v>
      </c>
      <c r="M884" s="687"/>
      <c r="N884" s="687"/>
      <c r="O884" s="687"/>
      <c r="P884" s="687"/>
      <c r="Q884" s="688"/>
      <c r="R884" s="689">
        <f>SUM(R881:R883)</f>
        <v>0</v>
      </c>
      <c r="S884" s="684"/>
      <c r="T884" s="689">
        <f>SUM(T881:T883)</f>
        <v>0</v>
      </c>
      <c r="U884" s="611"/>
      <c r="V884" s="611"/>
      <c r="W884" s="611"/>
      <c r="X884" s="611"/>
      <c r="Y884" s="611"/>
      <c r="Z884" s="611"/>
      <c r="AA884" s="611"/>
      <c r="AB884" s="611"/>
      <c r="AC884" s="611"/>
      <c r="AD884" s="611"/>
      <c r="AE884" s="611"/>
      <c r="AF884" s="611"/>
      <c r="AG884" s="611"/>
      <c r="AH884" s="611"/>
      <c r="AI884" s="611"/>
      <c r="AJ884" s="611"/>
      <c r="AK884" s="611"/>
      <c r="AL884" s="611"/>
      <c r="AM884" s="611"/>
      <c r="AN884" s="611"/>
      <c r="AO884" s="611"/>
    </row>
    <row r="885" spans="1:256" s="602" customFormat="1" thickTop="1">
      <c r="A885" s="63"/>
      <c r="B885" s="63"/>
      <c r="C885" s="3"/>
      <c r="D885" s="3"/>
      <c r="E885" s="63"/>
      <c r="F885" s="63"/>
      <c r="G885" s="63"/>
      <c r="H885" s="63"/>
      <c r="I885" s="63"/>
      <c r="J885" s="63"/>
      <c r="K885" s="63" t="s">
        <v>134</v>
      </c>
      <c r="L885" s="63"/>
      <c r="M885" s="63"/>
      <c r="N885" s="63"/>
      <c r="O885" s="64"/>
      <c r="P885" s="63"/>
      <c r="Q885" s="63"/>
      <c r="R885" s="63"/>
      <c r="S885" s="63"/>
      <c r="T885" s="63"/>
    </row>
    <row r="886" spans="1:256" s="602" customFormat="1" ht="12">
      <c r="A886" s="63"/>
      <c r="B886" s="63"/>
      <c r="C886" s="63" t="s">
        <v>135</v>
      </c>
      <c r="D886" s="37" t="s">
        <v>526</v>
      </c>
      <c r="E886" s="63"/>
      <c r="F886" s="63"/>
      <c r="G886" s="63"/>
      <c r="H886" s="63"/>
      <c r="I886" s="63"/>
      <c r="J886" s="63"/>
      <c r="K886" s="63"/>
      <c r="L886" s="63"/>
      <c r="M886" s="63"/>
      <c r="N886" s="63"/>
      <c r="O886" s="64"/>
      <c r="P886" s="63"/>
      <c r="Q886" s="63"/>
      <c r="R886" s="63"/>
      <c r="S886" s="63"/>
      <c r="T886" s="63"/>
    </row>
    <row r="887" spans="1:256" s="3" customFormat="1" ht="13.2">
      <c r="A887" s="63"/>
      <c r="B887" s="63"/>
      <c r="C887" s="63"/>
      <c r="D887" s="37" t="s">
        <v>338</v>
      </c>
      <c r="E887" s="63"/>
      <c r="F887" s="63"/>
      <c r="G887" s="63"/>
      <c r="H887" s="63"/>
      <c r="I887" s="63"/>
      <c r="J887" s="63"/>
      <c r="K887" s="63"/>
      <c r="L887" s="63"/>
      <c r="M887" s="63"/>
      <c r="N887" s="63"/>
      <c r="O887" s="64"/>
      <c r="P887" s="63"/>
      <c r="Q887" s="63"/>
      <c r="R887" s="63"/>
      <c r="S887" s="38"/>
      <c r="T887" s="38"/>
      <c r="U887" s="602"/>
      <c r="V887" s="602"/>
      <c r="W887" s="602"/>
      <c r="X887" s="602"/>
      <c r="Y887" s="602"/>
      <c r="Z887" s="602"/>
      <c r="AA887" s="602"/>
      <c r="AB887" s="602"/>
      <c r="AC887" s="602"/>
      <c r="AD887" s="602"/>
      <c r="AE887" s="602"/>
      <c r="AF887" s="602"/>
      <c r="AG887" s="602"/>
      <c r="AH887" s="602"/>
      <c r="AI887" s="602"/>
      <c r="AJ887" s="602"/>
      <c r="AK887" s="602"/>
      <c r="AL887" s="602"/>
      <c r="AM887" s="602"/>
      <c r="AN887" s="602"/>
      <c r="AO887" s="602"/>
      <c r="AP887" s="602"/>
      <c r="AQ887" s="602"/>
      <c r="AR887" s="602"/>
      <c r="AS887" s="602"/>
      <c r="AT887" s="602"/>
      <c r="AU887" s="602"/>
      <c r="AV887" s="602"/>
      <c r="AW887" s="602"/>
      <c r="AX887" s="602"/>
      <c r="AY887" s="602"/>
      <c r="AZ887" s="602"/>
      <c r="BA887" s="602"/>
      <c r="BB887" s="602"/>
      <c r="BC887" s="602"/>
      <c r="BD887" s="602"/>
      <c r="BE887" s="602"/>
      <c r="BF887" s="602"/>
      <c r="BG887" s="602"/>
      <c r="BH887" s="602"/>
      <c r="BI887" s="602"/>
      <c r="BJ887" s="602"/>
      <c r="BK887" s="602"/>
      <c r="BL887" s="602"/>
      <c r="BM887" s="602"/>
      <c r="BN887" s="602"/>
      <c r="BO887" s="602"/>
      <c r="BP887" s="602"/>
      <c r="BQ887" s="602"/>
      <c r="BR887" s="602"/>
      <c r="BS887" s="602"/>
      <c r="BT887" s="602"/>
      <c r="BU887" s="602"/>
      <c r="BV887" s="602"/>
      <c r="BW887" s="602"/>
      <c r="BX887" s="602"/>
      <c r="BY887" s="602"/>
      <c r="BZ887" s="602"/>
      <c r="CA887" s="602"/>
      <c r="CB887" s="602"/>
      <c r="CC887" s="602"/>
      <c r="CD887" s="602"/>
      <c r="CE887" s="602"/>
      <c r="CF887" s="602"/>
      <c r="CG887" s="602"/>
      <c r="CH887" s="602"/>
      <c r="CI887" s="602"/>
      <c r="CJ887" s="602"/>
      <c r="CK887" s="602"/>
      <c r="CL887" s="602"/>
      <c r="CM887" s="602"/>
      <c r="CN887" s="602"/>
      <c r="CO887" s="602"/>
      <c r="CP887" s="602"/>
      <c r="CQ887" s="602"/>
      <c r="CR887" s="602"/>
      <c r="CS887" s="602"/>
      <c r="CT887" s="602"/>
      <c r="CU887" s="602"/>
      <c r="CV887" s="602"/>
      <c r="CW887" s="602"/>
      <c r="CX887" s="602"/>
      <c r="CY887" s="602"/>
      <c r="CZ887" s="602"/>
      <c r="DA887" s="602"/>
      <c r="DB887" s="602"/>
      <c r="DC887" s="602"/>
      <c r="DD887" s="602"/>
      <c r="DE887" s="602"/>
      <c r="DF887" s="602"/>
      <c r="DG887" s="602"/>
      <c r="DH887" s="602"/>
      <c r="DI887" s="602"/>
      <c r="DJ887" s="602"/>
      <c r="DK887" s="602"/>
      <c r="DL887" s="602"/>
      <c r="DM887" s="602"/>
      <c r="DN887" s="602"/>
      <c r="DO887" s="602"/>
      <c r="DP887" s="602"/>
      <c r="DQ887" s="602"/>
      <c r="DR887" s="602"/>
      <c r="DS887" s="602"/>
      <c r="DT887" s="602"/>
      <c r="DU887" s="602"/>
      <c r="DV887" s="602"/>
      <c r="DW887" s="602"/>
      <c r="DX887" s="602"/>
      <c r="DY887" s="602"/>
      <c r="DZ887" s="602"/>
      <c r="EA887" s="602"/>
      <c r="EB887" s="602"/>
      <c r="EC887" s="602"/>
      <c r="ED887" s="602"/>
      <c r="EE887" s="602"/>
      <c r="EF887" s="602"/>
      <c r="EG887" s="602"/>
      <c r="EH887" s="602"/>
      <c r="EI887" s="602"/>
      <c r="EJ887" s="602"/>
      <c r="EK887" s="602"/>
      <c r="EL887" s="602"/>
      <c r="EM887" s="602"/>
      <c r="EN887" s="602"/>
      <c r="EO887" s="602"/>
      <c r="EP887" s="602"/>
      <c r="EQ887" s="602"/>
      <c r="ER887" s="602"/>
      <c r="ES887" s="602"/>
      <c r="ET887" s="602"/>
      <c r="EU887" s="602"/>
      <c r="EV887" s="602"/>
      <c r="EW887" s="602"/>
      <c r="EX887" s="602"/>
      <c r="EY887" s="602"/>
      <c r="EZ887" s="602"/>
      <c r="FA887" s="602"/>
      <c r="FB887" s="602"/>
      <c r="FC887" s="602"/>
      <c r="FD887" s="602"/>
      <c r="FE887" s="602"/>
      <c r="FF887" s="602"/>
      <c r="FG887" s="602"/>
      <c r="FH887" s="602"/>
      <c r="FI887" s="602"/>
      <c r="FJ887" s="602"/>
      <c r="FK887" s="602"/>
      <c r="FL887" s="602"/>
      <c r="FM887" s="602"/>
      <c r="FN887" s="602"/>
      <c r="FO887" s="602"/>
      <c r="FP887" s="602"/>
      <c r="FQ887" s="602"/>
      <c r="FR887" s="602"/>
      <c r="FS887" s="602"/>
      <c r="FT887" s="602"/>
      <c r="FU887" s="602"/>
      <c r="FV887" s="602"/>
      <c r="FW887" s="602"/>
      <c r="FX887" s="602"/>
      <c r="FY887" s="602"/>
      <c r="FZ887" s="602"/>
      <c r="GA887" s="602"/>
      <c r="GB887" s="602"/>
      <c r="GC887" s="602"/>
      <c r="GD887" s="602"/>
      <c r="GE887" s="602"/>
      <c r="GF887" s="602"/>
      <c r="GG887" s="602"/>
      <c r="GH887" s="602"/>
      <c r="GI887" s="602"/>
      <c r="GJ887" s="602"/>
      <c r="GK887" s="602"/>
      <c r="GL887" s="602"/>
      <c r="GM887" s="602"/>
      <c r="GN887" s="602"/>
      <c r="GO887" s="602"/>
      <c r="GP887" s="602"/>
      <c r="GQ887" s="602"/>
      <c r="GR887" s="602"/>
      <c r="GS887" s="602"/>
      <c r="GT887" s="602"/>
      <c r="GU887" s="602"/>
      <c r="GV887" s="602"/>
      <c r="GW887" s="602"/>
      <c r="GX887" s="602"/>
      <c r="GY887" s="602"/>
      <c r="GZ887" s="602"/>
      <c r="HA887" s="602"/>
      <c r="HB887" s="602"/>
      <c r="HC887" s="602"/>
      <c r="HD887" s="602"/>
      <c r="HE887" s="602"/>
      <c r="HF887" s="602"/>
      <c r="HG887" s="602"/>
      <c r="HH887" s="602"/>
      <c r="HI887" s="602"/>
      <c r="HJ887" s="602"/>
      <c r="HK887" s="602"/>
      <c r="HL887" s="602"/>
      <c r="HM887" s="602"/>
      <c r="HN887" s="602"/>
      <c r="HO887" s="602"/>
      <c r="HP887" s="602"/>
      <c r="HQ887" s="602"/>
      <c r="HR887" s="602"/>
      <c r="HS887" s="602"/>
      <c r="HT887" s="602"/>
      <c r="HU887" s="602"/>
      <c r="HV887" s="602"/>
      <c r="HW887" s="602"/>
      <c r="HX887" s="602"/>
      <c r="HY887" s="602"/>
      <c r="HZ887" s="602"/>
      <c r="IA887" s="602"/>
      <c r="IB887" s="602"/>
      <c r="IC887" s="602"/>
      <c r="ID887" s="602"/>
      <c r="IE887" s="602"/>
      <c r="IF887" s="602"/>
      <c r="IG887" s="602"/>
      <c r="IH887" s="602"/>
      <c r="II887" s="602"/>
      <c r="IJ887" s="602"/>
      <c r="IK887" s="602"/>
      <c r="IL887" s="602"/>
      <c r="IM887" s="602"/>
      <c r="IN887" s="602"/>
      <c r="IO887" s="602"/>
      <c r="IP887" s="602"/>
      <c r="IQ887" s="602"/>
      <c r="IR887" s="602"/>
      <c r="IS887" s="602"/>
      <c r="IT887" s="602"/>
      <c r="IU887" s="602"/>
      <c r="IV887" s="602"/>
    </row>
    <row r="888" spans="1:256" s="602" customFormat="1" thickBot="1">
      <c r="A888" s="611"/>
      <c r="B888" s="3"/>
      <c r="C888" s="3"/>
      <c r="D888" s="3"/>
      <c r="E888" s="3"/>
      <c r="F888" s="3"/>
      <c r="G888" s="3"/>
      <c r="H888" s="3"/>
      <c r="I888" s="3"/>
      <c r="J888" s="3"/>
      <c r="K888" s="3"/>
      <c r="L888" s="3"/>
      <c r="M888" s="3"/>
      <c r="N888" s="3"/>
      <c r="O888" s="158"/>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c r="FA888" s="3"/>
      <c r="FB888" s="3"/>
      <c r="FC888" s="3"/>
      <c r="FD888" s="3"/>
      <c r="FE888" s="3"/>
      <c r="FF888" s="3"/>
      <c r="FG888" s="3"/>
      <c r="FH888" s="3"/>
      <c r="FI888" s="3"/>
      <c r="FJ888" s="3"/>
      <c r="FK888" s="3"/>
      <c r="FL888" s="3"/>
      <c r="FM888" s="3"/>
      <c r="FN888" s="3"/>
      <c r="FO888" s="3"/>
      <c r="FP888" s="3"/>
      <c r="FQ888" s="3"/>
      <c r="FR888" s="3"/>
      <c r="FS888" s="3"/>
      <c r="FT888" s="3"/>
      <c r="FU888" s="3"/>
      <c r="FV888" s="3"/>
      <c r="FW888" s="3"/>
      <c r="FX888" s="3"/>
      <c r="FY888" s="3"/>
      <c r="FZ888" s="3"/>
      <c r="GA888" s="3"/>
      <c r="GB888" s="3"/>
      <c r="GC888" s="3"/>
      <c r="GD888" s="3"/>
      <c r="GE888" s="3"/>
      <c r="GF888" s="3"/>
      <c r="GG888" s="3"/>
      <c r="GH888" s="3"/>
      <c r="GI888" s="3"/>
      <c r="GJ888" s="3"/>
      <c r="GK888" s="3"/>
      <c r="GL888" s="3"/>
      <c r="GM888" s="3"/>
      <c r="GN888" s="3"/>
      <c r="GO888" s="3"/>
      <c r="GP888" s="3"/>
      <c r="GQ888" s="3"/>
      <c r="GR888" s="3"/>
      <c r="GS888" s="3"/>
      <c r="GT888" s="3"/>
      <c r="GU888" s="3"/>
      <c r="GV888" s="3"/>
      <c r="GW888" s="3"/>
      <c r="GX888" s="3"/>
      <c r="GY888" s="3"/>
      <c r="GZ888" s="3"/>
      <c r="HA888" s="3"/>
      <c r="HB888" s="3"/>
      <c r="HC888" s="3"/>
      <c r="HD888" s="3"/>
      <c r="HE888" s="3"/>
      <c r="HF888" s="3"/>
      <c r="HG888" s="3"/>
      <c r="HH888" s="3"/>
      <c r="HI888" s="3"/>
      <c r="HJ888" s="3"/>
      <c r="HK888" s="3"/>
      <c r="HL888" s="3"/>
      <c r="HM888" s="3"/>
      <c r="HN888" s="3"/>
      <c r="HO888" s="3"/>
      <c r="HP888" s="3"/>
      <c r="HQ888" s="3"/>
      <c r="HR888" s="3"/>
      <c r="HS888" s="3"/>
      <c r="HT888" s="3"/>
      <c r="HU888" s="3"/>
      <c r="HV888" s="3"/>
      <c r="HW888" s="3"/>
      <c r="HX888" s="3"/>
      <c r="HY888" s="3"/>
      <c r="HZ888" s="3"/>
      <c r="IA888" s="3"/>
      <c r="IB888" s="3"/>
      <c r="IC888" s="3"/>
      <c r="ID888" s="3"/>
      <c r="IE888" s="3"/>
      <c r="IF888" s="3"/>
      <c r="IG888" s="3"/>
      <c r="IH888" s="3"/>
      <c r="II888" s="3"/>
      <c r="IJ888" s="3"/>
      <c r="IK888" s="3"/>
      <c r="IL888" s="3"/>
      <c r="IM888" s="3"/>
      <c r="IN888" s="3"/>
      <c r="IO888" s="3"/>
      <c r="IP888" s="3"/>
      <c r="IQ888" s="3"/>
      <c r="IR888" s="3"/>
      <c r="IS888" s="3"/>
      <c r="IT888" s="3"/>
      <c r="IU888" s="3"/>
      <c r="IV888" s="3"/>
    </row>
    <row r="889" spans="1:256" s="602" customFormat="1" ht="12" customHeight="1" thickTop="1">
      <c r="A889" s="63"/>
      <c r="B889" s="41"/>
      <c r="C889" s="63"/>
      <c r="E889" s="42" t="s">
        <v>138</v>
      </c>
      <c r="F889" s="42" t="s">
        <v>139</v>
      </c>
      <c r="G889" s="63"/>
      <c r="H889" s="63"/>
      <c r="I889" s="63"/>
      <c r="J889" s="63"/>
      <c r="K889" s="63" t="s">
        <v>140</v>
      </c>
      <c r="L889" s="63"/>
      <c r="M889" s="63"/>
      <c r="N889" s="63"/>
      <c r="O889" s="64"/>
      <c r="P889" s="63"/>
      <c r="Q889" s="63"/>
      <c r="R889" s="63"/>
      <c r="S889" s="63"/>
      <c r="T889" s="41"/>
      <c r="AG889" s="667" t="s">
        <v>278</v>
      </c>
      <c r="AH889" s="667" t="s">
        <v>279</v>
      </c>
      <c r="AI889" s="667" t="s">
        <v>280</v>
      </c>
      <c r="AJ889" s="667" t="s">
        <v>281</v>
      </c>
      <c r="AK889" s="667" t="s">
        <v>282</v>
      </c>
      <c r="AM889" s="668" t="s">
        <v>291</v>
      </c>
      <c r="AN889" s="669" t="s">
        <v>292</v>
      </c>
      <c r="AO889" s="603" t="s">
        <v>288</v>
      </c>
    </row>
    <row r="890" spans="1:256" s="602" customFormat="1" ht="13.2">
      <c r="A890" s="670">
        <v>2</v>
      </c>
      <c r="B890" s="671" t="s">
        <v>320</v>
      </c>
      <c r="C890" s="672"/>
      <c r="D890" s="673" t="s">
        <v>527</v>
      </c>
      <c r="E890" s="674">
        <f ca="1">IF(AND($A890=0,$A$1="DIF"),0, ROUND(ROUND(($R895*$S$2+($T895*$T$2))/A890,2)*$C$2,2))</f>
        <v>0</v>
      </c>
      <c r="F890" s="675">
        <f ca="1">ROUND($A890*$E890,2)</f>
        <v>0</v>
      </c>
      <c r="G890" s="676" t="s">
        <v>142</v>
      </c>
      <c r="H890" s="664"/>
      <c r="I890" s="677"/>
      <c r="J890" s="664"/>
      <c r="K890" s="664" t="s">
        <v>3</v>
      </c>
      <c r="L890" s="678" t="s">
        <v>143</v>
      </c>
      <c r="M890" s="678"/>
      <c r="N890" s="678"/>
      <c r="O890" s="678"/>
      <c r="P890" s="678"/>
      <c r="Q890" s="63"/>
      <c r="T890" s="679" t="str">
        <f ca="1">IF(AND($R895=0,$T895=0),"0.00","mu :" &amp; ROUND($F890/$C$2/($R895+$T895*$D$9),2))</f>
        <v>0.00</v>
      </c>
      <c r="W890" s="604"/>
      <c r="AG890" s="549">
        <f ca="1">IF($E890=0,0,ROUND($R895*$S$2*$C$2/$A890,2))</f>
        <v>0</v>
      </c>
      <c r="AH890" s="549">
        <f ca="1">$AG890*$A890</f>
        <v>0</v>
      </c>
      <c r="AI890" s="605">
        <f ca="1">$E890-$AG890</f>
        <v>0</v>
      </c>
      <c r="AJ890" s="605">
        <f ca="1">$A890*$AI890</f>
        <v>0</v>
      </c>
      <c r="AK890" s="606">
        <f ca="1">ROUND(($AG890+$AI890)*$A890,2)</f>
        <v>0</v>
      </c>
      <c r="AM890" s="607">
        <f ca="1">ROUND(R895,2)</f>
        <v>0</v>
      </c>
      <c r="AN890" s="608">
        <f ca="1">ROUND(T895,2)</f>
        <v>0</v>
      </c>
      <c r="AO890" s="609">
        <f ca="1">ROUND(AM890+AN890,2)*A890</f>
        <v>0</v>
      </c>
    </row>
    <row r="891" spans="1:256" s="713" customFormat="1" ht="13.2">
      <c r="A891" s="672"/>
      <c r="B891"/>
      <c r="C891" s="672"/>
      <c r="D891" s="673" t="s">
        <v>336</v>
      </c>
      <c r="E891" s="602"/>
      <c r="F891" s="664"/>
      <c r="G891" s="3"/>
      <c r="H891" s="664"/>
      <c r="I891" s="677"/>
      <c r="J891" s="664"/>
      <c r="K891" s="664" t="s">
        <v>144</v>
      </c>
      <c r="L891" s="664"/>
      <c r="M891" s="664"/>
      <c r="N891" s="664"/>
      <c r="O891" s="664"/>
      <c r="P891" s="664"/>
      <c r="Q891" s="63"/>
      <c r="R891" s="610"/>
      <c r="S891" s="680"/>
      <c r="T891" s="664"/>
      <c r="U891" s="602"/>
      <c r="V891" s="602"/>
      <c r="W891" s="602"/>
      <c r="X891" s="602"/>
      <c r="Y891" s="602"/>
      <c r="Z891" s="602"/>
      <c r="AA891" s="602"/>
      <c r="AB891" s="602"/>
      <c r="AC891" s="602"/>
      <c r="AD891" s="602"/>
      <c r="AE891" s="602"/>
      <c r="AF891" s="602"/>
      <c r="AG891" s="602"/>
      <c r="AH891" s="602"/>
      <c r="AI891" s="602"/>
      <c r="AJ891" s="602"/>
      <c r="AK891" s="602"/>
      <c r="AL891" s="602"/>
      <c r="AM891" s="602"/>
      <c r="AN891" s="602"/>
      <c r="AO891" s="602"/>
      <c r="AP891" s="602"/>
      <c r="AQ891" s="602"/>
      <c r="AR891" s="602"/>
      <c r="AS891" s="602"/>
      <c r="AT891" s="602"/>
      <c r="AU891" s="602"/>
      <c r="AV891" s="602"/>
      <c r="AW891" s="602"/>
      <c r="AX891" s="602"/>
      <c r="AY891" s="602"/>
      <c r="AZ891" s="602"/>
      <c r="BA891" s="602"/>
      <c r="BB891" s="602"/>
      <c r="BC891" s="602"/>
      <c r="BD891" s="602"/>
      <c r="BE891" s="602"/>
      <c r="BF891" s="602"/>
      <c r="BG891" s="602"/>
      <c r="BH891" s="602"/>
      <c r="BI891" s="602"/>
      <c r="BJ891" s="602"/>
      <c r="BK891" s="602"/>
      <c r="BL891" s="602"/>
      <c r="BM891" s="602"/>
      <c r="BN891" s="602"/>
      <c r="BO891" s="602"/>
      <c r="BP891" s="602"/>
      <c r="BQ891" s="602"/>
      <c r="BR891" s="602"/>
      <c r="BS891" s="602"/>
      <c r="BT891" s="602"/>
      <c r="BU891" s="602"/>
      <c r="BV891" s="602"/>
      <c r="BW891" s="602"/>
      <c r="BX891" s="602"/>
      <c r="BY891" s="602"/>
      <c r="BZ891" s="602"/>
      <c r="CA891" s="602"/>
      <c r="CB891" s="602"/>
      <c r="CC891" s="602"/>
      <c r="CD891" s="602"/>
      <c r="CE891" s="602"/>
      <c r="CF891" s="602"/>
      <c r="CG891" s="602"/>
      <c r="CH891" s="602"/>
      <c r="CI891" s="602"/>
      <c r="CJ891" s="602"/>
      <c r="CK891" s="602"/>
      <c r="CL891" s="602"/>
      <c r="CM891" s="602"/>
      <c r="CN891" s="602"/>
      <c r="CO891" s="602"/>
      <c r="CP891" s="602"/>
      <c r="CQ891" s="602"/>
      <c r="CR891" s="602"/>
      <c r="CS891" s="602"/>
      <c r="CT891" s="602"/>
      <c r="CU891" s="602"/>
      <c r="CV891" s="602"/>
      <c r="CW891" s="602"/>
      <c r="CX891" s="602"/>
      <c r="CY891" s="602"/>
      <c r="CZ891" s="602"/>
      <c r="DA891" s="602"/>
      <c r="DB891" s="602"/>
      <c r="DC891" s="602"/>
      <c r="DD891" s="602"/>
      <c r="DE891" s="602"/>
      <c r="DF891" s="602"/>
      <c r="DG891" s="602"/>
      <c r="DH891" s="602"/>
      <c r="DI891" s="602"/>
      <c r="DJ891" s="602"/>
      <c r="DK891" s="602"/>
      <c r="DL891" s="602"/>
      <c r="DM891" s="602"/>
      <c r="DN891" s="602"/>
      <c r="DO891" s="602"/>
      <c r="DP891" s="602"/>
      <c r="DQ891" s="602"/>
      <c r="DR891" s="602"/>
      <c r="DS891" s="602"/>
      <c r="DT891" s="602"/>
      <c r="DU891" s="602"/>
      <c r="DV891" s="602"/>
      <c r="DW891" s="602"/>
      <c r="DX891" s="602"/>
      <c r="DY891" s="602"/>
      <c r="DZ891" s="602"/>
      <c r="EA891" s="602"/>
      <c r="EB891" s="602"/>
      <c r="EC891" s="602"/>
      <c r="ED891" s="602"/>
      <c r="EE891" s="602"/>
      <c r="EF891" s="602"/>
      <c r="EG891" s="602"/>
      <c r="EH891" s="602"/>
      <c r="EI891" s="602"/>
      <c r="EJ891" s="602"/>
      <c r="EK891" s="602"/>
      <c r="EL891" s="602"/>
      <c r="EM891" s="602"/>
      <c r="EN891" s="602"/>
      <c r="EO891" s="602"/>
      <c r="EP891" s="602"/>
      <c r="EQ891" s="602"/>
      <c r="ER891" s="602"/>
      <c r="ES891" s="602"/>
      <c r="ET891" s="602"/>
      <c r="EU891" s="602"/>
      <c r="EV891" s="602"/>
      <c r="EW891" s="602"/>
      <c r="EX891" s="602"/>
      <c r="EY891" s="602"/>
      <c r="EZ891" s="602"/>
      <c r="FA891" s="602"/>
      <c r="FB891" s="602"/>
      <c r="FC891" s="602"/>
      <c r="FD891" s="602"/>
      <c r="FE891" s="602"/>
      <c r="FF891" s="602"/>
      <c r="FG891" s="602"/>
      <c r="FH891" s="602"/>
      <c r="FI891" s="602"/>
      <c r="FJ891" s="602"/>
      <c r="FK891" s="602"/>
      <c r="FL891" s="602"/>
      <c r="FM891" s="602"/>
      <c r="FN891" s="602"/>
      <c r="FO891" s="602"/>
      <c r="FP891" s="602"/>
      <c r="FQ891" s="602"/>
      <c r="FR891" s="602"/>
      <c r="FS891" s="602"/>
      <c r="FT891" s="602"/>
      <c r="FU891" s="602"/>
      <c r="FV891" s="602"/>
      <c r="FW891" s="602"/>
      <c r="FX891" s="602"/>
      <c r="FY891" s="602"/>
      <c r="FZ891" s="602"/>
      <c r="GA891" s="602"/>
      <c r="GB891" s="602"/>
      <c r="GC891" s="602"/>
      <c r="GD891" s="602"/>
      <c r="GE891" s="602"/>
      <c r="GF891" s="602"/>
      <c r="GG891" s="602"/>
      <c r="GH891" s="602"/>
      <c r="GI891" s="602"/>
      <c r="GJ891" s="602"/>
      <c r="GK891" s="602"/>
      <c r="GL891" s="602"/>
      <c r="GM891" s="602"/>
      <c r="GN891" s="602"/>
      <c r="GO891" s="602"/>
      <c r="GP891" s="602"/>
      <c r="GQ891" s="602"/>
      <c r="GR891" s="602"/>
      <c r="GS891" s="602"/>
      <c r="GT891" s="602"/>
      <c r="GU891" s="602"/>
      <c r="GV891" s="602"/>
      <c r="GW891" s="602"/>
      <c r="GX891" s="602"/>
      <c r="GY891" s="602"/>
      <c r="GZ891" s="602"/>
      <c r="HA891" s="602"/>
      <c r="HB891" s="602"/>
      <c r="HC891" s="602"/>
      <c r="HD891" s="602"/>
      <c r="HE891" s="602"/>
      <c r="HF891" s="602"/>
      <c r="HG891" s="602"/>
      <c r="HH891" s="602"/>
      <c r="HI891" s="602"/>
      <c r="HJ891" s="602"/>
      <c r="HK891" s="602"/>
      <c r="HL891" s="602"/>
      <c r="HM891" s="602"/>
      <c r="HN891" s="602"/>
      <c r="HO891" s="602"/>
      <c r="HP891" s="602"/>
      <c r="HQ891" s="602"/>
      <c r="HR891" s="602"/>
      <c r="HS891" s="602"/>
      <c r="HT891" s="602"/>
      <c r="HU891" s="602"/>
      <c r="HV891" s="602"/>
      <c r="HW891" s="602"/>
      <c r="HX891" s="602"/>
      <c r="HY891" s="602"/>
      <c r="HZ891" s="602"/>
      <c r="IA891" s="602"/>
      <c r="IB891" s="602"/>
      <c r="IC891" s="602"/>
      <c r="ID891" s="602"/>
      <c r="IE891" s="602"/>
      <c r="IF891" s="602"/>
      <c r="IG891" s="602"/>
      <c r="IH891" s="602"/>
      <c r="II891" s="602"/>
      <c r="IJ891" s="602"/>
      <c r="IK891" s="602"/>
      <c r="IL891" s="602"/>
      <c r="IM891" s="602"/>
      <c r="IN891" s="602"/>
      <c r="IO891" s="602"/>
      <c r="IP891" s="602"/>
      <c r="IQ891" s="602"/>
      <c r="IR891" s="602"/>
      <c r="IS891" s="602"/>
      <c r="IT891" s="602"/>
      <c r="IU891" s="602"/>
      <c r="IV891" s="602"/>
    </row>
    <row r="892" spans="1:256" s="713" customFormat="1" ht="13.2">
      <c r="A892"/>
      <c r="B892" s="807"/>
      <c r="C892" s="807" t="s">
        <v>692</v>
      </c>
      <c r="D892" s="807" t="str">
        <f ca="1">CELL("Address",Elec_Rates!D$250)</f>
        <v>[E25_0477_IH_Retro_Elec_Est_Rev_A_AW.xlsx]Elec_Rates!$D$250</v>
      </c>
      <c r="E892" s="808"/>
      <c r="F892" s="808"/>
      <c r="G892" s="809" t="s">
        <v>693</v>
      </c>
      <c r="H892" s="809"/>
      <c r="I892" s="809"/>
      <c r="J892" s="809"/>
      <c r="K892" s="810"/>
      <c r="L892" s="808"/>
      <c r="M892" s="808"/>
      <c r="N892" s="808"/>
      <c r="O892" s="811"/>
      <c r="P892" s="808"/>
      <c r="Q892" s="812"/>
      <c r="R892" s="813"/>
      <c r="S892" s="812"/>
      <c r="T892" s="814"/>
      <c r="U892" s="815"/>
    </row>
    <row r="893" spans="1:256" s="602" customFormat="1" ht="11.4">
      <c r="A893" s="816">
        <v>2</v>
      </c>
      <c r="B893" s="817">
        <v>1</v>
      </c>
      <c r="C893" s="817">
        <f>$A893*$B893</f>
        <v>2</v>
      </c>
      <c r="D893" s="818" t="str">
        <f>Elec_Rates!$D$250</f>
        <v>012# Light fitting Type A - Installation Only</v>
      </c>
      <c r="E893" s="818"/>
      <c r="F893" s="818" t="s">
        <v>694</v>
      </c>
      <c r="G893" s="819" t="s">
        <v>695</v>
      </c>
      <c r="H893" s="819"/>
      <c r="I893" s="819"/>
      <c r="J893" s="819"/>
      <c r="K893" s="820"/>
      <c r="L893" s="815"/>
      <c r="M893" s="815"/>
      <c r="N893" s="815"/>
      <c r="O893" s="821"/>
      <c r="P893" s="818"/>
      <c r="Q893" s="822">
        <f ca="1">$B893*Elec_Rates!$R$250</f>
        <v>0</v>
      </c>
      <c r="R893" s="813">
        <f ca="1">$A893*Q893</f>
        <v>0</v>
      </c>
      <c r="S893" s="822">
        <f ca="1">$B893*Elec_Rates!$T$250</f>
        <v>0</v>
      </c>
      <c r="T893" s="814">
        <f ca="1">$A893*S893</f>
        <v>0</v>
      </c>
      <c r="U893" s="583"/>
      <c r="V893" s="713"/>
      <c r="W893" s="713"/>
      <c r="X893" s="713"/>
      <c r="Y893" s="713"/>
      <c r="Z893" s="713"/>
      <c r="AA893" s="713"/>
      <c r="AB893" s="713"/>
      <c r="AC893" s="713"/>
      <c r="AD893" s="713"/>
      <c r="AE893" s="713"/>
      <c r="AF893" s="713"/>
      <c r="AG893" s="713"/>
      <c r="AH893" s="713"/>
      <c r="AI893" s="713"/>
      <c r="AJ893" s="713"/>
      <c r="AK893" s="713"/>
      <c r="AL893" s="713"/>
      <c r="AM893" s="713"/>
      <c r="AN893" s="713"/>
      <c r="AO893" s="713"/>
      <c r="AP893" s="713"/>
      <c r="AQ893" s="713"/>
      <c r="AR893" s="713"/>
      <c r="AS893" s="713"/>
      <c r="AT893" s="713"/>
      <c r="AU893" s="713"/>
      <c r="AV893" s="713"/>
      <c r="AW893" s="713"/>
      <c r="AX893" s="713"/>
      <c r="AY893" s="713"/>
      <c r="AZ893" s="713"/>
      <c r="BA893" s="713"/>
      <c r="BB893" s="713"/>
      <c r="BC893" s="713"/>
      <c r="BD893" s="713"/>
      <c r="BE893" s="713"/>
      <c r="BF893" s="713"/>
      <c r="BG893" s="713"/>
      <c r="BH893" s="713"/>
      <c r="BI893" s="713"/>
      <c r="BJ893" s="713"/>
      <c r="BK893" s="713"/>
      <c r="BL893" s="713"/>
      <c r="BM893" s="713"/>
      <c r="BN893" s="713"/>
      <c r="BO893" s="713"/>
      <c r="BP893" s="713"/>
      <c r="BQ893" s="713"/>
      <c r="BR893" s="713"/>
      <c r="BS893" s="713"/>
      <c r="BT893" s="713"/>
      <c r="BU893" s="713"/>
      <c r="BV893" s="713"/>
      <c r="BW893" s="713"/>
      <c r="BX893" s="713"/>
      <c r="BY893" s="713"/>
      <c r="BZ893" s="713"/>
      <c r="CA893" s="713"/>
      <c r="CB893" s="713"/>
      <c r="CC893" s="713"/>
      <c r="CD893" s="713"/>
      <c r="CE893" s="713"/>
      <c r="CF893" s="713"/>
      <c r="CG893" s="713"/>
      <c r="CH893" s="713"/>
      <c r="CI893" s="713"/>
      <c r="CJ893" s="713"/>
      <c r="CK893" s="713"/>
      <c r="CL893" s="713"/>
      <c r="CM893" s="713"/>
      <c r="CN893" s="713"/>
      <c r="CO893" s="713"/>
      <c r="CP893" s="713"/>
      <c r="CQ893" s="713"/>
      <c r="CR893" s="713"/>
      <c r="CS893" s="713"/>
      <c r="CT893" s="713"/>
      <c r="CU893" s="713"/>
      <c r="CV893" s="713"/>
      <c r="CW893" s="713"/>
      <c r="CX893" s="713"/>
      <c r="CY893" s="713"/>
      <c r="CZ893" s="713"/>
      <c r="DA893" s="713"/>
      <c r="DB893" s="713"/>
      <c r="DC893" s="713"/>
      <c r="DD893" s="713"/>
      <c r="DE893" s="713"/>
      <c r="DF893" s="713"/>
      <c r="DG893" s="713"/>
      <c r="DH893" s="713"/>
      <c r="DI893" s="713"/>
      <c r="DJ893" s="713"/>
      <c r="DK893" s="713"/>
      <c r="DL893" s="713"/>
      <c r="DM893" s="713"/>
      <c r="DN893" s="713"/>
      <c r="DO893" s="713"/>
      <c r="DP893" s="713"/>
      <c r="DQ893" s="713"/>
      <c r="DR893" s="713"/>
      <c r="DS893" s="713"/>
      <c r="DT893" s="713"/>
      <c r="DU893" s="713"/>
      <c r="DV893" s="713"/>
      <c r="DW893" s="713"/>
      <c r="DX893" s="713"/>
      <c r="DY893" s="713"/>
      <c r="DZ893" s="713"/>
      <c r="EA893" s="713"/>
      <c r="EB893" s="713"/>
      <c r="EC893" s="713"/>
      <c r="ED893" s="713"/>
      <c r="EE893" s="713"/>
      <c r="EF893" s="713"/>
      <c r="EG893" s="713"/>
      <c r="EH893" s="713"/>
      <c r="EI893" s="713"/>
      <c r="EJ893" s="713"/>
      <c r="EK893" s="713"/>
      <c r="EL893" s="713"/>
      <c r="EM893" s="713"/>
      <c r="EN893" s="713"/>
      <c r="EO893" s="713"/>
      <c r="EP893" s="713"/>
      <c r="EQ893" s="713"/>
      <c r="ER893" s="713"/>
      <c r="ES893" s="713"/>
      <c r="ET893" s="713"/>
      <c r="EU893" s="713"/>
      <c r="EV893" s="713"/>
      <c r="EW893" s="713"/>
      <c r="EX893" s="713"/>
      <c r="EY893" s="713"/>
      <c r="EZ893" s="713"/>
      <c r="FA893" s="713"/>
      <c r="FB893" s="713"/>
      <c r="FC893" s="713"/>
      <c r="FD893" s="713"/>
      <c r="FE893" s="713"/>
      <c r="FF893" s="713"/>
      <c r="FG893" s="713"/>
      <c r="FH893" s="713"/>
      <c r="FI893" s="713"/>
      <c r="FJ893" s="713"/>
      <c r="FK893" s="713"/>
      <c r="FL893" s="713"/>
      <c r="FM893" s="713"/>
      <c r="FN893" s="713"/>
      <c r="FO893" s="713"/>
      <c r="FP893" s="713"/>
      <c r="FQ893" s="713"/>
      <c r="FR893" s="713"/>
      <c r="FS893" s="713"/>
      <c r="FT893" s="713"/>
      <c r="FU893" s="713"/>
      <c r="FV893" s="713"/>
      <c r="FW893" s="713"/>
      <c r="FX893" s="713"/>
      <c r="FY893" s="713"/>
      <c r="FZ893" s="713"/>
      <c r="GA893" s="713"/>
      <c r="GB893" s="713"/>
      <c r="GC893" s="713"/>
      <c r="GD893" s="713"/>
      <c r="GE893" s="713"/>
      <c r="GF893" s="713"/>
      <c r="GG893" s="713"/>
      <c r="GH893" s="713"/>
      <c r="GI893" s="713"/>
      <c r="GJ893" s="713"/>
      <c r="GK893" s="713"/>
      <c r="GL893" s="713"/>
      <c r="GM893" s="713"/>
      <c r="GN893" s="713"/>
      <c r="GO893" s="713"/>
      <c r="GP893" s="713"/>
      <c r="GQ893" s="713"/>
      <c r="GR893" s="713"/>
      <c r="GS893" s="713"/>
      <c r="GT893" s="713"/>
      <c r="GU893" s="713"/>
      <c r="GV893" s="713"/>
      <c r="GW893" s="713"/>
      <c r="GX893" s="713"/>
      <c r="GY893" s="713"/>
      <c r="GZ893" s="713"/>
      <c r="HA893" s="713"/>
      <c r="HB893" s="713"/>
      <c r="HC893" s="713"/>
      <c r="HD893" s="713"/>
      <c r="HE893" s="713"/>
      <c r="HF893" s="713"/>
      <c r="HG893" s="713"/>
      <c r="HH893" s="713"/>
      <c r="HI893" s="713"/>
      <c r="HJ893" s="713"/>
      <c r="HK893" s="713"/>
      <c r="HL893" s="713"/>
      <c r="HM893" s="713"/>
      <c r="HN893" s="713"/>
      <c r="HO893" s="713"/>
      <c r="HP893" s="713"/>
      <c r="HQ893" s="713"/>
      <c r="HR893" s="713"/>
      <c r="HS893" s="713"/>
      <c r="HT893" s="713"/>
      <c r="HU893" s="713"/>
      <c r="HV893" s="713"/>
      <c r="HW893" s="713"/>
      <c r="HX893" s="713"/>
      <c r="HY893" s="713"/>
      <c r="HZ893" s="713"/>
      <c r="IA893" s="713"/>
      <c r="IB893" s="713"/>
      <c r="IC893" s="713"/>
      <c r="ID893" s="713"/>
      <c r="IE893" s="713"/>
      <c r="IF893" s="713"/>
      <c r="IG893" s="713"/>
      <c r="IH893" s="713"/>
      <c r="II893" s="713"/>
      <c r="IJ893" s="713"/>
      <c r="IK893" s="713"/>
      <c r="IL893" s="713"/>
      <c r="IM893" s="713"/>
      <c r="IN893" s="713"/>
      <c r="IO893" s="713"/>
      <c r="IP893" s="713"/>
      <c r="IQ893" s="713"/>
      <c r="IR893" s="713"/>
      <c r="IS893" s="713"/>
      <c r="IT893" s="713"/>
      <c r="IU893" s="713"/>
      <c r="IV893" s="713"/>
    </row>
    <row r="894" spans="1:256" s="602" customFormat="1" ht="12">
      <c r="A894" s="663"/>
      <c r="B894" s="663"/>
      <c r="C894" s="663"/>
      <c r="D894" s="663"/>
      <c r="E894" s="663"/>
      <c r="F894" s="664"/>
      <c r="G894" s="663"/>
      <c r="H894" s="663"/>
      <c r="I894" s="601"/>
      <c r="J894" s="663"/>
      <c r="K894" s="663"/>
      <c r="L894" s="663"/>
      <c r="M894" s="663"/>
      <c r="N894" s="663"/>
      <c r="O894" s="663"/>
      <c r="P894" s="663"/>
      <c r="Q894" s="601"/>
      <c r="R894" s="666">
        <f>$A894*Q894</f>
        <v>0</v>
      </c>
      <c r="S894" s="601"/>
      <c r="T894" s="681">
        <f>$A894*S894*$T$1</f>
        <v>0</v>
      </c>
    </row>
    <row r="895" spans="1:256" s="602" customFormat="1" ht="12.6" thickBot="1">
      <c r="A895" s="682" t="s">
        <v>145</v>
      </c>
      <c r="B895" s="683">
        <f>(R894+T894)</f>
        <v>0</v>
      </c>
      <c r="C895" s="684"/>
      <c r="D895" s="684"/>
      <c r="E895" s="684"/>
      <c r="F895" s="685"/>
      <c r="G895" s="684" t="s">
        <v>146</v>
      </c>
      <c r="H895" s="684"/>
      <c r="I895" s="686"/>
      <c r="J895" s="684"/>
      <c r="K895" s="684" t="s">
        <v>3</v>
      </c>
      <c r="L895" s="687" t="s">
        <v>143</v>
      </c>
      <c r="M895" s="687"/>
      <c r="N895" s="687"/>
      <c r="O895" s="687"/>
      <c r="P895" s="687"/>
      <c r="Q895" s="688"/>
      <c r="R895" s="689">
        <f ca="1">SUM(R891:R894)</f>
        <v>0</v>
      </c>
      <c r="S895" s="684"/>
      <c r="T895" s="689">
        <f ca="1">SUM(T891:T894)</f>
        <v>0</v>
      </c>
      <c r="U895" s="611"/>
      <c r="V895" s="611"/>
      <c r="W895" s="611"/>
      <c r="X895" s="611"/>
      <c r="Y895" s="611"/>
      <c r="Z895" s="611"/>
      <c r="AA895" s="611"/>
      <c r="AB895" s="611"/>
      <c r="AC895" s="611"/>
      <c r="AD895" s="611"/>
      <c r="AE895" s="611"/>
      <c r="AF895" s="611"/>
      <c r="AG895" s="611"/>
      <c r="AH895" s="611"/>
      <c r="AI895" s="611"/>
      <c r="AJ895" s="611"/>
      <c r="AK895" s="611"/>
      <c r="AL895" s="611"/>
      <c r="AM895" s="611"/>
      <c r="AN895" s="611"/>
      <c r="AO895" s="611"/>
    </row>
    <row r="896" spans="1:256" s="602" customFormat="1" ht="12" customHeight="1" thickTop="1">
      <c r="A896" s="63"/>
      <c r="B896" s="41"/>
      <c r="C896" s="63"/>
      <c r="E896" s="42" t="s">
        <v>138</v>
      </c>
      <c r="F896" s="42" t="s">
        <v>139</v>
      </c>
      <c r="G896" s="63"/>
      <c r="H896" s="63"/>
      <c r="I896" s="63"/>
      <c r="J896" s="63"/>
      <c r="K896" s="63" t="s">
        <v>140</v>
      </c>
      <c r="L896" s="63"/>
      <c r="M896" s="63"/>
      <c r="N896" s="63"/>
      <c r="O896" s="64"/>
      <c r="P896" s="63"/>
      <c r="Q896" s="63"/>
      <c r="R896" s="63"/>
      <c r="S896" s="63"/>
      <c r="T896" s="41"/>
      <c r="AG896" s="667" t="s">
        <v>278</v>
      </c>
      <c r="AH896" s="667" t="s">
        <v>279</v>
      </c>
      <c r="AI896" s="667" t="s">
        <v>280</v>
      </c>
      <c r="AJ896" s="667" t="s">
        <v>281</v>
      </c>
      <c r="AK896" s="667" t="s">
        <v>282</v>
      </c>
      <c r="AM896" s="668" t="s">
        <v>291</v>
      </c>
      <c r="AN896" s="669" t="s">
        <v>292</v>
      </c>
      <c r="AO896" s="603" t="s">
        <v>288</v>
      </c>
    </row>
    <row r="897" spans="1:256" s="602" customFormat="1" ht="13.2">
      <c r="A897" s="670">
        <v>2</v>
      </c>
      <c r="B897" s="671" t="s">
        <v>320</v>
      </c>
      <c r="C897" s="672"/>
      <c r="D897" s="673" t="s">
        <v>528</v>
      </c>
      <c r="E897" s="674">
        <f ca="1">IF(AND($A897=0,$A$1="DIF"),0, ROUND(ROUND(($R902*$S$2+($T902*$T$2))/A897,2)*$C$2,2))</f>
        <v>0</v>
      </c>
      <c r="F897" s="675">
        <f ca="1">ROUND($A897*$E897,2)</f>
        <v>0</v>
      </c>
      <c r="G897" s="676" t="s">
        <v>142</v>
      </c>
      <c r="H897" s="664"/>
      <c r="I897" s="677"/>
      <c r="J897" s="664"/>
      <c r="K897" s="664" t="s">
        <v>3</v>
      </c>
      <c r="L897" s="678" t="s">
        <v>143</v>
      </c>
      <c r="M897" s="678"/>
      <c r="N897" s="678"/>
      <c r="O897" s="678"/>
      <c r="P897" s="678"/>
      <c r="Q897" s="63"/>
      <c r="T897" s="679" t="str">
        <f ca="1">IF(AND($R902=0,$T902=0),"0.00","mu :" &amp; ROUND($F897/$C$2/($R902+$T902*$D$9),2))</f>
        <v>0.00</v>
      </c>
      <c r="W897" s="604"/>
      <c r="AG897" s="549">
        <f ca="1">IF($E897=0,0,ROUND($R902*$S$2*$C$2/$A897,2))</f>
        <v>0</v>
      </c>
      <c r="AH897" s="549">
        <f ca="1">$AG897*$A897</f>
        <v>0</v>
      </c>
      <c r="AI897" s="605">
        <f ca="1">$E897-$AG897</f>
        <v>0</v>
      </c>
      <c r="AJ897" s="605">
        <f ca="1">$A897*$AI897</f>
        <v>0</v>
      </c>
      <c r="AK897" s="606">
        <f ca="1">ROUND(($AG897+$AI897)*$A897,2)</f>
        <v>0</v>
      </c>
      <c r="AM897" s="607">
        <f ca="1">ROUND(R902,2)</f>
        <v>0</v>
      </c>
      <c r="AN897" s="608">
        <f ca="1">ROUND(T902,2)</f>
        <v>0</v>
      </c>
      <c r="AO897" s="609">
        <f ca="1">ROUND(AM897+AN897,2)*A897</f>
        <v>0</v>
      </c>
    </row>
    <row r="898" spans="1:256" s="713" customFormat="1" ht="13.2">
      <c r="A898" s="672"/>
      <c r="B898"/>
      <c r="C898" s="672"/>
      <c r="D898" s="673" t="s">
        <v>337</v>
      </c>
      <c r="E898" s="602"/>
      <c r="F898" s="664"/>
      <c r="G898" s="3"/>
      <c r="H898" s="664"/>
      <c r="I898" s="677"/>
      <c r="J898" s="664"/>
      <c r="K898" s="664" t="s">
        <v>144</v>
      </c>
      <c r="L898" s="664"/>
      <c r="M898" s="664"/>
      <c r="N898" s="664"/>
      <c r="O898" s="664"/>
      <c r="P898" s="664"/>
      <c r="Q898" s="63"/>
      <c r="R898" s="610"/>
      <c r="S898" s="680"/>
      <c r="T898" s="664"/>
      <c r="U898" s="602"/>
      <c r="V898" s="602"/>
      <c r="W898" s="602"/>
      <c r="X898" s="602"/>
      <c r="Y898" s="602"/>
      <c r="Z898" s="602"/>
      <c r="AA898" s="602"/>
      <c r="AB898" s="602"/>
      <c r="AC898" s="602"/>
      <c r="AD898" s="602"/>
      <c r="AE898" s="602"/>
      <c r="AF898" s="602"/>
      <c r="AG898" s="602"/>
      <c r="AH898" s="602"/>
      <c r="AI898" s="602"/>
      <c r="AJ898" s="602"/>
      <c r="AK898" s="602"/>
      <c r="AL898" s="602"/>
      <c r="AM898" s="602"/>
      <c r="AN898" s="602"/>
      <c r="AO898" s="602"/>
      <c r="AP898" s="602"/>
      <c r="AQ898" s="602"/>
      <c r="AR898" s="602"/>
      <c r="AS898" s="602"/>
      <c r="AT898" s="602"/>
      <c r="AU898" s="602"/>
      <c r="AV898" s="602"/>
      <c r="AW898" s="602"/>
      <c r="AX898" s="602"/>
      <c r="AY898" s="602"/>
      <c r="AZ898" s="602"/>
      <c r="BA898" s="602"/>
      <c r="BB898" s="602"/>
      <c r="BC898" s="602"/>
      <c r="BD898" s="602"/>
      <c r="BE898" s="602"/>
      <c r="BF898" s="602"/>
      <c r="BG898" s="602"/>
      <c r="BH898" s="602"/>
      <c r="BI898" s="602"/>
      <c r="BJ898" s="602"/>
      <c r="BK898" s="602"/>
      <c r="BL898" s="602"/>
      <c r="BM898" s="602"/>
      <c r="BN898" s="602"/>
      <c r="BO898" s="602"/>
      <c r="BP898" s="602"/>
      <c r="BQ898" s="602"/>
      <c r="BR898" s="602"/>
      <c r="BS898" s="602"/>
      <c r="BT898" s="602"/>
      <c r="BU898" s="602"/>
      <c r="BV898" s="602"/>
      <c r="BW898" s="602"/>
      <c r="BX898" s="602"/>
      <c r="BY898" s="602"/>
      <c r="BZ898" s="602"/>
      <c r="CA898" s="602"/>
      <c r="CB898" s="602"/>
      <c r="CC898" s="602"/>
      <c r="CD898" s="602"/>
      <c r="CE898" s="602"/>
      <c r="CF898" s="602"/>
      <c r="CG898" s="602"/>
      <c r="CH898" s="602"/>
      <c r="CI898" s="602"/>
      <c r="CJ898" s="602"/>
      <c r="CK898" s="602"/>
      <c r="CL898" s="602"/>
      <c r="CM898" s="602"/>
      <c r="CN898" s="602"/>
      <c r="CO898" s="602"/>
      <c r="CP898" s="602"/>
      <c r="CQ898" s="602"/>
      <c r="CR898" s="602"/>
      <c r="CS898" s="602"/>
      <c r="CT898" s="602"/>
      <c r="CU898" s="602"/>
      <c r="CV898" s="602"/>
      <c r="CW898" s="602"/>
      <c r="CX898" s="602"/>
      <c r="CY898" s="602"/>
      <c r="CZ898" s="602"/>
      <c r="DA898" s="602"/>
      <c r="DB898" s="602"/>
      <c r="DC898" s="602"/>
      <c r="DD898" s="602"/>
      <c r="DE898" s="602"/>
      <c r="DF898" s="602"/>
      <c r="DG898" s="602"/>
      <c r="DH898" s="602"/>
      <c r="DI898" s="602"/>
      <c r="DJ898" s="602"/>
      <c r="DK898" s="602"/>
      <c r="DL898" s="602"/>
      <c r="DM898" s="602"/>
      <c r="DN898" s="602"/>
      <c r="DO898" s="602"/>
      <c r="DP898" s="602"/>
      <c r="DQ898" s="602"/>
      <c r="DR898" s="602"/>
      <c r="DS898" s="602"/>
      <c r="DT898" s="602"/>
      <c r="DU898" s="602"/>
      <c r="DV898" s="602"/>
      <c r="DW898" s="602"/>
      <c r="DX898" s="602"/>
      <c r="DY898" s="602"/>
      <c r="DZ898" s="602"/>
      <c r="EA898" s="602"/>
      <c r="EB898" s="602"/>
      <c r="EC898" s="602"/>
      <c r="ED898" s="602"/>
      <c r="EE898" s="602"/>
      <c r="EF898" s="602"/>
      <c r="EG898" s="602"/>
      <c r="EH898" s="602"/>
      <c r="EI898" s="602"/>
      <c r="EJ898" s="602"/>
      <c r="EK898" s="602"/>
      <c r="EL898" s="602"/>
      <c r="EM898" s="602"/>
      <c r="EN898" s="602"/>
      <c r="EO898" s="602"/>
      <c r="EP898" s="602"/>
      <c r="EQ898" s="602"/>
      <c r="ER898" s="602"/>
      <c r="ES898" s="602"/>
      <c r="ET898" s="602"/>
      <c r="EU898" s="602"/>
      <c r="EV898" s="602"/>
      <c r="EW898" s="602"/>
      <c r="EX898" s="602"/>
      <c r="EY898" s="602"/>
      <c r="EZ898" s="602"/>
      <c r="FA898" s="602"/>
      <c r="FB898" s="602"/>
      <c r="FC898" s="602"/>
      <c r="FD898" s="602"/>
      <c r="FE898" s="602"/>
      <c r="FF898" s="602"/>
      <c r="FG898" s="602"/>
      <c r="FH898" s="602"/>
      <c r="FI898" s="602"/>
      <c r="FJ898" s="602"/>
      <c r="FK898" s="602"/>
      <c r="FL898" s="602"/>
      <c r="FM898" s="602"/>
      <c r="FN898" s="602"/>
      <c r="FO898" s="602"/>
      <c r="FP898" s="602"/>
      <c r="FQ898" s="602"/>
      <c r="FR898" s="602"/>
      <c r="FS898" s="602"/>
      <c r="FT898" s="602"/>
      <c r="FU898" s="602"/>
      <c r="FV898" s="602"/>
      <c r="FW898" s="602"/>
      <c r="FX898" s="602"/>
      <c r="FY898" s="602"/>
      <c r="FZ898" s="602"/>
      <c r="GA898" s="602"/>
      <c r="GB898" s="602"/>
      <c r="GC898" s="602"/>
      <c r="GD898" s="602"/>
      <c r="GE898" s="602"/>
      <c r="GF898" s="602"/>
      <c r="GG898" s="602"/>
      <c r="GH898" s="602"/>
      <c r="GI898" s="602"/>
      <c r="GJ898" s="602"/>
      <c r="GK898" s="602"/>
      <c r="GL898" s="602"/>
      <c r="GM898" s="602"/>
      <c r="GN898" s="602"/>
      <c r="GO898" s="602"/>
      <c r="GP898" s="602"/>
      <c r="GQ898" s="602"/>
      <c r="GR898" s="602"/>
      <c r="GS898" s="602"/>
      <c r="GT898" s="602"/>
      <c r="GU898" s="602"/>
      <c r="GV898" s="602"/>
      <c r="GW898" s="602"/>
      <c r="GX898" s="602"/>
      <c r="GY898" s="602"/>
      <c r="GZ898" s="602"/>
      <c r="HA898" s="602"/>
      <c r="HB898" s="602"/>
      <c r="HC898" s="602"/>
      <c r="HD898" s="602"/>
      <c r="HE898" s="602"/>
      <c r="HF898" s="602"/>
      <c r="HG898" s="602"/>
      <c r="HH898" s="602"/>
      <c r="HI898" s="602"/>
      <c r="HJ898" s="602"/>
      <c r="HK898" s="602"/>
      <c r="HL898" s="602"/>
      <c r="HM898" s="602"/>
      <c r="HN898" s="602"/>
      <c r="HO898" s="602"/>
      <c r="HP898" s="602"/>
      <c r="HQ898" s="602"/>
      <c r="HR898" s="602"/>
      <c r="HS898" s="602"/>
      <c r="HT898" s="602"/>
      <c r="HU898" s="602"/>
      <c r="HV898" s="602"/>
      <c r="HW898" s="602"/>
      <c r="HX898" s="602"/>
      <c r="HY898" s="602"/>
      <c r="HZ898" s="602"/>
      <c r="IA898" s="602"/>
      <c r="IB898" s="602"/>
      <c r="IC898" s="602"/>
      <c r="ID898" s="602"/>
      <c r="IE898" s="602"/>
      <c r="IF898" s="602"/>
      <c r="IG898" s="602"/>
      <c r="IH898" s="602"/>
      <c r="II898" s="602"/>
      <c r="IJ898" s="602"/>
      <c r="IK898" s="602"/>
      <c r="IL898" s="602"/>
      <c r="IM898" s="602"/>
      <c r="IN898" s="602"/>
      <c r="IO898" s="602"/>
      <c r="IP898" s="602"/>
      <c r="IQ898" s="602"/>
      <c r="IR898" s="602"/>
      <c r="IS898" s="602"/>
      <c r="IT898" s="602"/>
      <c r="IU898" s="602"/>
      <c r="IV898" s="602"/>
    </row>
    <row r="899" spans="1:256" s="713" customFormat="1" ht="13.2">
      <c r="A899"/>
      <c r="B899" s="807"/>
      <c r="C899" s="807" t="s">
        <v>692</v>
      </c>
      <c r="D899" s="807" t="str">
        <f ca="1">CELL("Address",Elec_Rates!D$258)</f>
        <v>[E25_0477_IH_Retro_Elec_Est_Rev_A_AW.xlsx]Elec_Rates!$D$258</v>
      </c>
      <c r="E899" s="808"/>
      <c r="F899" s="808"/>
      <c r="G899" s="809" t="s">
        <v>693</v>
      </c>
      <c r="H899" s="809"/>
      <c r="I899" s="809"/>
      <c r="J899" s="809"/>
      <c r="K899" s="810"/>
      <c r="L899" s="808"/>
      <c r="M899" s="808"/>
      <c r="N899" s="808"/>
      <c r="O899" s="811"/>
      <c r="P899" s="808"/>
      <c r="Q899" s="812"/>
      <c r="R899" s="813"/>
      <c r="S899" s="812"/>
      <c r="T899" s="814"/>
      <c r="U899" s="815"/>
    </row>
    <row r="900" spans="1:256" s="602" customFormat="1" ht="11.4">
      <c r="A900" s="816">
        <v>2</v>
      </c>
      <c r="B900" s="817">
        <v>1</v>
      </c>
      <c r="C900" s="817">
        <f>$A900*$B900</f>
        <v>2</v>
      </c>
      <c r="D900" s="818" t="str">
        <f>Elec_Rates!$D$258</f>
        <v>013# Light fitting Type E4 - Installation Only</v>
      </c>
      <c r="E900" s="818"/>
      <c r="F900" s="818" t="s">
        <v>694</v>
      </c>
      <c r="G900" s="819" t="s">
        <v>696</v>
      </c>
      <c r="H900" s="819"/>
      <c r="I900" s="819"/>
      <c r="J900" s="819"/>
      <c r="K900" s="820"/>
      <c r="L900" s="815"/>
      <c r="M900" s="815"/>
      <c r="N900" s="815"/>
      <c r="O900" s="821"/>
      <c r="P900" s="818"/>
      <c r="Q900" s="822">
        <f ca="1">$B900*Elec_Rates!$R$258</f>
        <v>0</v>
      </c>
      <c r="R900" s="813">
        <f ca="1">$A900*Q900</f>
        <v>0</v>
      </c>
      <c r="S900" s="822">
        <f ca="1">$B900*Elec_Rates!$T$258</f>
        <v>0</v>
      </c>
      <c r="T900" s="814">
        <f ca="1">$A900*S900</f>
        <v>0</v>
      </c>
      <c r="U900" s="583"/>
      <c r="V900" s="713"/>
      <c r="W900" s="713"/>
      <c r="X900" s="713"/>
      <c r="Y900" s="713"/>
      <c r="Z900" s="713"/>
      <c r="AA900" s="713"/>
      <c r="AB900" s="713"/>
      <c r="AC900" s="713"/>
      <c r="AD900" s="713"/>
      <c r="AE900" s="713"/>
      <c r="AF900" s="713"/>
      <c r="AG900" s="713"/>
      <c r="AH900" s="713"/>
      <c r="AI900" s="713"/>
      <c r="AJ900" s="713"/>
      <c r="AK900" s="713"/>
      <c r="AL900" s="713"/>
      <c r="AM900" s="713"/>
      <c r="AN900" s="713"/>
      <c r="AO900" s="713"/>
      <c r="AP900" s="713"/>
      <c r="AQ900" s="713"/>
      <c r="AR900" s="713"/>
      <c r="AS900" s="713"/>
      <c r="AT900" s="713"/>
      <c r="AU900" s="713"/>
      <c r="AV900" s="713"/>
      <c r="AW900" s="713"/>
      <c r="AX900" s="713"/>
      <c r="AY900" s="713"/>
      <c r="AZ900" s="713"/>
      <c r="BA900" s="713"/>
      <c r="BB900" s="713"/>
      <c r="BC900" s="713"/>
      <c r="BD900" s="713"/>
      <c r="BE900" s="713"/>
      <c r="BF900" s="713"/>
      <c r="BG900" s="713"/>
      <c r="BH900" s="713"/>
      <c r="BI900" s="713"/>
      <c r="BJ900" s="713"/>
      <c r="BK900" s="713"/>
      <c r="BL900" s="713"/>
      <c r="BM900" s="713"/>
      <c r="BN900" s="713"/>
      <c r="BO900" s="713"/>
      <c r="BP900" s="713"/>
      <c r="BQ900" s="713"/>
      <c r="BR900" s="713"/>
      <c r="BS900" s="713"/>
      <c r="BT900" s="713"/>
      <c r="BU900" s="713"/>
      <c r="BV900" s="713"/>
      <c r="BW900" s="713"/>
      <c r="BX900" s="713"/>
      <c r="BY900" s="713"/>
      <c r="BZ900" s="713"/>
      <c r="CA900" s="713"/>
      <c r="CB900" s="713"/>
      <c r="CC900" s="713"/>
      <c r="CD900" s="713"/>
      <c r="CE900" s="713"/>
      <c r="CF900" s="713"/>
      <c r="CG900" s="713"/>
      <c r="CH900" s="713"/>
      <c r="CI900" s="713"/>
      <c r="CJ900" s="713"/>
      <c r="CK900" s="713"/>
      <c r="CL900" s="713"/>
      <c r="CM900" s="713"/>
      <c r="CN900" s="713"/>
      <c r="CO900" s="713"/>
      <c r="CP900" s="713"/>
      <c r="CQ900" s="713"/>
      <c r="CR900" s="713"/>
      <c r="CS900" s="713"/>
      <c r="CT900" s="713"/>
      <c r="CU900" s="713"/>
      <c r="CV900" s="713"/>
      <c r="CW900" s="713"/>
      <c r="CX900" s="713"/>
      <c r="CY900" s="713"/>
      <c r="CZ900" s="713"/>
      <c r="DA900" s="713"/>
      <c r="DB900" s="713"/>
      <c r="DC900" s="713"/>
      <c r="DD900" s="713"/>
      <c r="DE900" s="713"/>
      <c r="DF900" s="713"/>
      <c r="DG900" s="713"/>
      <c r="DH900" s="713"/>
      <c r="DI900" s="713"/>
      <c r="DJ900" s="713"/>
      <c r="DK900" s="713"/>
      <c r="DL900" s="713"/>
      <c r="DM900" s="713"/>
      <c r="DN900" s="713"/>
      <c r="DO900" s="713"/>
      <c r="DP900" s="713"/>
      <c r="DQ900" s="713"/>
      <c r="DR900" s="713"/>
      <c r="DS900" s="713"/>
      <c r="DT900" s="713"/>
      <c r="DU900" s="713"/>
      <c r="DV900" s="713"/>
      <c r="DW900" s="713"/>
      <c r="DX900" s="713"/>
      <c r="DY900" s="713"/>
      <c r="DZ900" s="713"/>
      <c r="EA900" s="713"/>
      <c r="EB900" s="713"/>
      <c r="EC900" s="713"/>
      <c r="ED900" s="713"/>
      <c r="EE900" s="713"/>
      <c r="EF900" s="713"/>
      <c r="EG900" s="713"/>
      <c r="EH900" s="713"/>
      <c r="EI900" s="713"/>
      <c r="EJ900" s="713"/>
      <c r="EK900" s="713"/>
      <c r="EL900" s="713"/>
      <c r="EM900" s="713"/>
      <c r="EN900" s="713"/>
      <c r="EO900" s="713"/>
      <c r="EP900" s="713"/>
      <c r="EQ900" s="713"/>
      <c r="ER900" s="713"/>
      <c r="ES900" s="713"/>
      <c r="ET900" s="713"/>
      <c r="EU900" s="713"/>
      <c r="EV900" s="713"/>
      <c r="EW900" s="713"/>
      <c r="EX900" s="713"/>
      <c r="EY900" s="713"/>
      <c r="EZ900" s="713"/>
      <c r="FA900" s="713"/>
      <c r="FB900" s="713"/>
      <c r="FC900" s="713"/>
      <c r="FD900" s="713"/>
      <c r="FE900" s="713"/>
      <c r="FF900" s="713"/>
      <c r="FG900" s="713"/>
      <c r="FH900" s="713"/>
      <c r="FI900" s="713"/>
      <c r="FJ900" s="713"/>
      <c r="FK900" s="713"/>
      <c r="FL900" s="713"/>
      <c r="FM900" s="713"/>
      <c r="FN900" s="713"/>
      <c r="FO900" s="713"/>
      <c r="FP900" s="713"/>
      <c r="FQ900" s="713"/>
      <c r="FR900" s="713"/>
      <c r="FS900" s="713"/>
      <c r="FT900" s="713"/>
      <c r="FU900" s="713"/>
      <c r="FV900" s="713"/>
      <c r="FW900" s="713"/>
      <c r="FX900" s="713"/>
      <c r="FY900" s="713"/>
      <c r="FZ900" s="713"/>
      <c r="GA900" s="713"/>
      <c r="GB900" s="713"/>
      <c r="GC900" s="713"/>
      <c r="GD900" s="713"/>
      <c r="GE900" s="713"/>
      <c r="GF900" s="713"/>
      <c r="GG900" s="713"/>
      <c r="GH900" s="713"/>
      <c r="GI900" s="713"/>
      <c r="GJ900" s="713"/>
      <c r="GK900" s="713"/>
      <c r="GL900" s="713"/>
      <c r="GM900" s="713"/>
      <c r="GN900" s="713"/>
      <c r="GO900" s="713"/>
      <c r="GP900" s="713"/>
      <c r="GQ900" s="713"/>
      <c r="GR900" s="713"/>
      <c r="GS900" s="713"/>
      <c r="GT900" s="713"/>
      <c r="GU900" s="713"/>
      <c r="GV900" s="713"/>
      <c r="GW900" s="713"/>
      <c r="GX900" s="713"/>
      <c r="GY900" s="713"/>
      <c r="GZ900" s="713"/>
      <c r="HA900" s="713"/>
      <c r="HB900" s="713"/>
      <c r="HC900" s="713"/>
      <c r="HD900" s="713"/>
      <c r="HE900" s="713"/>
      <c r="HF900" s="713"/>
      <c r="HG900" s="713"/>
      <c r="HH900" s="713"/>
      <c r="HI900" s="713"/>
      <c r="HJ900" s="713"/>
      <c r="HK900" s="713"/>
      <c r="HL900" s="713"/>
      <c r="HM900" s="713"/>
      <c r="HN900" s="713"/>
      <c r="HO900" s="713"/>
      <c r="HP900" s="713"/>
      <c r="HQ900" s="713"/>
      <c r="HR900" s="713"/>
      <c r="HS900" s="713"/>
      <c r="HT900" s="713"/>
      <c r="HU900" s="713"/>
      <c r="HV900" s="713"/>
      <c r="HW900" s="713"/>
      <c r="HX900" s="713"/>
      <c r="HY900" s="713"/>
      <c r="HZ900" s="713"/>
      <c r="IA900" s="713"/>
      <c r="IB900" s="713"/>
      <c r="IC900" s="713"/>
      <c r="ID900" s="713"/>
      <c r="IE900" s="713"/>
      <c r="IF900" s="713"/>
      <c r="IG900" s="713"/>
      <c r="IH900" s="713"/>
      <c r="II900" s="713"/>
      <c r="IJ900" s="713"/>
      <c r="IK900" s="713"/>
      <c r="IL900" s="713"/>
      <c r="IM900" s="713"/>
      <c r="IN900" s="713"/>
      <c r="IO900" s="713"/>
      <c r="IP900" s="713"/>
      <c r="IQ900" s="713"/>
      <c r="IR900" s="713"/>
      <c r="IS900" s="713"/>
      <c r="IT900" s="713"/>
      <c r="IU900" s="713"/>
      <c r="IV900" s="713"/>
    </row>
    <row r="901" spans="1:256" s="602" customFormat="1" ht="12">
      <c r="A901" s="663"/>
      <c r="B901" s="663"/>
      <c r="C901" s="663"/>
      <c r="D901" s="663"/>
      <c r="E901" s="663"/>
      <c r="F901" s="664"/>
      <c r="G901" s="663"/>
      <c r="H901" s="663"/>
      <c r="I901" s="601"/>
      <c r="J901" s="663"/>
      <c r="K901" s="663"/>
      <c r="L901" s="663"/>
      <c r="M901" s="663"/>
      <c r="N901" s="663"/>
      <c r="O901" s="663"/>
      <c r="P901" s="663"/>
      <c r="Q901" s="601"/>
      <c r="R901" s="666">
        <f>$A901*Q901</f>
        <v>0</v>
      </c>
      <c r="S901" s="601"/>
      <c r="T901" s="681">
        <f>$A901*S901*$T$1</f>
        <v>0</v>
      </c>
    </row>
    <row r="902" spans="1:256" s="602" customFormat="1" ht="12.6" thickBot="1">
      <c r="A902" s="682" t="s">
        <v>145</v>
      </c>
      <c r="B902" s="683">
        <f>(R901+T901)</f>
        <v>0</v>
      </c>
      <c r="C902" s="684"/>
      <c r="D902" s="684"/>
      <c r="E902" s="684"/>
      <c r="F902" s="685"/>
      <c r="G902" s="684" t="s">
        <v>146</v>
      </c>
      <c r="H902" s="684"/>
      <c r="I902" s="686"/>
      <c r="J902" s="684"/>
      <c r="K902" s="684" t="s">
        <v>3</v>
      </c>
      <c r="L902" s="687" t="s">
        <v>143</v>
      </c>
      <c r="M902" s="687"/>
      <c r="N902" s="687"/>
      <c r="O902" s="687"/>
      <c r="P902" s="687"/>
      <c r="Q902" s="688"/>
      <c r="R902" s="689">
        <f ca="1">SUM(R898:R901)</f>
        <v>0</v>
      </c>
      <c r="S902" s="684"/>
      <c r="T902" s="689">
        <f ca="1">SUM(T898:T901)</f>
        <v>0</v>
      </c>
      <c r="U902" s="611"/>
      <c r="V902" s="611"/>
      <c r="W902" s="611"/>
      <c r="X902" s="611"/>
      <c r="Y902" s="611"/>
      <c r="Z902" s="611"/>
      <c r="AA902" s="611"/>
      <c r="AB902" s="611"/>
      <c r="AC902" s="611"/>
      <c r="AD902" s="611"/>
      <c r="AE902" s="611"/>
      <c r="AF902" s="611"/>
      <c r="AG902" s="611"/>
      <c r="AH902" s="611"/>
      <c r="AI902" s="611"/>
      <c r="AJ902" s="611"/>
      <c r="AK902" s="611"/>
      <c r="AL902" s="611"/>
      <c r="AM902" s="611"/>
      <c r="AN902" s="611"/>
      <c r="AO902" s="611"/>
    </row>
    <row r="903" spans="1:256" s="602" customFormat="1" thickTop="1">
      <c r="A903" s="63"/>
      <c r="B903" s="63"/>
      <c r="C903" s="3"/>
      <c r="D903" s="3"/>
      <c r="E903" s="63"/>
      <c r="F903" s="63"/>
      <c r="G903" s="63"/>
      <c r="H903" s="63"/>
      <c r="I903" s="63"/>
      <c r="J903" s="63"/>
      <c r="K903" s="63" t="s">
        <v>134</v>
      </c>
      <c r="L903" s="63"/>
      <c r="M903" s="63"/>
      <c r="N903" s="63"/>
      <c r="O903" s="64"/>
      <c r="P903" s="63"/>
      <c r="Q903" s="63"/>
      <c r="R903" s="63"/>
      <c r="S903" s="63"/>
      <c r="T903" s="63"/>
    </row>
    <row r="904" spans="1:256" s="602" customFormat="1" ht="12">
      <c r="A904" s="63"/>
      <c r="B904" s="63"/>
      <c r="C904" s="63" t="s">
        <v>135</v>
      </c>
      <c r="D904" s="37"/>
      <c r="E904" s="63"/>
      <c r="F904" s="63"/>
      <c r="G904" s="63"/>
      <c r="H904" s="63"/>
      <c r="I904" s="63"/>
      <c r="J904" s="63"/>
      <c r="K904" s="63"/>
      <c r="L904" s="63"/>
      <c r="M904" s="63"/>
      <c r="N904" s="63"/>
      <c r="O904" s="64"/>
      <c r="P904" s="63"/>
      <c r="Q904" s="63"/>
      <c r="R904" s="63"/>
      <c r="S904" s="63"/>
      <c r="T904" s="63"/>
    </row>
    <row r="905" spans="1:256" s="3" customFormat="1" ht="13.2">
      <c r="A905" s="63"/>
      <c r="B905" s="63"/>
      <c r="C905" s="63"/>
      <c r="D905" s="37" t="s">
        <v>339</v>
      </c>
      <c r="E905" s="63"/>
      <c r="F905" s="63"/>
      <c r="G905" s="63"/>
      <c r="H905" s="63"/>
      <c r="I905" s="63"/>
      <c r="J905" s="63"/>
      <c r="K905" s="63"/>
      <c r="L905" s="63"/>
      <c r="M905" s="63"/>
      <c r="N905" s="63"/>
      <c r="O905" s="64"/>
      <c r="P905" s="63"/>
      <c r="Q905" s="63"/>
      <c r="R905" s="63"/>
      <c r="S905" s="38"/>
      <c r="T905" s="38"/>
      <c r="U905" s="602"/>
      <c r="V905" s="602"/>
      <c r="W905" s="602"/>
      <c r="X905" s="602"/>
      <c r="Y905" s="602"/>
      <c r="Z905" s="602"/>
      <c r="AA905" s="602"/>
      <c r="AB905" s="602"/>
      <c r="AC905" s="602"/>
      <c r="AD905" s="602"/>
      <c r="AE905" s="602"/>
      <c r="AF905" s="602"/>
      <c r="AG905" s="602"/>
      <c r="AH905" s="602"/>
      <c r="AI905" s="602"/>
      <c r="AJ905" s="602"/>
      <c r="AK905" s="602"/>
      <c r="AL905" s="602"/>
      <c r="AM905" s="602"/>
      <c r="AN905" s="602"/>
      <c r="AO905" s="602"/>
      <c r="AP905" s="602"/>
      <c r="AQ905" s="602"/>
      <c r="AR905" s="602"/>
      <c r="AS905" s="602"/>
      <c r="AT905" s="602"/>
      <c r="AU905" s="602"/>
      <c r="AV905" s="602"/>
      <c r="AW905" s="602"/>
      <c r="AX905" s="602"/>
      <c r="AY905" s="602"/>
      <c r="AZ905" s="602"/>
      <c r="BA905" s="602"/>
      <c r="BB905" s="602"/>
      <c r="BC905" s="602"/>
      <c r="BD905" s="602"/>
      <c r="BE905" s="602"/>
      <c r="BF905" s="602"/>
      <c r="BG905" s="602"/>
      <c r="BH905" s="602"/>
      <c r="BI905" s="602"/>
      <c r="BJ905" s="602"/>
      <c r="BK905" s="602"/>
      <c r="BL905" s="602"/>
      <c r="BM905" s="602"/>
      <c r="BN905" s="602"/>
      <c r="BO905" s="602"/>
      <c r="BP905" s="602"/>
      <c r="BQ905" s="602"/>
      <c r="BR905" s="602"/>
      <c r="BS905" s="602"/>
      <c r="BT905" s="602"/>
      <c r="BU905" s="602"/>
      <c r="BV905" s="602"/>
      <c r="BW905" s="602"/>
      <c r="BX905" s="602"/>
      <c r="BY905" s="602"/>
      <c r="BZ905" s="602"/>
      <c r="CA905" s="602"/>
      <c r="CB905" s="602"/>
      <c r="CC905" s="602"/>
      <c r="CD905" s="602"/>
      <c r="CE905" s="602"/>
      <c r="CF905" s="602"/>
      <c r="CG905" s="602"/>
      <c r="CH905" s="602"/>
      <c r="CI905" s="602"/>
      <c r="CJ905" s="602"/>
      <c r="CK905" s="602"/>
      <c r="CL905" s="602"/>
      <c r="CM905" s="602"/>
      <c r="CN905" s="602"/>
      <c r="CO905" s="602"/>
      <c r="CP905" s="602"/>
      <c r="CQ905" s="602"/>
      <c r="CR905" s="602"/>
      <c r="CS905" s="602"/>
      <c r="CT905" s="602"/>
      <c r="CU905" s="602"/>
      <c r="CV905" s="602"/>
      <c r="CW905" s="602"/>
      <c r="CX905" s="602"/>
      <c r="CY905" s="602"/>
      <c r="CZ905" s="602"/>
      <c r="DA905" s="602"/>
      <c r="DB905" s="602"/>
      <c r="DC905" s="602"/>
      <c r="DD905" s="602"/>
      <c r="DE905" s="602"/>
      <c r="DF905" s="602"/>
      <c r="DG905" s="602"/>
      <c r="DH905" s="602"/>
      <c r="DI905" s="602"/>
      <c r="DJ905" s="602"/>
      <c r="DK905" s="602"/>
      <c r="DL905" s="602"/>
      <c r="DM905" s="602"/>
      <c r="DN905" s="602"/>
      <c r="DO905" s="602"/>
      <c r="DP905" s="602"/>
      <c r="DQ905" s="602"/>
      <c r="DR905" s="602"/>
      <c r="DS905" s="602"/>
      <c r="DT905" s="602"/>
      <c r="DU905" s="602"/>
      <c r="DV905" s="602"/>
      <c r="DW905" s="602"/>
      <c r="DX905" s="602"/>
      <c r="DY905" s="602"/>
      <c r="DZ905" s="602"/>
      <c r="EA905" s="602"/>
      <c r="EB905" s="602"/>
      <c r="EC905" s="602"/>
      <c r="ED905" s="602"/>
      <c r="EE905" s="602"/>
      <c r="EF905" s="602"/>
      <c r="EG905" s="602"/>
      <c r="EH905" s="602"/>
      <c r="EI905" s="602"/>
      <c r="EJ905" s="602"/>
      <c r="EK905" s="602"/>
      <c r="EL905" s="602"/>
      <c r="EM905" s="602"/>
      <c r="EN905" s="602"/>
      <c r="EO905" s="602"/>
      <c r="EP905" s="602"/>
      <c r="EQ905" s="602"/>
      <c r="ER905" s="602"/>
      <c r="ES905" s="602"/>
      <c r="ET905" s="602"/>
      <c r="EU905" s="602"/>
      <c r="EV905" s="602"/>
      <c r="EW905" s="602"/>
      <c r="EX905" s="602"/>
      <c r="EY905" s="602"/>
      <c r="EZ905" s="602"/>
      <c r="FA905" s="602"/>
      <c r="FB905" s="602"/>
      <c r="FC905" s="602"/>
      <c r="FD905" s="602"/>
      <c r="FE905" s="602"/>
      <c r="FF905" s="602"/>
      <c r="FG905" s="602"/>
      <c r="FH905" s="602"/>
      <c r="FI905" s="602"/>
      <c r="FJ905" s="602"/>
      <c r="FK905" s="602"/>
      <c r="FL905" s="602"/>
      <c r="FM905" s="602"/>
      <c r="FN905" s="602"/>
      <c r="FO905" s="602"/>
      <c r="FP905" s="602"/>
      <c r="FQ905" s="602"/>
      <c r="FR905" s="602"/>
      <c r="FS905" s="602"/>
      <c r="FT905" s="602"/>
      <c r="FU905" s="602"/>
      <c r="FV905" s="602"/>
      <c r="FW905" s="602"/>
      <c r="FX905" s="602"/>
      <c r="FY905" s="602"/>
      <c r="FZ905" s="602"/>
      <c r="GA905" s="602"/>
      <c r="GB905" s="602"/>
      <c r="GC905" s="602"/>
      <c r="GD905" s="602"/>
      <c r="GE905" s="602"/>
      <c r="GF905" s="602"/>
      <c r="GG905" s="602"/>
      <c r="GH905" s="602"/>
      <c r="GI905" s="602"/>
      <c r="GJ905" s="602"/>
      <c r="GK905" s="602"/>
      <c r="GL905" s="602"/>
      <c r="GM905" s="602"/>
      <c r="GN905" s="602"/>
      <c r="GO905" s="602"/>
      <c r="GP905" s="602"/>
      <c r="GQ905" s="602"/>
      <c r="GR905" s="602"/>
      <c r="GS905" s="602"/>
      <c r="GT905" s="602"/>
      <c r="GU905" s="602"/>
      <c r="GV905" s="602"/>
      <c r="GW905" s="602"/>
      <c r="GX905" s="602"/>
      <c r="GY905" s="602"/>
      <c r="GZ905" s="602"/>
      <c r="HA905" s="602"/>
      <c r="HB905" s="602"/>
      <c r="HC905" s="602"/>
      <c r="HD905" s="602"/>
      <c r="HE905" s="602"/>
      <c r="HF905" s="602"/>
      <c r="HG905" s="602"/>
      <c r="HH905" s="602"/>
      <c r="HI905" s="602"/>
      <c r="HJ905" s="602"/>
      <c r="HK905" s="602"/>
      <c r="HL905" s="602"/>
      <c r="HM905" s="602"/>
      <c r="HN905" s="602"/>
      <c r="HO905" s="602"/>
      <c r="HP905" s="602"/>
      <c r="HQ905" s="602"/>
      <c r="HR905" s="602"/>
      <c r="HS905" s="602"/>
      <c r="HT905" s="602"/>
      <c r="HU905" s="602"/>
      <c r="HV905" s="602"/>
      <c r="HW905" s="602"/>
      <c r="HX905" s="602"/>
      <c r="HY905" s="602"/>
      <c r="HZ905" s="602"/>
      <c r="IA905" s="602"/>
      <c r="IB905" s="602"/>
      <c r="IC905" s="602"/>
      <c r="ID905" s="602"/>
      <c r="IE905" s="602"/>
      <c r="IF905" s="602"/>
      <c r="IG905" s="602"/>
      <c r="IH905" s="602"/>
      <c r="II905" s="602"/>
      <c r="IJ905" s="602"/>
      <c r="IK905" s="602"/>
      <c r="IL905" s="602"/>
      <c r="IM905" s="602"/>
      <c r="IN905" s="602"/>
      <c r="IO905" s="602"/>
      <c r="IP905" s="602"/>
      <c r="IQ905" s="602"/>
      <c r="IR905" s="602"/>
      <c r="IS905" s="602"/>
      <c r="IT905" s="602"/>
      <c r="IU905" s="602"/>
      <c r="IV905" s="602"/>
    </row>
    <row r="906" spans="1:256" s="602" customFormat="1" thickBot="1">
      <c r="A906" s="611"/>
      <c r="B906" s="3"/>
      <c r="C906" s="3"/>
      <c r="D906" s="3"/>
      <c r="E906" s="3"/>
      <c r="F906" s="3"/>
      <c r="G906" s="3"/>
      <c r="H906" s="3"/>
      <c r="I906" s="3"/>
      <c r="J906" s="3"/>
      <c r="K906" s="3"/>
      <c r="L906" s="3"/>
      <c r="M906" s="3"/>
      <c r="N906" s="3"/>
      <c r="O906" s="158"/>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c r="FA906" s="3"/>
      <c r="FB906" s="3"/>
      <c r="FC906" s="3"/>
      <c r="FD906" s="3"/>
      <c r="FE906" s="3"/>
      <c r="FF906" s="3"/>
      <c r="FG906" s="3"/>
      <c r="FH906" s="3"/>
      <c r="FI906" s="3"/>
      <c r="FJ906" s="3"/>
      <c r="FK906" s="3"/>
      <c r="FL906" s="3"/>
      <c r="FM906" s="3"/>
      <c r="FN906" s="3"/>
      <c r="FO906" s="3"/>
      <c r="FP906" s="3"/>
      <c r="FQ906" s="3"/>
      <c r="FR906" s="3"/>
      <c r="FS906" s="3"/>
      <c r="FT906" s="3"/>
      <c r="FU906" s="3"/>
      <c r="FV906" s="3"/>
      <c r="FW906" s="3"/>
      <c r="FX906" s="3"/>
      <c r="FY906" s="3"/>
      <c r="FZ906" s="3"/>
      <c r="GA906" s="3"/>
      <c r="GB906" s="3"/>
      <c r="GC906" s="3"/>
      <c r="GD906" s="3"/>
      <c r="GE906" s="3"/>
      <c r="GF906" s="3"/>
      <c r="GG906" s="3"/>
      <c r="GH906" s="3"/>
      <c r="GI906" s="3"/>
      <c r="GJ906" s="3"/>
      <c r="GK906" s="3"/>
      <c r="GL906" s="3"/>
      <c r="GM906" s="3"/>
      <c r="GN906" s="3"/>
      <c r="GO906" s="3"/>
      <c r="GP906" s="3"/>
      <c r="GQ906" s="3"/>
      <c r="GR906" s="3"/>
      <c r="GS906" s="3"/>
      <c r="GT906" s="3"/>
      <c r="GU906" s="3"/>
      <c r="GV906" s="3"/>
      <c r="GW906" s="3"/>
      <c r="GX906" s="3"/>
      <c r="GY906" s="3"/>
      <c r="GZ906" s="3"/>
      <c r="HA906" s="3"/>
      <c r="HB906" s="3"/>
      <c r="HC906" s="3"/>
      <c r="HD906" s="3"/>
      <c r="HE906" s="3"/>
      <c r="HF906" s="3"/>
      <c r="HG906" s="3"/>
      <c r="HH906" s="3"/>
      <c r="HI906" s="3"/>
      <c r="HJ906" s="3"/>
      <c r="HK906" s="3"/>
      <c r="HL906" s="3"/>
      <c r="HM906" s="3"/>
      <c r="HN906" s="3"/>
      <c r="HO906" s="3"/>
      <c r="HP906" s="3"/>
      <c r="HQ906" s="3"/>
      <c r="HR906" s="3"/>
      <c r="HS906" s="3"/>
      <c r="HT906" s="3"/>
      <c r="HU906" s="3"/>
      <c r="HV906" s="3"/>
      <c r="HW906" s="3"/>
      <c r="HX906" s="3"/>
      <c r="HY906" s="3"/>
      <c r="HZ906" s="3"/>
      <c r="IA906" s="3"/>
      <c r="IB906" s="3"/>
      <c r="IC906" s="3"/>
      <c r="ID906" s="3"/>
      <c r="IE906" s="3"/>
      <c r="IF906" s="3"/>
      <c r="IG906" s="3"/>
      <c r="IH906" s="3"/>
      <c r="II906" s="3"/>
      <c r="IJ906" s="3"/>
      <c r="IK906" s="3"/>
      <c r="IL906" s="3"/>
      <c r="IM906" s="3"/>
      <c r="IN906" s="3"/>
      <c r="IO906" s="3"/>
      <c r="IP906" s="3"/>
      <c r="IQ906" s="3"/>
      <c r="IR906" s="3"/>
      <c r="IS906" s="3"/>
      <c r="IT906" s="3"/>
      <c r="IU906" s="3"/>
      <c r="IV906" s="3"/>
    </row>
    <row r="907" spans="1:256" s="602" customFormat="1" thickTop="1">
      <c r="A907" s="63"/>
      <c r="B907" s="63"/>
      <c r="C907" s="3"/>
      <c r="D907" s="3"/>
      <c r="E907" s="63"/>
      <c r="F907" s="63"/>
      <c r="G907" s="63"/>
      <c r="H907" s="63"/>
      <c r="I907" s="63"/>
      <c r="J907" s="63"/>
      <c r="K907" s="63" t="s">
        <v>134</v>
      </c>
      <c r="L907" s="63"/>
      <c r="M907" s="63"/>
      <c r="N907" s="63"/>
      <c r="O907" s="64"/>
      <c r="P907" s="63"/>
      <c r="Q907" s="63"/>
      <c r="R907" s="63"/>
      <c r="S907" s="63"/>
      <c r="T907" s="63"/>
    </row>
    <row r="908" spans="1:256" s="602" customFormat="1" ht="12">
      <c r="A908" s="63"/>
      <c r="B908" s="63"/>
      <c r="C908" s="63" t="s">
        <v>135</v>
      </c>
      <c r="D908" s="37" t="s">
        <v>529</v>
      </c>
      <c r="E908" s="63"/>
      <c r="F908" s="63"/>
      <c r="G908" s="63"/>
      <c r="H908" s="63"/>
      <c r="I908" s="63"/>
      <c r="J908" s="63"/>
      <c r="K908" s="63"/>
      <c r="L908" s="63"/>
      <c r="M908" s="63"/>
      <c r="N908" s="63"/>
      <c r="O908" s="64"/>
      <c r="P908" s="63"/>
      <c r="Q908" s="63"/>
      <c r="R908" s="63"/>
      <c r="S908" s="63"/>
      <c r="T908" s="63"/>
    </row>
    <row r="909" spans="1:256" s="3" customFormat="1" ht="13.2">
      <c r="A909" s="63"/>
      <c r="B909" s="63"/>
      <c r="C909" s="63"/>
      <c r="D909" s="37" t="s">
        <v>466</v>
      </c>
      <c r="E909" s="63"/>
      <c r="F909" s="63"/>
      <c r="G909" s="63"/>
      <c r="H909" s="63"/>
      <c r="I909" s="63"/>
      <c r="J909" s="63"/>
      <c r="K909" s="63"/>
      <c r="L909" s="63"/>
      <c r="M909" s="63"/>
      <c r="N909" s="63"/>
      <c r="O909" s="64"/>
      <c r="P909" s="63"/>
      <c r="Q909" s="63"/>
      <c r="R909" s="63"/>
      <c r="S909" s="38"/>
      <c r="T909" s="38"/>
      <c r="U909" s="602"/>
      <c r="V909" s="602"/>
      <c r="W909" s="602"/>
      <c r="X909" s="602"/>
      <c r="Y909" s="602"/>
      <c r="Z909" s="602"/>
      <c r="AA909" s="602"/>
      <c r="AB909" s="602"/>
      <c r="AC909" s="602"/>
      <c r="AD909" s="602"/>
      <c r="AE909" s="602"/>
      <c r="AF909" s="602"/>
      <c r="AG909" s="602"/>
      <c r="AH909" s="602"/>
      <c r="AI909" s="602"/>
      <c r="AJ909" s="602"/>
      <c r="AK909" s="602"/>
      <c r="AL909" s="602"/>
      <c r="AM909" s="602"/>
      <c r="AN909" s="602"/>
      <c r="AO909" s="602"/>
      <c r="AP909" s="602"/>
      <c r="AQ909" s="602"/>
      <c r="AR909" s="602"/>
      <c r="AS909" s="602"/>
      <c r="AT909" s="602"/>
      <c r="AU909" s="602"/>
      <c r="AV909" s="602"/>
      <c r="AW909" s="602"/>
      <c r="AX909" s="602"/>
      <c r="AY909" s="602"/>
      <c r="AZ909" s="602"/>
      <c r="BA909" s="602"/>
      <c r="BB909" s="602"/>
      <c r="BC909" s="602"/>
      <c r="BD909" s="602"/>
      <c r="BE909" s="602"/>
      <c r="BF909" s="602"/>
      <c r="BG909" s="602"/>
      <c r="BH909" s="602"/>
      <c r="BI909" s="602"/>
      <c r="BJ909" s="602"/>
      <c r="BK909" s="602"/>
      <c r="BL909" s="602"/>
      <c r="BM909" s="602"/>
      <c r="BN909" s="602"/>
      <c r="BO909" s="602"/>
      <c r="BP909" s="602"/>
      <c r="BQ909" s="602"/>
      <c r="BR909" s="602"/>
      <c r="BS909" s="602"/>
      <c r="BT909" s="602"/>
      <c r="BU909" s="602"/>
      <c r="BV909" s="602"/>
      <c r="BW909" s="602"/>
      <c r="BX909" s="602"/>
      <c r="BY909" s="602"/>
      <c r="BZ909" s="602"/>
      <c r="CA909" s="602"/>
      <c r="CB909" s="602"/>
      <c r="CC909" s="602"/>
      <c r="CD909" s="602"/>
      <c r="CE909" s="602"/>
      <c r="CF909" s="602"/>
      <c r="CG909" s="602"/>
      <c r="CH909" s="602"/>
      <c r="CI909" s="602"/>
      <c r="CJ909" s="602"/>
      <c r="CK909" s="602"/>
      <c r="CL909" s="602"/>
      <c r="CM909" s="602"/>
      <c r="CN909" s="602"/>
      <c r="CO909" s="602"/>
      <c r="CP909" s="602"/>
      <c r="CQ909" s="602"/>
      <c r="CR909" s="602"/>
      <c r="CS909" s="602"/>
      <c r="CT909" s="602"/>
      <c r="CU909" s="602"/>
      <c r="CV909" s="602"/>
      <c r="CW909" s="602"/>
      <c r="CX909" s="602"/>
      <c r="CY909" s="602"/>
      <c r="CZ909" s="602"/>
      <c r="DA909" s="602"/>
      <c r="DB909" s="602"/>
      <c r="DC909" s="602"/>
      <c r="DD909" s="602"/>
      <c r="DE909" s="602"/>
      <c r="DF909" s="602"/>
      <c r="DG909" s="602"/>
      <c r="DH909" s="602"/>
      <c r="DI909" s="602"/>
      <c r="DJ909" s="602"/>
      <c r="DK909" s="602"/>
      <c r="DL909" s="602"/>
      <c r="DM909" s="602"/>
      <c r="DN909" s="602"/>
      <c r="DO909" s="602"/>
      <c r="DP909" s="602"/>
      <c r="DQ909" s="602"/>
      <c r="DR909" s="602"/>
      <c r="DS909" s="602"/>
      <c r="DT909" s="602"/>
      <c r="DU909" s="602"/>
      <c r="DV909" s="602"/>
      <c r="DW909" s="602"/>
      <c r="DX909" s="602"/>
      <c r="DY909" s="602"/>
      <c r="DZ909" s="602"/>
      <c r="EA909" s="602"/>
      <c r="EB909" s="602"/>
      <c r="EC909" s="602"/>
      <c r="ED909" s="602"/>
      <c r="EE909" s="602"/>
      <c r="EF909" s="602"/>
      <c r="EG909" s="602"/>
      <c r="EH909" s="602"/>
      <c r="EI909" s="602"/>
      <c r="EJ909" s="602"/>
      <c r="EK909" s="602"/>
      <c r="EL909" s="602"/>
      <c r="EM909" s="602"/>
      <c r="EN909" s="602"/>
      <c r="EO909" s="602"/>
      <c r="EP909" s="602"/>
      <c r="EQ909" s="602"/>
      <c r="ER909" s="602"/>
      <c r="ES909" s="602"/>
      <c r="ET909" s="602"/>
      <c r="EU909" s="602"/>
      <c r="EV909" s="602"/>
      <c r="EW909" s="602"/>
      <c r="EX909" s="602"/>
      <c r="EY909" s="602"/>
      <c r="EZ909" s="602"/>
      <c r="FA909" s="602"/>
      <c r="FB909" s="602"/>
      <c r="FC909" s="602"/>
      <c r="FD909" s="602"/>
      <c r="FE909" s="602"/>
      <c r="FF909" s="602"/>
      <c r="FG909" s="602"/>
      <c r="FH909" s="602"/>
      <c r="FI909" s="602"/>
      <c r="FJ909" s="602"/>
      <c r="FK909" s="602"/>
      <c r="FL909" s="602"/>
      <c r="FM909" s="602"/>
      <c r="FN909" s="602"/>
      <c r="FO909" s="602"/>
      <c r="FP909" s="602"/>
      <c r="FQ909" s="602"/>
      <c r="FR909" s="602"/>
      <c r="FS909" s="602"/>
      <c r="FT909" s="602"/>
      <c r="FU909" s="602"/>
      <c r="FV909" s="602"/>
      <c r="FW909" s="602"/>
      <c r="FX909" s="602"/>
      <c r="FY909" s="602"/>
      <c r="FZ909" s="602"/>
      <c r="GA909" s="602"/>
      <c r="GB909" s="602"/>
      <c r="GC909" s="602"/>
      <c r="GD909" s="602"/>
      <c r="GE909" s="602"/>
      <c r="GF909" s="602"/>
      <c r="GG909" s="602"/>
      <c r="GH909" s="602"/>
      <c r="GI909" s="602"/>
      <c r="GJ909" s="602"/>
      <c r="GK909" s="602"/>
      <c r="GL909" s="602"/>
      <c r="GM909" s="602"/>
      <c r="GN909" s="602"/>
      <c r="GO909" s="602"/>
      <c r="GP909" s="602"/>
      <c r="GQ909" s="602"/>
      <c r="GR909" s="602"/>
      <c r="GS909" s="602"/>
      <c r="GT909" s="602"/>
      <c r="GU909" s="602"/>
      <c r="GV909" s="602"/>
      <c r="GW909" s="602"/>
      <c r="GX909" s="602"/>
      <c r="GY909" s="602"/>
      <c r="GZ909" s="602"/>
      <c r="HA909" s="602"/>
      <c r="HB909" s="602"/>
      <c r="HC909" s="602"/>
      <c r="HD909" s="602"/>
      <c r="HE909" s="602"/>
      <c r="HF909" s="602"/>
      <c r="HG909" s="602"/>
      <c r="HH909" s="602"/>
      <c r="HI909" s="602"/>
      <c r="HJ909" s="602"/>
      <c r="HK909" s="602"/>
      <c r="HL909" s="602"/>
      <c r="HM909" s="602"/>
      <c r="HN909" s="602"/>
      <c r="HO909" s="602"/>
      <c r="HP909" s="602"/>
      <c r="HQ909" s="602"/>
      <c r="HR909" s="602"/>
      <c r="HS909" s="602"/>
      <c r="HT909" s="602"/>
      <c r="HU909" s="602"/>
      <c r="HV909" s="602"/>
      <c r="HW909" s="602"/>
      <c r="HX909" s="602"/>
      <c r="HY909" s="602"/>
      <c r="HZ909" s="602"/>
      <c r="IA909" s="602"/>
      <c r="IB909" s="602"/>
      <c r="IC909" s="602"/>
      <c r="ID909" s="602"/>
      <c r="IE909" s="602"/>
      <c r="IF909" s="602"/>
      <c r="IG909" s="602"/>
      <c r="IH909" s="602"/>
      <c r="II909" s="602"/>
      <c r="IJ909" s="602"/>
      <c r="IK909" s="602"/>
      <c r="IL909" s="602"/>
      <c r="IM909" s="602"/>
      <c r="IN909" s="602"/>
      <c r="IO909" s="602"/>
      <c r="IP909" s="602"/>
      <c r="IQ909" s="602"/>
      <c r="IR909" s="602"/>
      <c r="IS909" s="602"/>
      <c r="IT909" s="602"/>
      <c r="IU909" s="602"/>
      <c r="IV909" s="602"/>
    </row>
    <row r="910" spans="1:256" s="602" customFormat="1" thickBot="1">
      <c r="A910" s="611"/>
      <c r="B910" s="3"/>
      <c r="C910" s="3"/>
      <c r="D910" s="3"/>
      <c r="E910" s="3"/>
      <c r="F910" s="3"/>
      <c r="G910" s="3"/>
      <c r="H910" s="3"/>
      <c r="I910" s="3"/>
      <c r="J910" s="3"/>
      <c r="K910" s="3"/>
      <c r="L910" s="3"/>
      <c r="M910" s="3"/>
      <c r="N910" s="3"/>
      <c r="O910" s="158"/>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c r="FA910" s="3"/>
      <c r="FB910" s="3"/>
      <c r="FC910" s="3"/>
      <c r="FD910" s="3"/>
      <c r="FE910" s="3"/>
      <c r="FF910" s="3"/>
      <c r="FG910" s="3"/>
      <c r="FH910" s="3"/>
      <c r="FI910" s="3"/>
      <c r="FJ910" s="3"/>
      <c r="FK910" s="3"/>
      <c r="FL910" s="3"/>
      <c r="FM910" s="3"/>
      <c r="FN910" s="3"/>
      <c r="FO910" s="3"/>
      <c r="FP910" s="3"/>
      <c r="FQ910" s="3"/>
      <c r="FR910" s="3"/>
      <c r="FS910" s="3"/>
      <c r="FT910" s="3"/>
      <c r="FU910" s="3"/>
      <c r="FV910" s="3"/>
      <c r="FW910" s="3"/>
      <c r="FX910" s="3"/>
      <c r="FY910" s="3"/>
      <c r="FZ910" s="3"/>
      <c r="GA910" s="3"/>
      <c r="GB910" s="3"/>
      <c r="GC910" s="3"/>
      <c r="GD910" s="3"/>
      <c r="GE910" s="3"/>
      <c r="GF910" s="3"/>
      <c r="GG910" s="3"/>
      <c r="GH910" s="3"/>
      <c r="GI910" s="3"/>
      <c r="GJ910" s="3"/>
      <c r="GK910" s="3"/>
      <c r="GL910" s="3"/>
      <c r="GM910" s="3"/>
      <c r="GN910" s="3"/>
      <c r="GO910" s="3"/>
      <c r="GP910" s="3"/>
      <c r="GQ910" s="3"/>
      <c r="GR910" s="3"/>
      <c r="GS910" s="3"/>
      <c r="GT910" s="3"/>
      <c r="GU910" s="3"/>
      <c r="GV910" s="3"/>
      <c r="GW910" s="3"/>
      <c r="GX910" s="3"/>
      <c r="GY910" s="3"/>
      <c r="GZ910" s="3"/>
      <c r="HA910" s="3"/>
      <c r="HB910" s="3"/>
      <c r="HC910" s="3"/>
      <c r="HD910" s="3"/>
      <c r="HE910" s="3"/>
      <c r="HF910" s="3"/>
      <c r="HG910" s="3"/>
      <c r="HH910" s="3"/>
      <c r="HI910" s="3"/>
      <c r="HJ910" s="3"/>
      <c r="HK910" s="3"/>
      <c r="HL910" s="3"/>
      <c r="HM910" s="3"/>
      <c r="HN910" s="3"/>
      <c r="HO910" s="3"/>
      <c r="HP910" s="3"/>
      <c r="HQ910" s="3"/>
      <c r="HR910" s="3"/>
      <c r="HS910" s="3"/>
      <c r="HT910" s="3"/>
      <c r="HU910" s="3"/>
      <c r="HV910" s="3"/>
      <c r="HW910" s="3"/>
      <c r="HX910" s="3"/>
      <c r="HY910" s="3"/>
      <c r="HZ910" s="3"/>
      <c r="IA910" s="3"/>
      <c r="IB910" s="3"/>
      <c r="IC910" s="3"/>
      <c r="ID910" s="3"/>
      <c r="IE910" s="3"/>
      <c r="IF910" s="3"/>
      <c r="IG910" s="3"/>
      <c r="IH910" s="3"/>
      <c r="II910" s="3"/>
      <c r="IJ910" s="3"/>
      <c r="IK910" s="3"/>
      <c r="IL910" s="3"/>
      <c r="IM910" s="3"/>
      <c r="IN910" s="3"/>
      <c r="IO910" s="3"/>
      <c r="IP910" s="3"/>
      <c r="IQ910" s="3"/>
      <c r="IR910" s="3"/>
      <c r="IS910" s="3"/>
      <c r="IT910" s="3"/>
      <c r="IU910" s="3"/>
      <c r="IV910" s="3"/>
    </row>
    <row r="911" spans="1:256" s="602" customFormat="1" ht="12" customHeight="1" thickTop="1">
      <c r="A911" s="63"/>
      <c r="B911" s="41"/>
      <c r="C911" s="63"/>
      <c r="E911" s="42" t="s">
        <v>138</v>
      </c>
      <c r="F911" s="42" t="s">
        <v>139</v>
      </c>
      <c r="G911" s="63"/>
      <c r="H911" s="63"/>
      <c r="I911" s="63"/>
      <c r="J911" s="63"/>
      <c r="K911" s="63" t="s">
        <v>140</v>
      </c>
      <c r="L911" s="63"/>
      <c r="M911" s="63"/>
      <c r="N911" s="63"/>
      <c r="O911" s="64"/>
      <c r="P911" s="63"/>
      <c r="Q911" s="63"/>
      <c r="R911" s="63"/>
      <c r="S911" s="63"/>
      <c r="T911" s="41"/>
      <c r="AG911" s="667" t="s">
        <v>278</v>
      </c>
      <c r="AH911" s="667" t="s">
        <v>279</v>
      </c>
      <c r="AI911" s="667" t="s">
        <v>280</v>
      </c>
      <c r="AJ911" s="667" t="s">
        <v>281</v>
      </c>
      <c r="AK911" s="667" t="s">
        <v>282</v>
      </c>
      <c r="AM911" s="668" t="s">
        <v>291</v>
      </c>
      <c r="AN911" s="669" t="s">
        <v>292</v>
      </c>
      <c r="AO911" s="603" t="s">
        <v>288</v>
      </c>
    </row>
    <row r="912" spans="1:256" s="602" customFormat="1" ht="13.2">
      <c r="A912" s="670">
        <v>6</v>
      </c>
      <c r="B912" s="671" t="s">
        <v>320</v>
      </c>
      <c r="C912" s="672"/>
      <c r="D912" s="673" t="s">
        <v>530</v>
      </c>
      <c r="E912" s="674">
        <f ca="1">IF(AND($A912=0,$A$1="DIF"),0, ROUND(ROUND(($R921*$S$2+($T921*$T$2))/A912,2)*$C$2,2))</f>
        <v>12.64</v>
      </c>
      <c r="F912" s="675">
        <f ca="1">ROUND($A912*$E912,2)</f>
        <v>75.84</v>
      </c>
      <c r="G912" s="676" t="s">
        <v>142</v>
      </c>
      <c r="H912" s="664"/>
      <c r="I912" s="677"/>
      <c r="J912" s="664"/>
      <c r="K912" s="664" t="s">
        <v>3</v>
      </c>
      <c r="L912" s="678" t="s">
        <v>143</v>
      </c>
      <c r="M912" s="678"/>
      <c r="N912" s="678"/>
      <c r="O912" s="678"/>
      <c r="P912" s="678"/>
      <c r="Q912" s="63"/>
      <c r="T912" s="679" t="str">
        <f ca="1">IF(AND($R921=0,$T921=0),"0.00","mu :" &amp; ROUND($F912/$C$2/($R921+$T921*$D$9),2))</f>
        <v>mu :1.35</v>
      </c>
      <c r="W912" s="604"/>
      <c r="AG912" s="549">
        <f ca="1">IF($E912=0,0,ROUND($R921*$S$2*$C$2/$A912,2))</f>
        <v>4.6900000000000004</v>
      </c>
      <c r="AH912" s="549">
        <f ca="1">$AG912*$A912</f>
        <v>28.14</v>
      </c>
      <c r="AI912" s="605">
        <f ca="1">$E912-$AG912</f>
        <v>7.95</v>
      </c>
      <c r="AJ912" s="605">
        <f ca="1">$A912*$AI912</f>
        <v>47.7</v>
      </c>
      <c r="AK912" s="606">
        <f ca="1">ROUND(($AG912+$AI912)*$A912,2)</f>
        <v>75.84</v>
      </c>
      <c r="AM912" s="607">
        <f ca="1">ROUND(R921,2)</f>
        <v>21.42</v>
      </c>
      <c r="AN912" s="608">
        <f ca="1">ROUND(T921,2)</f>
        <v>1.32</v>
      </c>
      <c r="AO912" s="609">
        <f ca="1">ROUND(AM912+AN912,2)*A912</f>
        <v>136.44</v>
      </c>
    </row>
    <row r="913" spans="1:256" s="713" customFormat="1" ht="13.2">
      <c r="A913" s="672"/>
      <c r="B913"/>
      <c r="C913" s="672"/>
      <c r="D913" s="673" t="s">
        <v>354</v>
      </c>
      <c r="E913" s="602"/>
      <c r="F913" s="664"/>
      <c r="G913" s="3"/>
      <c r="H913" s="664"/>
      <c r="I913" s="677"/>
      <c r="J913" s="664"/>
      <c r="K913" s="664" t="s">
        <v>144</v>
      </c>
      <c r="L913" s="664"/>
      <c r="M913" s="664"/>
      <c r="N913" s="664"/>
      <c r="O913" s="664"/>
      <c r="P913" s="664"/>
      <c r="Q913" s="63"/>
      <c r="R913" s="610"/>
      <c r="S913" s="680"/>
      <c r="T913" s="664"/>
      <c r="U913" s="602"/>
      <c r="V913" s="602"/>
      <c r="W913" s="602"/>
      <c r="X913" s="602"/>
      <c r="Y913" s="602"/>
      <c r="Z913" s="602"/>
      <c r="AA913" s="602"/>
      <c r="AB913" s="602"/>
      <c r="AC913" s="602"/>
      <c r="AD913" s="602"/>
      <c r="AE913" s="602"/>
      <c r="AF913" s="602"/>
      <c r="AG913" s="602"/>
      <c r="AH913" s="602"/>
      <c r="AI913" s="602"/>
      <c r="AJ913" s="602"/>
      <c r="AK913" s="602"/>
      <c r="AL913" s="602"/>
      <c r="AM913" s="602"/>
      <c r="AN913" s="602"/>
      <c r="AO913" s="602"/>
      <c r="AP913" s="602"/>
      <c r="AQ913" s="602"/>
      <c r="AR913" s="602"/>
      <c r="AS913" s="602"/>
      <c r="AT913" s="602"/>
      <c r="AU913" s="602"/>
      <c r="AV913" s="602"/>
      <c r="AW913" s="602"/>
      <c r="AX913" s="602"/>
      <c r="AY913" s="602"/>
      <c r="AZ913" s="602"/>
      <c r="BA913" s="602"/>
      <c r="BB913" s="602"/>
      <c r="BC913" s="602"/>
      <c r="BD913" s="602"/>
      <c r="BE913" s="602"/>
      <c r="BF913" s="602"/>
      <c r="BG913" s="602"/>
      <c r="BH913" s="602"/>
      <c r="BI913" s="602"/>
      <c r="BJ913" s="602"/>
      <c r="BK913" s="602"/>
      <c r="BL913" s="602"/>
      <c r="BM913" s="602"/>
      <c r="BN913" s="602"/>
      <c r="BO913" s="602"/>
      <c r="BP913" s="602"/>
      <c r="BQ913" s="602"/>
      <c r="BR913" s="602"/>
      <c r="BS913" s="602"/>
      <c r="BT913" s="602"/>
      <c r="BU913" s="602"/>
      <c r="BV913" s="602"/>
      <c r="BW913" s="602"/>
      <c r="BX913" s="602"/>
      <c r="BY913" s="602"/>
      <c r="BZ913" s="602"/>
      <c r="CA913" s="602"/>
      <c r="CB913" s="602"/>
      <c r="CC913" s="602"/>
      <c r="CD913" s="602"/>
      <c r="CE913" s="602"/>
      <c r="CF913" s="602"/>
      <c r="CG913" s="602"/>
      <c r="CH913" s="602"/>
      <c r="CI913" s="602"/>
      <c r="CJ913" s="602"/>
      <c r="CK913" s="602"/>
      <c r="CL913" s="602"/>
      <c r="CM913" s="602"/>
      <c r="CN913" s="602"/>
      <c r="CO913" s="602"/>
      <c r="CP913" s="602"/>
      <c r="CQ913" s="602"/>
      <c r="CR913" s="602"/>
      <c r="CS913" s="602"/>
      <c r="CT913" s="602"/>
      <c r="CU913" s="602"/>
      <c r="CV913" s="602"/>
      <c r="CW913" s="602"/>
      <c r="CX913" s="602"/>
      <c r="CY913" s="602"/>
      <c r="CZ913" s="602"/>
      <c r="DA913" s="602"/>
      <c r="DB913" s="602"/>
      <c r="DC913" s="602"/>
      <c r="DD913" s="602"/>
      <c r="DE913" s="602"/>
      <c r="DF913" s="602"/>
      <c r="DG913" s="602"/>
      <c r="DH913" s="602"/>
      <c r="DI913" s="602"/>
      <c r="DJ913" s="602"/>
      <c r="DK913" s="602"/>
      <c r="DL913" s="602"/>
      <c r="DM913" s="602"/>
      <c r="DN913" s="602"/>
      <c r="DO913" s="602"/>
      <c r="DP913" s="602"/>
      <c r="DQ913" s="602"/>
      <c r="DR913" s="602"/>
      <c r="DS913" s="602"/>
      <c r="DT913" s="602"/>
      <c r="DU913" s="602"/>
      <c r="DV913" s="602"/>
      <c r="DW913" s="602"/>
      <c r="DX913" s="602"/>
      <c r="DY913" s="602"/>
      <c r="DZ913" s="602"/>
      <c r="EA913" s="602"/>
      <c r="EB913" s="602"/>
      <c r="EC913" s="602"/>
      <c r="ED913" s="602"/>
      <c r="EE913" s="602"/>
      <c r="EF913" s="602"/>
      <c r="EG913" s="602"/>
      <c r="EH913" s="602"/>
      <c r="EI913" s="602"/>
      <c r="EJ913" s="602"/>
      <c r="EK913" s="602"/>
      <c r="EL913" s="602"/>
      <c r="EM913" s="602"/>
      <c r="EN913" s="602"/>
      <c r="EO913" s="602"/>
      <c r="EP913" s="602"/>
      <c r="EQ913" s="602"/>
      <c r="ER913" s="602"/>
      <c r="ES913" s="602"/>
      <c r="ET913" s="602"/>
      <c r="EU913" s="602"/>
      <c r="EV913" s="602"/>
      <c r="EW913" s="602"/>
      <c r="EX913" s="602"/>
      <c r="EY913" s="602"/>
      <c r="EZ913" s="602"/>
      <c r="FA913" s="602"/>
      <c r="FB913" s="602"/>
      <c r="FC913" s="602"/>
      <c r="FD913" s="602"/>
      <c r="FE913" s="602"/>
      <c r="FF913" s="602"/>
      <c r="FG913" s="602"/>
      <c r="FH913" s="602"/>
      <c r="FI913" s="602"/>
      <c r="FJ913" s="602"/>
      <c r="FK913" s="602"/>
      <c r="FL913" s="602"/>
      <c r="FM913" s="602"/>
      <c r="FN913" s="602"/>
      <c r="FO913" s="602"/>
      <c r="FP913" s="602"/>
      <c r="FQ913" s="602"/>
      <c r="FR913" s="602"/>
      <c r="FS913" s="602"/>
      <c r="FT913" s="602"/>
      <c r="FU913" s="602"/>
      <c r="FV913" s="602"/>
      <c r="FW913" s="602"/>
      <c r="FX913" s="602"/>
      <c r="FY913" s="602"/>
      <c r="FZ913" s="602"/>
      <c r="GA913" s="602"/>
      <c r="GB913" s="602"/>
      <c r="GC913" s="602"/>
      <c r="GD913" s="602"/>
      <c r="GE913" s="602"/>
      <c r="GF913" s="602"/>
      <c r="GG913" s="602"/>
      <c r="GH913" s="602"/>
      <c r="GI913" s="602"/>
      <c r="GJ913" s="602"/>
      <c r="GK913" s="602"/>
      <c r="GL913" s="602"/>
      <c r="GM913" s="602"/>
      <c r="GN913" s="602"/>
      <c r="GO913" s="602"/>
      <c r="GP913" s="602"/>
      <c r="GQ913" s="602"/>
      <c r="GR913" s="602"/>
      <c r="GS913" s="602"/>
      <c r="GT913" s="602"/>
      <c r="GU913" s="602"/>
      <c r="GV913" s="602"/>
      <c r="GW913" s="602"/>
      <c r="GX913" s="602"/>
      <c r="GY913" s="602"/>
      <c r="GZ913" s="602"/>
      <c r="HA913" s="602"/>
      <c r="HB913" s="602"/>
      <c r="HC913" s="602"/>
      <c r="HD913" s="602"/>
      <c r="HE913" s="602"/>
      <c r="HF913" s="602"/>
      <c r="HG913" s="602"/>
      <c r="HH913" s="602"/>
      <c r="HI913" s="602"/>
      <c r="HJ913" s="602"/>
      <c r="HK913" s="602"/>
      <c r="HL913" s="602"/>
      <c r="HM913" s="602"/>
      <c r="HN913" s="602"/>
      <c r="HO913" s="602"/>
      <c r="HP913" s="602"/>
      <c r="HQ913" s="602"/>
      <c r="HR913" s="602"/>
      <c r="HS913" s="602"/>
      <c r="HT913" s="602"/>
      <c r="HU913" s="602"/>
      <c r="HV913" s="602"/>
      <c r="HW913" s="602"/>
      <c r="HX913" s="602"/>
      <c r="HY913" s="602"/>
      <c r="HZ913" s="602"/>
      <c r="IA913" s="602"/>
      <c r="IB913" s="602"/>
      <c r="IC913" s="602"/>
      <c r="ID913" s="602"/>
      <c r="IE913" s="602"/>
      <c r="IF913" s="602"/>
      <c r="IG913" s="602"/>
      <c r="IH913" s="602"/>
      <c r="II913" s="602"/>
      <c r="IJ913" s="602"/>
      <c r="IK913" s="602"/>
      <c r="IL913" s="602"/>
      <c r="IM913" s="602"/>
      <c r="IN913" s="602"/>
      <c r="IO913" s="602"/>
      <c r="IP913" s="602"/>
      <c r="IQ913" s="602"/>
      <c r="IR913" s="602"/>
      <c r="IS913" s="602"/>
      <c r="IT913" s="602"/>
      <c r="IU913" s="602"/>
      <c r="IV913" s="602"/>
    </row>
    <row r="914" spans="1:256" s="713" customFormat="1" ht="13.2">
      <c r="A914"/>
      <c r="B914" s="807"/>
      <c r="C914" s="807" t="s">
        <v>692</v>
      </c>
      <c r="D914" s="807" t="str">
        <f ca="1">CELL("Address",Elec_Rates!D$140)</f>
        <v>[E25_0477_IH_Retro_Elec_Est_Rev_A_AW.xlsx]Elec_Rates!$D$140</v>
      </c>
      <c r="E914" s="808"/>
      <c r="F914" s="808"/>
      <c r="G914" s="809" t="s">
        <v>693</v>
      </c>
      <c r="H914" s="809"/>
      <c r="I914" s="809"/>
      <c r="J914" s="809"/>
      <c r="K914" s="810"/>
      <c r="L914" s="808"/>
      <c r="M914" s="808"/>
      <c r="N914" s="808"/>
      <c r="O914" s="811"/>
      <c r="P914" s="808"/>
      <c r="Q914" s="812"/>
      <c r="R914" s="813"/>
      <c r="S914" s="812"/>
      <c r="T914" s="814"/>
      <c r="U914" s="815"/>
    </row>
    <row r="915" spans="1:256" s="730" customFormat="1" ht="11.4">
      <c r="A915" s="816">
        <v>6</v>
      </c>
      <c r="B915" s="817">
        <v>1</v>
      </c>
      <c r="C915" s="817">
        <f>$A915*$B915</f>
        <v>6</v>
      </c>
      <c r="D915" s="818" t="str">
        <f>Elec_Rates!$D$140</f>
        <v>002# Power points galvanised installation</v>
      </c>
      <c r="E915" s="818"/>
      <c r="F915" s="818" t="s">
        <v>694</v>
      </c>
      <c r="G915" s="819" t="s">
        <v>695</v>
      </c>
      <c r="H915" s="819"/>
      <c r="I915" s="819"/>
      <c r="J915" s="819"/>
      <c r="K915" s="820"/>
      <c r="L915" s="815"/>
      <c r="M915" s="815"/>
      <c r="N915" s="815"/>
      <c r="O915" s="821"/>
      <c r="P915" s="818"/>
      <c r="Q915" s="822">
        <f ca="1">$B915*Elec_Rates!$R$140</f>
        <v>0</v>
      </c>
      <c r="R915" s="813">
        <f t="shared" ref="R915:R920" ca="1" si="35">$A915*Q915</f>
        <v>0</v>
      </c>
      <c r="S915" s="822">
        <f ca="1">$B915*Elec_Rates!$T$140</f>
        <v>0</v>
      </c>
      <c r="T915" s="814">
        <f ca="1">$A915*S915</f>
        <v>0</v>
      </c>
      <c r="U915" s="583"/>
      <c r="V915" s="713"/>
      <c r="W915" s="713"/>
      <c r="X915" s="713"/>
      <c r="Y915" s="713"/>
      <c r="Z915" s="713"/>
      <c r="AA915" s="713"/>
      <c r="AB915" s="713"/>
      <c r="AC915" s="713"/>
      <c r="AD915" s="713"/>
      <c r="AE915" s="713"/>
      <c r="AF915" s="713"/>
      <c r="AG915" s="713"/>
      <c r="AH915" s="713"/>
      <c r="AI915" s="713"/>
      <c r="AJ915" s="713"/>
      <c r="AK915" s="713"/>
      <c r="AL915" s="713"/>
      <c r="AM915" s="713"/>
      <c r="AN915" s="713"/>
      <c r="AO915" s="713"/>
      <c r="AP915" s="713"/>
      <c r="AQ915" s="713"/>
      <c r="AR915" s="713"/>
      <c r="AS915" s="713"/>
      <c r="AT915" s="713"/>
      <c r="AU915" s="713"/>
      <c r="AV915" s="713"/>
      <c r="AW915" s="713"/>
      <c r="AX915" s="713"/>
      <c r="AY915" s="713"/>
      <c r="AZ915" s="713"/>
      <c r="BA915" s="713"/>
      <c r="BB915" s="713"/>
      <c r="BC915" s="713"/>
      <c r="BD915" s="713"/>
      <c r="BE915" s="713"/>
      <c r="BF915" s="713"/>
      <c r="BG915" s="713"/>
      <c r="BH915" s="713"/>
      <c r="BI915" s="713"/>
      <c r="BJ915" s="713"/>
      <c r="BK915" s="713"/>
      <c r="BL915" s="713"/>
      <c r="BM915" s="713"/>
      <c r="BN915" s="713"/>
      <c r="BO915" s="713"/>
      <c r="BP915" s="713"/>
      <c r="BQ915" s="713"/>
      <c r="BR915" s="713"/>
      <c r="BS915" s="713"/>
      <c r="BT915" s="713"/>
      <c r="BU915" s="713"/>
      <c r="BV915" s="713"/>
      <c r="BW915" s="713"/>
      <c r="BX915" s="713"/>
      <c r="BY915" s="713"/>
      <c r="BZ915" s="713"/>
      <c r="CA915" s="713"/>
      <c r="CB915" s="713"/>
      <c r="CC915" s="713"/>
      <c r="CD915" s="713"/>
      <c r="CE915" s="713"/>
      <c r="CF915" s="713"/>
      <c r="CG915" s="713"/>
      <c r="CH915" s="713"/>
      <c r="CI915" s="713"/>
      <c r="CJ915" s="713"/>
      <c r="CK915" s="713"/>
      <c r="CL915" s="713"/>
      <c r="CM915" s="713"/>
      <c r="CN915" s="713"/>
      <c r="CO915" s="713"/>
      <c r="CP915" s="713"/>
      <c r="CQ915" s="713"/>
      <c r="CR915" s="713"/>
      <c r="CS915" s="713"/>
      <c r="CT915" s="713"/>
      <c r="CU915" s="713"/>
      <c r="CV915" s="713"/>
      <c r="CW915" s="713"/>
      <c r="CX915" s="713"/>
      <c r="CY915" s="713"/>
      <c r="CZ915" s="713"/>
      <c r="DA915" s="713"/>
      <c r="DB915" s="713"/>
      <c r="DC915" s="713"/>
      <c r="DD915" s="713"/>
      <c r="DE915" s="713"/>
      <c r="DF915" s="713"/>
      <c r="DG915" s="713"/>
      <c r="DH915" s="713"/>
      <c r="DI915" s="713"/>
      <c r="DJ915" s="713"/>
      <c r="DK915" s="713"/>
      <c r="DL915" s="713"/>
      <c r="DM915" s="713"/>
      <c r="DN915" s="713"/>
      <c r="DO915" s="713"/>
      <c r="DP915" s="713"/>
      <c r="DQ915" s="713"/>
      <c r="DR915" s="713"/>
      <c r="DS915" s="713"/>
      <c r="DT915" s="713"/>
      <c r="DU915" s="713"/>
      <c r="DV915" s="713"/>
      <c r="DW915" s="713"/>
      <c r="DX915" s="713"/>
      <c r="DY915" s="713"/>
      <c r="DZ915" s="713"/>
      <c r="EA915" s="713"/>
      <c r="EB915" s="713"/>
      <c r="EC915" s="713"/>
      <c r="ED915" s="713"/>
      <c r="EE915" s="713"/>
      <c r="EF915" s="713"/>
      <c r="EG915" s="713"/>
      <c r="EH915" s="713"/>
      <c r="EI915" s="713"/>
      <c r="EJ915" s="713"/>
      <c r="EK915" s="713"/>
      <c r="EL915" s="713"/>
      <c r="EM915" s="713"/>
      <c r="EN915" s="713"/>
      <c r="EO915" s="713"/>
      <c r="EP915" s="713"/>
      <c r="EQ915" s="713"/>
      <c r="ER915" s="713"/>
      <c r="ES915" s="713"/>
      <c r="ET915" s="713"/>
      <c r="EU915" s="713"/>
      <c r="EV915" s="713"/>
      <c r="EW915" s="713"/>
      <c r="EX915" s="713"/>
      <c r="EY915" s="713"/>
      <c r="EZ915" s="713"/>
      <c r="FA915" s="713"/>
      <c r="FB915" s="713"/>
      <c r="FC915" s="713"/>
      <c r="FD915" s="713"/>
      <c r="FE915" s="713"/>
      <c r="FF915" s="713"/>
      <c r="FG915" s="713"/>
      <c r="FH915" s="713"/>
      <c r="FI915" s="713"/>
      <c r="FJ915" s="713"/>
      <c r="FK915" s="713"/>
      <c r="FL915" s="713"/>
      <c r="FM915" s="713"/>
      <c r="FN915" s="713"/>
      <c r="FO915" s="713"/>
      <c r="FP915" s="713"/>
      <c r="FQ915" s="713"/>
      <c r="FR915" s="713"/>
      <c r="FS915" s="713"/>
      <c r="FT915" s="713"/>
      <c r="FU915" s="713"/>
      <c r="FV915" s="713"/>
      <c r="FW915" s="713"/>
      <c r="FX915" s="713"/>
      <c r="FY915" s="713"/>
      <c r="FZ915" s="713"/>
      <c r="GA915" s="713"/>
      <c r="GB915" s="713"/>
      <c r="GC915" s="713"/>
      <c r="GD915" s="713"/>
      <c r="GE915" s="713"/>
      <c r="GF915" s="713"/>
      <c r="GG915" s="713"/>
      <c r="GH915" s="713"/>
      <c r="GI915" s="713"/>
      <c r="GJ915" s="713"/>
      <c r="GK915" s="713"/>
      <c r="GL915" s="713"/>
      <c r="GM915" s="713"/>
      <c r="GN915" s="713"/>
      <c r="GO915" s="713"/>
      <c r="GP915" s="713"/>
      <c r="GQ915" s="713"/>
      <c r="GR915" s="713"/>
      <c r="GS915" s="713"/>
      <c r="GT915" s="713"/>
      <c r="GU915" s="713"/>
      <c r="GV915" s="713"/>
      <c r="GW915" s="713"/>
      <c r="GX915" s="713"/>
      <c r="GY915" s="713"/>
      <c r="GZ915" s="713"/>
      <c r="HA915" s="713"/>
      <c r="HB915" s="713"/>
      <c r="HC915" s="713"/>
      <c r="HD915" s="713"/>
      <c r="HE915" s="713"/>
      <c r="HF915" s="713"/>
      <c r="HG915" s="713"/>
      <c r="HH915" s="713"/>
      <c r="HI915" s="713"/>
      <c r="HJ915" s="713"/>
      <c r="HK915" s="713"/>
      <c r="HL915" s="713"/>
      <c r="HM915" s="713"/>
      <c r="HN915" s="713"/>
      <c r="HO915" s="713"/>
      <c r="HP915" s="713"/>
      <c r="HQ915" s="713"/>
      <c r="HR915" s="713"/>
      <c r="HS915" s="713"/>
      <c r="HT915" s="713"/>
      <c r="HU915" s="713"/>
      <c r="HV915" s="713"/>
      <c r="HW915" s="713"/>
      <c r="HX915" s="713"/>
      <c r="HY915" s="713"/>
      <c r="HZ915" s="713"/>
      <c r="IA915" s="713"/>
      <c r="IB915" s="713"/>
      <c r="IC915" s="713"/>
      <c r="ID915" s="713"/>
      <c r="IE915" s="713"/>
      <c r="IF915" s="713"/>
      <c r="IG915" s="713"/>
      <c r="IH915" s="713"/>
      <c r="II915" s="713"/>
      <c r="IJ915" s="713"/>
      <c r="IK915" s="713"/>
      <c r="IL915" s="713"/>
      <c r="IM915" s="713"/>
      <c r="IN915" s="713"/>
      <c r="IO915" s="713"/>
      <c r="IP915" s="713"/>
      <c r="IQ915" s="713"/>
      <c r="IR915" s="713"/>
      <c r="IS915" s="713"/>
      <c r="IT915" s="713"/>
      <c r="IU915" s="713"/>
      <c r="IV915" s="713"/>
    </row>
    <row r="916" spans="1:256" s="730" customFormat="1" ht="13.2">
      <c r="A916" s="167">
        <v>6</v>
      </c>
      <c r="B916" s="730" t="s">
        <v>141</v>
      </c>
      <c r="D916" s="730" t="s">
        <v>757</v>
      </c>
      <c r="G916" s="731" t="s">
        <v>758</v>
      </c>
      <c r="H916" s="732">
        <v>705</v>
      </c>
      <c r="I916" s="730" t="s">
        <v>674</v>
      </c>
      <c r="O916" s="733">
        <v>3</v>
      </c>
      <c r="P916" s="734"/>
      <c r="Q916" s="735"/>
      <c r="R916" s="736">
        <f t="shared" si="35"/>
        <v>0</v>
      </c>
      <c r="S916" s="735">
        <v>0.17</v>
      </c>
      <c r="T916" s="737">
        <f>$A916*S916*$T$1</f>
        <v>1.02</v>
      </c>
    </row>
    <row r="917" spans="1:256" s="730" customFormat="1" ht="13.2">
      <c r="A917">
        <v>6</v>
      </c>
      <c r="B917" s="730" t="s">
        <v>141</v>
      </c>
      <c r="D917" s="730" t="s">
        <v>731</v>
      </c>
      <c r="G917" s="731" t="s">
        <v>732</v>
      </c>
      <c r="H917" s="732">
        <v>875</v>
      </c>
      <c r="I917" s="730" t="s">
        <v>674</v>
      </c>
      <c r="K917" s="730" t="s">
        <v>733</v>
      </c>
      <c r="O917" s="733">
        <v>3</v>
      </c>
      <c r="P917" s="734">
        <v>34820</v>
      </c>
      <c r="Q917" s="823">
        <v>3.49</v>
      </c>
      <c r="R917" s="736">
        <f t="shared" si="35"/>
        <v>20.94</v>
      </c>
      <c r="S917" s="735">
        <v>0.05</v>
      </c>
      <c r="T917" s="737">
        <f>$A917*S917*$T$1</f>
        <v>0.30000000000000004</v>
      </c>
    </row>
    <row r="918" spans="1:256" s="730" customFormat="1" ht="13.2">
      <c r="A918" s="167">
        <v>12</v>
      </c>
      <c r="B918" s="730" t="s">
        <v>141</v>
      </c>
      <c r="D918" s="730" t="s">
        <v>718</v>
      </c>
      <c r="G918" s="731" t="s">
        <v>719</v>
      </c>
      <c r="H918" s="732">
        <v>875</v>
      </c>
      <c r="I918" s="730" t="s">
        <v>674</v>
      </c>
      <c r="K918" s="730" t="s">
        <v>720</v>
      </c>
      <c r="O918" s="733">
        <v>1</v>
      </c>
      <c r="P918" s="734">
        <v>34669</v>
      </c>
      <c r="Q918" s="823">
        <v>0.02</v>
      </c>
      <c r="R918" s="736">
        <f t="shared" si="35"/>
        <v>0.24</v>
      </c>
      <c r="S918" s="735"/>
      <c r="T918" s="737">
        <f>$A918*S918*$T$1</f>
        <v>0</v>
      </c>
    </row>
    <row r="919" spans="1:256" s="602" customFormat="1" ht="13.2">
      <c r="A919" s="167">
        <v>12</v>
      </c>
      <c r="B919" s="730" t="s">
        <v>141</v>
      </c>
      <c r="C919" s="730"/>
      <c r="D919" s="730" t="s">
        <v>721</v>
      </c>
      <c r="E919" s="730"/>
      <c r="F919" s="730"/>
      <c r="G919" s="731" t="s">
        <v>722</v>
      </c>
      <c r="H919" s="732">
        <v>875</v>
      </c>
      <c r="I919" s="730" t="s">
        <v>674</v>
      </c>
      <c r="J919" s="730"/>
      <c r="K919" s="730" t="s">
        <v>723</v>
      </c>
      <c r="L919" s="730"/>
      <c r="M919" s="730"/>
      <c r="N919" s="730"/>
      <c r="O919" s="733">
        <v>1</v>
      </c>
      <c r="P919" s="734">
        <v>34669</v>
      </c>
      <c r="Q919" s="823">
        <v>0.02</v>
      </c>
      <c r="R919" s="736">
        <f t="shared" si="35"/>
        <v>0.24</v>
      </c>
      <c r="S919" s="735"/>
      <c r="T919" s="737">
        <f>$A919*S919*$T$1</f>
        <v>0</v>
      </c>
      <c r="U919" s="730"/>
      <c r="V919" s="730"/>
      <c r="W919" s="730"/>
      <c r="X919" s="730"/>
      <c r="Y919" s="730"/>
      <c r="Z919" s="730"/>
      <c r="AA919" s="730"/>
      <c r="AB919" s="730"/>
      <c r="AC919" s="730"/>
      <c r="AD919" s="730"/>
      <c r="AE919" s="730"/>
      <c r="AF919" s="730"/>
      <c r="AG919" s="730"/>
      <c r="AH919" s="730"/>
      <c r="AI919" s="730"/>
      <c r="AJ919" s="730"/>
      <c r="AK919" s="730"/>
      <c r="AL919" s="730"/>
      <c r="AM919" s="730"/>
      <c r="AN919" s="730"/>
      <c r="AO919" s="730"/>
      <c r="AP919" s="730"/>
      <c r="AQ919" s="730"/>
      <c r="AR919" s="730"/>
      <c r="AS919" s="730"/>
      <c r="AT919" s="730"/>
      <c r="AU919" s="730"/>
      <c r="AV919" s="730"/>
      <c r="AW919" s="730"/>
      <c r="AX919" s="730"/>
      <c r="AY919" s="730"/>
      <c r="AZ919" s="730"/>
      <c r="BA919" s="730"/>
      <c r="BB919" s="730"/>
      <c r="BC919" s="730"/>
      <c r="BD919" s="730"/>
      <c r="BE919" s="730"/>
      <c r="BF919" s="730"/>
      <c r="BG919" s="730"/>
      <c r="BH919" s="730"/>
      <c r="BI919" s="730"/>
      <c r="BJ919" s="730"/>
      <c r="BK919" s="730"/>
      <c r="BL919" s="730"/>
      <c r="BM919" s="730"/>
      <c r="BN919" s="730"/>
      <c r="BO919" s="730"/>
      <c r="BP919" s="730"/>
      <c r="BQ919" s="730"/>
      <c r="BR919" s="730"/>
      <c r="BS919" s="730"/>
      <c r="BT919" s="730"/>
      <c r="BU919" s="730"/>
      <c r="BV919" s="730"/>
      <c r="BW919" s="730"/>
      <c r="BX919" s="730"/>
      <c r="BY919" s="730"/>
      <c r="BZ919" s="730"/>
      <c r="CA919" s="730"/>
      <c r="CB919" s="730"/>
      <c r="CC919" s="730"/>
      <c r="CD919" s="730"/>
      <c r="CE919" s="730"/>
      <c r="CF919" s="730"/>
      <c r="CG919" s="730"/>
      <c r="CH919" s="730"/>
      <c r="CI919" s="730"/>
      <c r="CJ919" s="730"/>
      <c r="CK919" s="730"/>
      <c r="CL919" s="730"/>
      <c r="CM919" s="730"/>
      <c r="CN919" s="730"/>
      <c r="CO919" s="730"/>
      <c r="CP919" s="730"/>
      <c r="CQ919" s="730"/>
      <c r="CR919" s="730"/>
      <c r="CS919" s="730"/>
      <c r="CT919" s="730"/>
      <c r="CU919" s="730"/>
      <c r="CV919" s="730"/>
      <c r="CW919" s="730"/>
      <c r="CX919" s="730"/>
      <c r="CY919" s="730"/>
      <c r="CZ919" s="730"/>
      <c r="DA919" s="730"/>
      <c r="DB919" s="730"/>
      <c r="DC919" s="730"/>
      <c r="DD919" s="730"/>
      <c r="DE919" s="730"/>
      <c r="DF919" s="730"/>
      <c r="DG919" s="730"/>
      <c r="DH919" s="730"/>
      <c r="DI919" s="730"/>
      <c r="DJ919" s="730"/>
      <c r="DK919" s="730"/>
      <c r="DL919" s="730"/>
      <c r="DM919" s="730"/>
      <c r="DN919" s="730"/>
      <c r="DO919" s="730"/>
      <c r="DP919" s="730"/>
      <c r="DQ919" s="730"/>
      <c r="DR919" s="730"/>
      <c r="DS919" s="730"/>
      <c r="DT919" s="730"/>
      <c r="DU919" s="730"/>
      <c r="DV919" s="730"/>
      <c r="DW919" s="730"/>
      <c r="DX919" s="730"/>
      <c r="DY919" s="730"/>
      <c r="DZ919" s="730"/>
      <c r="EA919" s="730"/>
      <c r="EB919" s="730"/>
      <c r="EC919" s="730"/>
      <c r="ED919" s="730"/>
      <c r="EE919" s="730"/>
      <c r="EF919" s="730"/>
      <c r="EG919" s="730"/>
      <c r="EH919" s="730"/>
      <c r="EI919" s="730"/>
      <c r="EJ919" s="730"/>
      <c r="EK919" s="730"/>
      <c r="EL919" s="730"/>
      <c r="EM919" s="730"/>
      <c r="EN919" s="730"/>
      <c r="EO919" s="730"/>
      <c r="EP919" s="730"/>
      <c r="EQ919" s="730"/>
      <c r="ER919" s="730"/>
      <c r="ES919" s="730"/>
      <c r="ET919" s="730"/>
      <c r="EU919" s="730"/>
      <c r="EV919" s="730"/>
      <c r="EW919" s="730"/>
      <c r="EX919" s="730"/>
      <c r="EY919" s="730"/>
      <c r="EZ919" s="730"/>
      <c r="FA919" s="730"/>
      <c r="FB919" s="730"/>
      <c r="FC919" s="730"/>
      <c r="FD919" s="730"/>
      <c r="FE919" s="730"/>
      <c r="FF919" s="730"/>
      <c r="FG919" s="730"/>
      <c r="FH919" s="730"/>
      <c r="FI919" s="730"/>
      <c r="FJ919" s="730"/>
      <c r="FK919" s="730"/>
      <c r="FL919" s="730"/>
      <c r="FM919" s="730"/>
      <c r="FN919" s="730"/>
      <c r="FO919" s="730"/>
      <c r="FP919" s="730"/>
      <c r="FQ919" s="730"/>
      <c r="FR919" s="730"/>
      <c r="FS919" s="730"/>
      <c r="FT919" s="730"/>
      <c r="FU919" s="730"/>
      <c r="FV919" s="730"/>
      <c r="FW919" s="730"/>
      <c r="FX919" s="730"/>
      <c r="FY919" s="730"/>
      <c r="FZ919" s="730"/>
      <c r="GA919" s="730"/>
      <c r="GB919" s="730"/>
      <c r="GC919" s="730"/>
      <c r="GD919" s="730"/>
      <c r="GE919" s="730"/>
      <c r="GF919" s="730"/>
      <c r="GG919" s="730"/>
      <c r="GH919" s="730"/>
      <c r="GI919" s="730"/>
      <c r="GJ919" s="730"/>
      <c r="GK919" s="730"/>
      <c r="GL919" s="730"/>
      <c r="GM919" s="730"/>
      <c r="GN919" s="730"/>
      <c r="GO919" s="730"/>
      <c r="GP919" s="730"/>
      <c r="GQ919" s="730"/>
      <c r="GR919" s="730"/>
      <c r="GS919" s="730"/>
      <c r="GT919" s="730"/>
      <c r="GU919" s="730"/>
      <c r="GV919" s="730"/>
      <c r="GW919" s="730"/>
      <c r="GX919" s="730"/>
      <c r="GY919" s="730"/>
      <c r="GZ919" s="730"/>
      <c r="HA919" s="730"/>
      <c r="HB919" s="730"/>
      <c r="HC919" s="730"/>
      <c r="HD919" s="730"/>
      <c r="HE919" s="730"/>
      <c r="HF919" s="730"/>
      <c r="HG919" s="730"/>
      <c r="HH919" s="730"/>
      <c r="HI919" s="730"/>
      <c r="HJ919" s="730"/>
      <c r="HK919" s="730"/>
      <c r="HL919" s="730"/>
      <c r="HM919" s="730"/>
      <c r="HN919" s="730"/>
      <c r="HO919" s="730"/>
      <c r="HP919" s="730"/>
      <c r="HQ919" s="730"/>
      <c r="HR919" s="730"/>
      <c r="HS919" s="730"/>
      <c r="HT919" s="730"/>
      <c r="HU919" s="730"/>
      <c r="HV919" s="730"/>
      <c r="HW919" s="730"/>
      <c r="HX919" s="730"/>
      <c r="HY919" s="730"/>
      <c r="HZ919" s="730"/>
      <c r="IA919" s="730"/>
      <c r="IB919" s="730"/>
      <c r="IC919" s="730"/>
      <c r="ID919" s="730"/>
      <c r="IE919" s="730"/>
      <c r="IF919" s="730"/>
      <c r="IG919" s="730"/>
      <c r="IH919" s="730"/>
      <c r="II919" s="730"/>
      <c r="IJ919" s="730"/>
      <c r="IK919" s="730"/>
      <c r="IL919" s="730"/>
      <c r="IM919" s="730"/>
      <c r="IN919" s="730"/>
      <c r="IO919" s="730"/>
      <c r="IP919" s="730"/>
      <c r="IQ919" s="730"/>
      <c r="IR919" s="730"/>
      <c r="IS919" s="730"/>
      <c r="IT919" s="730"/>
      <c r="IU919" s="730"/>
      <c r="IV919" s="730"/>
    </row>
    <row r="920" spans="1:256" s="602" customFormat="1" ht="12">
      <c r="A920" s="663"/>
      <c r="B920" s="663"/>
      <c r="C920" s="663"/>
      <c r="D920" s="663"/>
      <c r="E920" s="663"/>
      <c r="F920" s="664"/>
      <c r="G920" s="663"/>
      <c r="H920" s="663"/>
      <c r="I920" s="601"/>
      <c r="J920" s="663"/>
      <c r="K920" s="663"/>
      <c r="L920" s="663"/>
      <c r="M920" s="663"/>
      <c r="N920" s="663"/>
      <c r="O920" s="663"/>
      <c r="P920" s="663"/>
      <c r="Q920" s="601"/>
      <c r="R920" s="666">
        <f t="shared" si="35"/>
        <v>0</v>
      </c>
      <c r="S920" s="601"/>
      <c r="T920" s="681">
        <f>$A920*S920*$T$1</f>
        <v>0</v>
      </c>
    </row>
    <row r="921" spans="1:256" s="602" customFormat="1" ht="12.6" thickBot="1">
      <c r="A921" s="682" t="s">
        <v>145</v>
      </c>
      <c r="B921" s="683">
        <f>(R920+T920)</f>
        <v>0</v>
      </c>
      <c r="C921" s="684"/>
      <c r="D921" s="684"/>
      <c r="E921" s="684"/>
      <c r="F921" s="685"/>
      <c r="G921" s="684" t="s">
        <v>146</v>
      </c>
      <c r="H921" s="684"/>
      <c r="I921" s="686"/>
      <c r="J921" s="684"/>
      <c r="K921" s="684" t="s">
        <v>3</v>
      </c>
      <c r="L921" s="687" t="s">
        <v>143</v>
      </c>
      <c r="M921" s="687"/>
      <c r="N921" s="687"/>
      <c r="O921" s="687"/>
      <c r="P921" s="687"/>
      <c r="Q921" s="688"/>
      <c r="R921" s="689">
        <f ca="1">SUM(R913:R920)</f>
        <v>21.419999999999998</v>
      </c>
      <c r="S921" s="684"/>
      <c r="T921" s="689">
        <f ca="1">SUM(T913:T920)</f>
        <v>1.32</v>
      </c>
      <c r="U921" s="611"/>
      <c r="V921" s="611"/>
      <c r="W921" s="611"/>
      <c r="X921" s="611"/>
      <c r="Y921" s="611"/>
      <c r="Z921" s="611"/>
      <c r="AA921" s="611"/>
      <c r="AB921" s="611"/>
      <c r="AC921" s="611"/>
      <c r="AD921" s="611"/>
      <c r="AE921" s="611"/>
      <c r="AF921" s="611"/>
      <c r="AG921" s="611"/>
      <c r="AH921" s="611"/>
      <c r="AI921" s="611"/>
      <c r="AJ921" s="611"/>
      <c r="AK921" s="611"/>
      <c r="AL921" s="611"/>
      <c r="AM921" s="611"/>
      <c r="AN921" s="611"/>
      <c r="AO921" s="611"/>
    </row>
    <row r="922" spans="1:256" s="602" customFormat="1" ht="12" customHeight="1" thickTop="1">
      <c r="A922" s="63"/>
      <c r="B922" s="41"/>
      <c r="C922" s="63"/>
      <c r="E922" s="42" t="s">
        <v>138</v>
      </c>
      <c r="F922" s="42" t="s">
        <v>139</v>
      </c>
      <c r="G922" s="63"/>
      <c r="H922" s="63"/>
      <c r="I922" s="63"/>
      <c r="J922" s="63"/>
      <c r="K922" s="63" t="s">
        <v>140</v>
      </c>
      <c r="L922" s="63"/>
      <c r="M922" s="63"/>
      <c r="N922" s="63"/>
      <c r="O922" s="64"/>
      <c r="P922" s="63"/>
      <c r="Q922" s="63"/>
      <c r="R922" s="63"/>
      <c r="S922" s="63"/>
      <c r="T922" s="41"/>
      <c r="AG922" s="667" t="s">
        <v>278</v>
      </c>
      <c r="AH922" s="667" t="s">
        <v>279</v>
      </c>
      <c r="AI922" s="667" t="s">
        <v>280</v>
      </c>
      <c r="AJ922" s="667" t="s">
        <v>281</v>
      </c>
      <c r="AK922" s="667" t="s">
        <v>282</v>
      </c>
      <c r="AM922" s="668" t="s">
        <v>291</v>
      </c>
      <c r="AN922" s="669" t="s">
        <v>292</v>
      </c>
      <c r="AO922" s="603" t="s">
        <v>288</v>
      </c>
    </row>
    <row r="923" spans="1:256" s="602" customFormat="1" ht="13.2">
      <c r="A923" s="670">
        <v>2</v>
      </c>
      <c r="B923" s="671" t="s">
        <v>320</v>
      </c>
      <c r="C923" s="672"/>
      <c r="D923" s="673" t="s">
        <v>531</v>
      </c>
      <c r="E923" s="674">
        <f ca="1">IF(AND($A923=0,$A$1="DIF"),0, ROUND(ROUND(($R928*$S$2+($T928*$T$2))/A923,2)*$C$2,2))</f>
        <v>0</v>
      </c>
      <c r="F923" s="675">
        <f ca="1">ROUND($A923*$E923,2)</f>
        <v>0</v>
      </c>
      <c r="G923" s="676" t="s">
        <v>142</v>
      </c>
      <c r="H923" s="664"/>
      <c r="I923" s="677"/>
      <c r="J923" s="664"/>
      <c r="K923" s="664" t="s">
        <v>3</v>
      </c>
      <c r="L923" s="678" t="s">
        <v>143</v>
      </c>
      <c r="M923" s="678"/>
      <c r="N923" s="678"/>
      <c r="O923" s="678"/>
      <c r="P923" s="678"/>
      <c r="Q923" s="63"/>
      <c r="T923" s="679" t="str">
        <f ca="1">IF(AND($R928=0,$T928=0),"0.00","mu :" &amp; ROUND($F923/$C$2/($R928+$T928*$D$9),2))</f>
        <v>0.00</v>
      </c>
      <c r="W923" s="604"/>
      <c r="AG923" s="549">
        <f ca="1">IF($E923=0,0,ROUND($R928*$S$2*$C$2/$A923,2))</f>
        <v>0</v>
      </c>
      <c r="AH923" s="549">
        <f ca="1">$AG923*$A923</f>
        <v>0</v>
      </c>
      <c r="AI923" s="605">
        <f ca="1">$E923-$AG923</f>
        <v>0</v>
      </c>
      <c r="AJ923" s="605">
        <f ca="1">$A923*$AI923</f>
        <v>0</v>
      </c>
      <c r="AK923" s="606">
        <f ca="1">ROUND(($AG923+$AI923)*$A923,2)</f>
        <v>0</v>
      </c>
      <c r="AM923" s="607">
        <f ca="1">ROUND(R928,2)</f>
        <v>0</v>
      </c>
      <c r="AN923" s="608">
        <f ca="1">ROUND(T928,2)</f>
        <v>0</v>
      </c>
      <c r="AO923" s="609">
        <f ca="1">ROUND(AM923+AN923,2)*A923</f>
        <v>0</v>
      </c>
    </row>
    <row r="924" spans="1:256" s="713" customFormat="1" ht="13.2">
      <c r="A924" s="672"/>
      <c r="B924"/>
      <c r="C924" s="672"/>
      <c r="D924" s="673" t="s">
        <v>342</v>
      </c>
      <c r="E924" s="602"/>
      <c r="F924" s="664"/>
      <c r="G924" s="3"/>
      <c r="H924" s="664"/>
      <c r="I924" s="677"/>
      <c r="J924" s="664"/>
      <c r="K924" s="664" t="s">
        <v>144</v>
      </c>
      <c r="L924" s="664"/>
      <c r="M924" s="664"/>
      <c r="N924" s="664"/>
      <c r="O924" s="664"/>
      <c r="P924" s="664"/>
      <c r="Q924" s="63"/>
      <c r="R924" s="610"/>
      <c r="S924" s="680"/>
      <c r="T924" s="664"/>
      <c r="U924" s="602"/>
      <c r="V924" s="602"/>
      <c r="W924" s="602"/>
      <c r="X924" s="602"/>
      <c r="Y924" s="602"/>
      <c r="Z924" s="602"/>
      <c r="AA924" s="602"/>
      <c r="AB924" s="602"/>
      <c r="AC924" s="602"/>
      <c r="AD924" s="602"/>
      <c r="AE924" s="602"/>
      <c r="AF924" s="602"/>
      <c r="AG924" s="602"/>
      <c r="AH924" s="602"/>
      <c r="AI924" s="602"/>
      <c r="AJ924" s="602"/>
      <c r="AK924" s="602"/>
      <c r="AL924" s="602"/>
      <c r="AM924" s="602"/>
      <c r="AN924" s="602"/>
      <c r="AO924" s="602"/>
      <c r="AP924" s="602"/>
      <c r="AQ924" s="602"/>
      <c r="AR924" s="602"/>
      <c r="AS924" s="602"/>
      <c r="AT924" s="602"/>
      <c r="AU924" s="602"/>
      <c r="AV924" s="602"/>
      <c r="AW924" s="602"/>
      <c r="AX924" s="602"/>
      <c r="AY924" s="602"/>
      <c r="AZ924" s="602"/>
      <c r="BA924" s="602"/>
      <c r="BB924" s="602"/>
      <c r="BC924" s="602"/>
      <c r="BD924" s="602"/>
      <c r="BE924" s="602"/>
      <c r="BF924" s="602"/>
      <c r="BG924" s="602"/>
      <c r="BH924" s="602"/>
      <c r="BI924" s="602"/>
      <c r="BJ924" s="602"/>
      <c r="BK924" s="602"/>
      <c r="BL924" s="602"/>
      <c r="BM924" s="602"/>
      <c r="BN924" s="602"/>
      <c r="BO924" s="602"/>
      <c r="BP924" s="602"/>
      <c r="BQ924" s="602"/>
      <c r="BR924" s="602"/>
      <c r="BS924" s="602"/>
      <c r="BT924" s="602"/>
      <c r="BU924" s="602"/>
      <c r="BV924" s="602"/>
      <c r="BW924" s="602"/>
      <c r="BX924" s="602"/>
      <c r="BY924" s="602"/>
      <c r="BZ924" s="602"/>
      <c r="CA924" s="602"/>
      <c r="CB924" s="602"/>
      <c r="CC924" s="602"/>
      <c r="CD924" s="602"/>
      <c r="CE924" s="602"/>
      <c r="CF924" s="602"/>
      <c r="CG924" s="602"/>
      <c r="CH924" s="602"/>
      <c r="CI924" s="602"/>
      <c r="CJ924" s="602"/>
      <c r="CK924" s="602"/>
      <c r="CL924" s="602"/>
      <c r="CM924" s="602"/>
      <c r="CN924" s="602"/>
      <c r="CO924" s="602"/>
      <c r="CP924" s="602"/>
      <c r="CQ924" s="602"/>
      <c r="CR924" s="602"/>
      <c r="CS924" s="602"/>
      <c r="CT924" s="602"/>
      <c r="CU924" s="602"/>
      <c r="CV924" s="602"/>
      <c r="CW924" s="602"/>
      <c r="CX924" s="602"/>
      <c r="CY924" s="602"/>
      <c r="CZ924" s="602"/>
      <c r="DA924" s="602"/>
      <c r="DB924" s="602"/>
      <c r="DC924" s="602"/>
      <c r="DD924" s="602"/>
      <c r="DE924" s="602"/>
      <c r="DF924" s="602"/>
      <c r="DG924" s="602"/>
      <c r="DH924" s="602"/>
      <c r="DI924" s="602"/>
      <c r="DJ924" s="602"/>
      <c r="DK924" s="602"/>
      <c r="DL924" s="602"/>
      <c r="DM924" s="602"/>
      <c r="DN924" s="602"/>
      <c r="DO924" s="602"/>
      <c r="DP924" s="602"/>
      <c r="DQ924" s="602"/>
      <c r="DR924" s="602"/>
      <c r="DS924" s="602"/>
      <c r="DT924" s="602"/>
      <c r="DU924" s="602"/>
      <c r="DV924" s="602"/>
      <c r="DW924" s="602"/>
      <c r="DX924" s="602"/>
      <c r="DY924" s="602"/>
      <c r="DZ924" s="602"/>
      <c r="EA924" s="602"/>
      <c r="EB924" s="602"/>
      <c r="EC924" s="602"/>
      <c r="ED924" s="602"/>
      <c r="EE924" s="602"/>
      <c r="EF924" s="602"/>
      <c r="EG924" s="602"/>
      <c r="EH924" s="602"/>
      <c r="EI924" s="602"/>
      <c r="EJ924" s="602"/>
      <c r="EK924" s="602"/>
      <c r="EL924" s="602"/>
      <c r="EM924" s="602"/>
      <c r="EN924" s="602"/>
      <c r="EO924" s="602"/>
      <c r="EP924" s="602"/>
      <c r="EQ924" s="602"/>
      <c r="ER924" s="602"/>
      <c r="ES924" s="602"/>
      <c r="ET924" s="602"/>
      <c r="EU924" s="602"/>
      <c r="EV924" s="602"/>
      <c r="EW924" s="602"/>
      <c r="EX924" s="602"/>
      <c r="EY924" s="602"/>
      <c r="EZ924" s="602"/>
      <c r="FA924" s="602"/>
      <c r="FB924" s="602"/>
      <c r="FC924" s="602"/>
      <c r="FD924" s="602"/>
      <c r="FE924" s="602"/>
      <c r="FF924" s="602"/>
      <c r="FG924" s="602"/>
      <c r="FH924" s="602"/>
      <c r="FI924" s="602"/>
      <c r="FJ924" s="602"/>
      <c r="FK924" s="602"/>
      <c r="FL924" s="602"/>
      <c r="FM924" s="602"/>
      <c r="FN924" s="602"/>
      <c r="FO924" s="602"/>
      <c r="FP924" s="602"/>
      <c r="FQ924" s="602"/>
      <c r="FR924" s="602"/>
      <c r="FS924" s="602"/>
      <c r="FT924" s="602"/>
      <c r="FU924" s="602"/>
      <c r="FV924" s="602"/>
      <c r="FW924" s="602"/>
      <c r="FX924" s="602"/>
      <c r="FY924" s="602"/>
      <c r="FZ924" s="602"/>
      <c r="GA924" s="602"/>
      <c r="GB924" s="602"/>
      <c r="GC924" s="602"/>
      <c r="GD924" s="602"/>
      <c r="GE924" s="602"/>
      <c r="GF924" s="602"/>
      <c r="GG924" s="602"/>
      <c r="GH924" s="602"/>
      <c r="GI924" s="602"/>
      <c r="GJ924" s="602"/>
      <c r="GK924" s="602"/>
      <c r="GL924" s="602"/>
      <c r="GM924" s="602"/>
      <c r="GN924" s="602"/>
      <c r="GO924" s="602"/>
      <c r="GP924" s="602"/>
      <c r="GQ924" s="602"/>
      <c r="GR924" s="602"/>
      <c r="GS924" s="602"/>
      <c r="GT924" s="602"/>
      <c r="GU924" s="602"/>
      <c r="GV924" s="602"/>
      <c r="GW924" s="602"/>
      <c r="GX924" s="602"/>
      <c r="GY924" s="602"/>
      <c r="GZ924" s="602"/>
      <c r="HA924" s="602"/>
      <c r="HB924" s="602"/>
      <c r="HC924" s="602"/>
      <c r="HD924" s="602"/>
      <c r="HE924" s="602"/>
      <c r="HF924" s="602"/>
      <c r="HG924" s="602"/>
      <c r="HH924" s="602"/>
      <c r="HI924" s="602"/>
      <c r="HJ924" s="602"/>
      <c r="HK924" s="602"/>
      <c r="HL924" s="602"/>
      <c r="HM924" s="602"/>
      <c r="HN924" s="602"/>
      <c r="HO924" s="602"/>
      <c r="HP924" s="602"/>
      <c r="HQ924" s="602"/>
      <c r="HR924" s="602"/>
      <c r="HS924" s="602"/>
      <c r="HT924" s="602"/>
      <c r="HU924" s="602"/>
      <c r="HV924" s="602"/>
      <c r="HW924" s="602"/>
      <c r="HX924" s="602"/>
      <c r="HY924" s="602"/>
      <c r="HZ924" s="602"/>
      <c r="IA924" s="602"/>
      <c r="IB924" s="602"/>
      <c r="IC924" s="602"/>
      <c r="ID924" s="602"/>
      <c r="IE924" s="602"/>
      <c r="IF924" s="602"/>
      <c r="IG924" s="602"/>
      <c r="IH924" s="602"/>
      <c r="II924" s="602"/>
      <c r="IJ924" s="602"/>
      <c r="IK924" s="602"/>
      <c r="IL924" s="602"/>
      <c r="IM924" s="602"/>
      <c r="IN924" s="602"/>
      <c r="IO924" s="602"/>
      <c r="IP924" s="602"/>
      <c r="IQ924" s="602"/>
      <c r="IR924" s="602"/>
      <c r="IS924" s="602"/>
      <c r="IT924" s="602"/>
      <c r="IU924" s="602"/>
      <c r="IV924" s="602"/>
    </row>
    <row r="925" spans="1:256" s="713" customFormat="1" ht="13.2">
      <c r="A925"/>
      <c r="B925" s="807"/>
      <c r="C925" s="807" t="s">
        <v>692</v>
      </c>
      <c r="D925" s="807" t="str">
        <f ca="1">CELL("Address",Elec_Rates!D$151)</f>
        <v>[E25_0477_IH_Retro_Elec_Est_Rev_A_AW.xlsx]Elec_Rates!$D$151</v>
      </c>
      <c r="E925" s="808"/>
      <c r="F925" s="808"/>
      <c r="G925" s="809" t="s">
        <v>693</v>
      </c>
      <c r="H925" s="809"/>
      <c r="I925" s="809"/>
      <c r="J925" s="809"/>
      <c r="K925" s="810"/>
      <c r="L925" s="808"/>
      <c r="M925" s="808"/>
      <c r="N925" s="808"/>
      <c r="O925" s="811"/>
      <c r="P925" s="808"/>
      <c r="Q925" s="812"/>
      <c r="R925" s="813"/>
      <c r="S925" s="812"/>
      <c r="T925" s="814"/>
      <c r="U925" s="815"/>
    </row>
    <row r="926" spans="1:256" s="602" customFormat="1" ht="11.4">
      <c r="A926" s="816">
        <v>2</v>
      </c>
      <c r="B926" s="817">
        <v>1</v>
      </c>
      <c r="C926" s="817">
        <f>$A926*$B926</f>
        <v>2</v>
      </c>
      <c r="D926" s="818" t="str">
        <f>Elec_Rates!$D$151</f>
        <v>003# 16amp 5Pin Socket outlet</v>
      </c>
      <c r="E926" s="818"/>
      <c r="F926" s="818" t="s">
        <v>694</v>
      </c>
      <c r="G926" s="819" t="s">
        <v>696</v>
      </c>
      <c r="H926" s="819"/>
      <c r="I926" s="819"/>
      <c r="J926" s="819"/>
      <c r="K926" s="820"/>
      <c r="L926" s="815"/>
      <c r="M926" s="815"/>
      <c r="N926" s="815"/>
      <c r="O926" s="821"/>
      <c r="P926" s="818"/>
      <c r="Q926" s="822">
        <f ca="1">$B926*Elec_Rates!$R$151</f>
        <v>0</v>
      </c>
      <c r="R926" s="813">
        <f ca="1">$A926*Q926</f>
        <v>0</v>
      </c>
      <c r="S926" s="822">
        <f ca="1">$B926*Elec_Rates!$T$151</f>
        <v>0</v>
      </c>
      <c r="T926" s="814">
        <f ca="1">$A926*S926</f>
        <v>0</v>
      </c>
      <c r="U926" s="583"/>
      <c r="V926" s="713"/>
      <c r="W926" s="713"/>
      <c r="X926" s="713"/>
      <c r="Y926" s="713"/>
      <c r="Z926" s="713"/>
      <c r="AA926" s="713"/>
      <c r="AB926" s="713"/>
      <c r="AC926" s="713"/>
      <c r="AD926" s="713"/>
      <c r="AE926" s="713"/>
      <c r="AF926" s="713"/>
      <c r="AG926" s="713"/>
      <c r="AH926" s="713"/>
      <c r="AI926" s="713"/>
      <c r="AJ926" s="713"/>
      <c r="AK926" s="713"/>
      <c r="AL926" s="713"/>
      <c r="AM926" s="713"/>
      <c r="AN926" s="713"/>
      <c r="AO926" s="713"/>
      <c r="AP926" s="713"/>
      <c r="AQ926" s="713"/>
      <c r="AR926" s="713"/>
      <c r="AS926" s="713"/>
      <c r="AT926" s="713"/>
      <c r="AU926" s="713"/>
      <c r="AV926" s="713"/>
      <c r="AW926" s="713"/>
      <c r="AX926" s="713"/>
      <c r="AY926" s="713"/>
      <c r="AZ926" s="713"/>
      <c r="BA926" s="713"/>
      <c r="BB926" s="713"/>
      <c r="BC926" s="713"/>
      <c r="BD926" s="713"/>
      <c r="BE926" s="713"/>
      <c r="BF926" s="713"/>
      <c r="BG926" s="713"/>
      <c r="BH926" s="713"/>
      <c r="BI926" s="713"/>
      <c r="BJ926" s="713"/>
      <c r="BK926" s="713"/>
      <c r="BL926" s="713"/>
      <c r="BM926" s="713"/>
      <c r="BN926" s="713"/>
      <c r="BO926" s="713"/>
      <c r="BP926" s="713"/>
      <c r="BQ926" s="713"/>
      <c r="BR926" s="713"/>
      <c r="BS926" s="713"/>
      <c r="BT926" s="713"/>
      <c r="BU926" s="713"/>
      <c r="BV926" s="713"/>
      <c r="BW926" s="713"/>
      <c r="BX926" s="713"/>
      <c r="BY926" s="713"/>
      <c r="BZ926" s="713"/>
      <c r="CA926" s="713"/>
      <c r="CB926" s="713"/>
      <c r="CC926" s="713"/>
      <c r="CD926" s="713"/>
      <c r="CE926" s="713"/>
      <c r="CF926" s="713"/>
      <c r="CG926" s="713"/>
      <c r="CH926" s="713"/>
      <c r="CI926" s="713"/>
      <c r="CJ926" s="713"/>
      <c r="CK926" s="713"/>
      <c r="CL926" s="713"/>
      <c r="CM926" s="713"/>
      <c r="CN926" s="713"/>
      <c r="CO926" s="713"/>
      <c r="CP926" s="713"/>
      <c r="CQ926" s="713"/>
      <c r="CR926" s="713"/>
      <c r="CS926" s="713"/>
      <c r="CT926" s="713"/>
      <c r="CU926" s="713"/>
      <c r="CV926" s="713"/>
      <c r="CW926" s="713"/>
      <c r="CX926" s="713"/>
      <c r="CY926" s="713"/>
      <c r="CZ926" s="713"/>
      <c r="DA926" s="713"/>
      <c r="DB926" s="713"/>
      <c r="DC926" s="713"/>
      <c r="DD926" s="713"/>
      <c r="DE926" s="713"/>
      <c r="DF926" s="713"/>
      <c r="DG926" s="713"/>
      <c r="DH926" s="713"/>
      <c r="DI926" s="713"/>
      <c r="DJ926" s="713"/>
      <c r="DK926" s="713"/>
      <c r="DL926" s="713"/>
      <c r="DM926" s="713"/>
      <c r="DN926" s="713"/>
      <c r="DO926" s="713"/>
      <c r="DP926" s="713"/>
      <c r="DQ926" s="713"/>
      <c r="DR926" s="713"/>
      <c r="DS926" s="713"/>
      <c r="DT926" s="713"/>
      <c r="DU926" s="713"/>
      <c r="DV926" s="713"/>
      <c r="DW926" s="713"/>
      <c r="DX926" s="713"/>
      <c r="DY926" s="713"/>
      <c r="DZ926" s="713"/>
      <c r="EA926" s="713"/>
      <c r="EB926" s="713"/>
      <c r="EC926" s="713"/>
      <c r="ED926" s="713"/>
      <c r="EE926" s="713"/>
      <c r="EF926" s="713"/>
      <c r="EG926" s="713"/>
      <c r="EH926" s="713"/>
      <c r="EI926" s="713"/>
      <c r="EJ926" s="713"/>
      <c r="EK926" s="713"/>
      <c r="EL926" s="713"/>
      <c r="EM926" s="713"/>
      <c r="EN926" s="713"/>
      <c r="EO926" s="713"/>
      <c r="EP926" s="713"/>
      <c r="EQ926" s="713"/>
      <c r="ER926" s="713"/>
      <c r="ES926" s="713"/>
      <c r="ET926" s="713"/>
      <c r="EU926" s="713"/>
      <c r="EV926" s="713"/>
      <c r="EW926" s="713"/>
      <c r="EX926" s="713"/>
      <c r="EY926" s="713"/>
      <c r="EZ926" s="713"/>
      <c r="FA926" s="713"/>
      <c r="FB926" s="713"/>
      <c r="FC926" s="713"/>
      <c r="FD926" s="713"/>
      <c r="FE926" s="713"/>
      <c r="FF926" s="713"/>
      <c r="FG926" s="713"/>
      <c r="FH926" s="713"/>
      <c r="FI926" s="713"/>
      <c r="FJ926" s="713"/>
      <c r="FK926" s="713"/>
      <c r="FL926" s="713"/>
      <c r="FM926" s="713"/>
      <c r="FN926" s="713"/>
      <c r="FO926" s="713"/>
      <c r="FP926" s="713"/>
      <c r="FQ926" s="713"/>
      <c r="FR926" s="713"/>
      <c r="FS926" s="713"/>
      <c r="FT926" s="713"/>
      <c r="FU926" s="713"/>
      <c r="FV926" s="713"/>
      <c r="FW926" s="713"/>
      <c r="FX926" s="713"/>
      <c r="FY926" s="713"/>
      <c r="FZ926" s="713"/>
      <c r="GA926" s="713"/>
      <c r="GB926" s="713"/>
      <c r="GC926" s="713"/>
      <c r="GD926" s="713"/>
      <c r="GE926" s="713"/>
      <c r="GF926" s="713"/>
      <c r="GG926" s="713"/>
      <c r="GH926" s="713"/>
      <c r="GI926" s="713"/>
      <c r="GJ926" s="713"/>
      <c r="GK926" s="713"/>
      <c r="GL926" s="713"/>
      <c r="GM926" s="713"/>
      <c r="GN926" s="713"/>
      <c r="GO926" s="713"/>
      <c r="GP926" s="713"/>
      <c r="GQ926" s="713"/>
      <c r="GR926" s="713"/>
      <c r="GS926" s="713"/>
      <c r="GT926" s="713"/>
      <c r="GU926" s="713"/>
      <c r="GV926" s="713"/>
      <c r="GW926" s="713"/>
      <c r="GX926" s="713"/>
      <c r="GY926" s="713"/>
      <c r="GZ926" s="713"/>
      <c r="HA926" s="713"/>
      <c r="HB926" s="713"/>
      <c r="HC926" s="713"/>
      <c r="HD926" s="713"/>
      <c r="HE926" s="713"/>
      <c r="HF926" s="713"/>
      <c r="HG926" s="713"/>
      <c r="HH926" s="713"/>
      <c r="HI926" s="713"/>
      <c r="HJ926" s="713"/>
      <c r="HK926" s="713"/>
      <c r="HL926" s="713"/>
      <c r="HM926" s="713"/>
      <c r="HN926" s="713"/>
      <c r="HO926" s="713"/>
      <c r="HP926" s="713"/>
      <c r="HQ926" s="713"/>
      <c r="HR926" s="713"/>
      <c r="HS926" s="713"/>
      <c r="HT926" s="713"/>
      <c r="HU926" s="713"/>
      <c r="HV926" s="713"/>
      <c r="HW926" s="713"/>
      <c r="HX926" s="713"/>
      <c r="HY926" s="713"/>
      <c r="HZ926" s="713"/>
      <c r="IA926" s="713"/>
      <c r="IB926" s="713"/>
      <c r="IC926" s="713"/>
      <c r="ID926" s="713"/>
      <c r="IE926" s="713"/>
      <c r="IF926" s="713"/>
      <c r="IG926" s="713"/>
      <c r="IH926" s="713"/>
      <c r="II926" s="713"/>
      <c r="IJ926" s="713"/>
      <c r="IK926" s="713"/>
      <c r="IL926" s="713"/>
      <c r="IM926" s="713"/>
      <c r="IN926" s="713"/>
      <c r="IO926" s="713"/>
      <c r="IP926" s="713"/>
      <c r="IQ926" s="713"/>
      <c r="IR926" s="713"/>
      <c r="IS926" s="713"/>
      <c r="IT926" s="713"/>
      <c r="IU926" s="713"/>
      <c r="IV926" s="713"/>
    </row>
    <row r="927" spans="1:256" s="602" customFormat="1" ht="12">
      <c r="A927" s="663"/>
      <c r="B927" s="663"/>
      <c r="C927" s="663"/>
      <c r="D927" s="663"/>
      <c r="E927" s="663"/>
      <c r="F927" s="664"/>
      <c r="G927" s="663"/>
      <c r="H927" s="663"/>
      <c r="I927" s="601"/>
      <c r="J927" s="663"/>
      <c r="K927" s="663"/>
      <c r="L927" s="663"/>
      <c r="M927" s="663"/>
      <c r="N927" s="663"/>
      <c r="O927" s="663"/>
      <c r="P927" s="663"/>
      <c r="Q927" s="601"/>
      <c r="R927" s="666">
        <f>$A927*Q927</f>
        <v>0</v>
      </c>
      <c r="S927" s="601"/>
      <c r="T927" s="681">
        <f>$A927*S927*$T$1</f>
        <v>0</v>
      </c>
    </row>
    <row r="928" spans="1:256" s="602" customFormat="1" ht="12.6" thickBot="1">
      <c r="A928" s="682" t="s">
        <v>145</v>
      </c>
      <c r="B928" s="683">
        <f>(R927+T927)</f>
        <v>0</v>
      </c>
      <c r="C928" s="684"/>
      <c r="D928" s="684"/>
      <c r="E928" s="684"/>
      <c r="F928" s="685"/>
      <c r="G928" s="684" t="s">
        <v>146</v>
      </c>
      <c r="H928" s="684"/>
      <c r="I928" s="686"/>
      <c r="J928" s="684"/>
      <c r="K928" s="684" t="s">
        <v>3</v>
      </c>
      <c r="L928" s="687" t="s">
        <v>143</v>
      </c>
      <c r="M928" s="687"/>
      <c r="N928" s="687"/>
      <c r="O928" s="687"/>
      <c r="P928" s="687"/>
      <c r="Q928" s="688"/>
      <c r="R928" s="689">
        <f ca="1">SUM(R924:R927)</f>
        <v>0</v>
      </c>
      <c r="S928" s="684"/>
      <c r="T928" s="689">
        <f ca="1">SUM(T924:T927)</f>
        <v>0</v>
      </c>
      <c r="U928" s="611"/>
      <c r="V928" s="611"/>
      <c r="W928" s="611"/>
      <c r="X928" s="611"/>
      <c r="Y928" s="611"/>
      <c r="Z928" s="611"/>
      <c r="AA928" s="611"/>
      <c r="AB928" s="611"/>
      <c r="AC928" s="611"/>
      <c r="AD928" s="611"/>
      <c r="AE928" s="611"/>
      <c r="AF928" s="611"/>
      <c r="AG928" s="611"/>
      <c r="AH928" s="611"/>
      <c r="AI928" s="611"/>
      <c r="AJ928" s="611"/>
      <c r="AK928" s="611"/>
      <c r="AL928" s="611"/>
      <c r="AM928" s="611"/>
      <c r="AN928" s="611"/>
      <c r="AO928" s="611"/>
    </row>
    <row r="929" spans="1:256" s="602" customFormat="1" ht="12" thickTop="1">
      <c r="A929" s="51" t="s">
        <v>154</v>
      </c>
      <c r="D929" s="13"/>
      <c r="E929" s="42"/>
      <c r="O929" s="698"/>
    </row>
    <row r="930" spans="1:256" s="602" customFormat="1" ht="13.2">
      <c r="B930" s="3"/>
      <c r="O930" s="698"/>
    </row>
    <row r="931" spans="1:256" s="602" customFormat="1" ht="12">
      <c r="B931" s="699">
        <f ca="1">$F931/$C$2-($R931*$S$2+$T931*$T$2)</f>
        <v>8.0956503051766049E-2</v>
      </c>
      <c r="D931" s="700" t="s">
        <v>414</v>
      </c>
      <c r="E931" s="701"/>
      <c r="F931" s="702">
        <f ca="1">SUMIF($L822:$L929,"ITEM",F822:F929)</f>
        <v>1146.96</v>
      </c>
      <c r="G931" s="663"/>
      <c r="H931" s="663"/>
      <c r="I931" s="601"/>
      <c r="J931" s="663"/>
      <c r="K931" s="663"/>
      <c r="L931" s="678" t="s">
        <v>166</v>
      </c>
      <c r="M931" s="678"/>
      <c r="N931" s="678"/>
      <c r="O931" s="678"/>
      <c r="P931" s="678"/>
      <c r="R931" s="702">
        <f ca="1">SUMIF($L822:$L929,"ITEM",R822:R929)</f>
        <v>21.419999999999998</v>
      </c>
      <c r="S931" s="71"/>
      <c r="T931" s="702">
        <f ca="1">SUMIF($L822:$L929,"ITEM",T822:T929)</f>
        <v>30.990000000000002</v>
      </c>
    </row>
    <row r="932" spans="1:256" s="602" customFormat="1" ht="13.2">
      <c r="A932" s="63"/>
      <c r="B932" s="55" t="s">
        <v>413</v>
      </c>
      <c r="C932" s="63"/>
      <c r="D932" s="3"/>
      <c r="F932" s="703" t="s">
        <v>168</v>
      </c>
      <c r="G932" s="663"/>
      <c r="H932" s="663"/>
      <c r="I932" s="601"/>
      <c r="J932" s="663"/>
      <c r="K932" s="663"/>
      <c r="L932" s="663"/>
      <c r="M932" s="663"/>
      <c r="N932" s="663"/>
      <c r="O932" s="663"/>
      <c r="P932" s="663"/>
      <c r="Q932" s="665"/>
      <c r="R932" s="703" t="s">
        <v>169</v>
      </c>
      <c r="S932" s="38"/>
      <c r="T932" s="703" t="s">
        <v>170</v>
      </c>
    </row>
    <row r="933" spans="1:256" s="602" customFormat="1" ht="13.2">
      <c r="A933" s="663"/>
      <c r="B933" s="3"/>
      <c r="C933" s="663"/>
      <c r="D933" s="3"/>
      <c r="E933" s="3"/>
      <c r="G933" s="3"/>
      <c r="H933" s="3"/>
      <c r="I933" s="3"/>
      <c r="J933" s="3"/>
      <c r="K933" s="3"/>
      <c r="L933" s="3"/>
      <c r="M933" s="3"/>
      <c r="N933" s="3"/>
      <c r="O933" s="158"/>
      <c r="P933" s="3"/>
      <c r="Q933" s="3"/>
      <c r="R933" s="3"/>
      <c r="S933" s="3"/>
      <c r="T933" s="3"/>
    </row>
    <row r="934" spans="1:256" s="602" customFormat="1" ht="12" thickBot="1">
      <c r="A934" s="611"/>
      <c r="B934" s="684"/>
      <c r="C934" s="684"/>
      <c r="D934" s="611"/>
      <c r="E934" s="39"/>
      <c r="F934" s="704"/>
      <c r="G934" s="684"/>
      <c r="H934" s="684"/>
      <c r="I934" s="686"/>
      <c r="J934" s="684"/>
      <c r="K934" s="684"/>
      <c r="L934" s="687"/>
      <c r="M934" s="687"/>
      <c r="N934" s="687"/>
      <c r="O934" s="687"/>
      <c r="P934" s="687"/>
      <c r="Q934" s="688"/>
      <c r="R934" s="704"/>
      <c r="S934" s="705"/>
      <c r="T934" s="704"/>
      <c r="U934" s="611"/>
      <c r="V934" s="611"/>
      <c r="W934" s="611"/>
      <c r="X934" s="611"/>
      <c r="Y934" s="611"/>
      <c r="Z934" s="611"/>
      <c r="AA934" s="611"/>
      <c r="AB934" s="611"/>
      <c r="AC934" s="611"/>
      <c r="AD934" s="611"/>
      <c r="AE934" s="611"/>
      <c r="AF934" s="611"/>
      <c r="AG934" s="611"/>
      <c r="AH934" s="611"/>
      <c r="AI934" s="611"/>
      <c r="AJ934" s="611"/>
      <c r="AK934" s="611"/>
    </row>
    <row r="935" spans="1:256" s="602" customFormat="1" thickTop="1">
      <c r="A935" s="63"/>
      <c r="B935" s="63"/>
      <c r="C935" s="3"/>
      <c r="D935" s="3"/>
      <c r="E935" s="63"/>
      <c r="F935" s="63"/>
      <c r="G935" s="63"/>
      <c r="H935" s="63"/>
      <c r="I935" s="63"/>
      <c r="J935" s="63"/>
      <c r="K935" s="63" t="s">
        <v>134</v>
      </c>
      <c r="L935" s="63"/>
      <c r="M935" s="63"/>
      <c r="N935" s="63"/>
      <c r="O935" s="64"/>
      <c r="P935" s="63"/>
      <c r="Q935" s="63"/>
      <c r="R935" s="63"/>
      <c r="S935" s="63"/>
      <c r="T935" s="63"/>
    </row>
    <row r="936" spans="1:256" s="602" customFormat="1" ht="12">
      <c r="A936" s="63"/>
      <c r="B936" s="63"/>
      <c r="C936" s="63" t="s">
        <v>135</v>
      </c>
      <c r="D936" s="37"/>
      <c r="E936" s="63"/>
      <c r="F936" s="63"/>
      <c r="G936" s="63"/>
      <c r="H936" s="63"/>
      <c r="I936" s="63"/>
      <c r="J936" s="63"/>
      <c r="K936" s="63"/>
      <c r="L936" s="63"/>
      <c r="M936" s="63"/>
      <c r="N936" s="63"/>
      <c r="O936" s="64"/>
      <c r="P936" s="63"/>
      <c r="Q936" s="63"/>
      <c r="R936" s="63"/>
      <c r="S936" s="63"/>
      <c r="T936" s="63"/>
    </row>
    <row r="937" spans="1:256" s="3" customFormat="1" ht="13.2">
      <c r="A937" s="63"/>
      <c r="B937" s="63"/>
      <c r="C937" s="63"/>
      <c r="D937" s="37" t="s">
        <v>317</v>
      </c>
      <c r="E937" s="63"/>
      <c r="F937" s="63"/>
      <c r="G937" s="63"/>
      <c r="H937" s="63"/>
      <c r="I937" s="63"/>
      <c r="J937" s="63"/>
      <c r="K937" s="63"/>
      <c r="L937" s="63"/>
      <c r="M937" s="63"/>
      <c r="N937" s="63"/>
      <c r="O937" s="64"/>
      <c r="P937" s="63"/>
      <c r="Q937" s="63"/>
      <c r="R937" s="63"/>
      <c r="S937" s="38"/>
      <c r="T937" s="38"/>
      <c r="U937" s="602"/>
      <c r="V937" s="602"/>
      <c r="W937" s="602"/>
      <c r="X937" s="602"/>
      <c r="Y937" s="602"/>
      <c r="Z937" s="602"/>
      <c r="AA937" s="602"/>
      <c r="AB937" s="602"/>
      <c r="AC937" s="602"/>
      <c r="AD937" s="602"/>
      <c r="AE937" s="602"/>
      <c r="AF937" s="602"/>
      <c r="AG937" s="602"/>
      <c r="AH937" s="602"/>
      <c r="AI937" s="602"/>
      <c r="AJ937" s="602"/>
      <c r="AK937" s="602"/>
      <c r="AL937" s="602"/>
      <c r="AM937" s="602"/>
      <c r="AN937" s="602"/>
      <c r="AO937" s="602"/>
      <c r="AP937" s="602"/>
      <c r="AQ937" s="602"/>
      <c r="AR937" s="602"/>
      <c r="AS937" s="602"/>
      <c r="AT937" s="602"/>
      <c r="AU937" s="602"/>
      <c r="AV937" s="602"/>
      <c r="AW937" s="602"/>
      <c r="AX937" s="602"/>
      <c r="AY937" s="602"/>
      <c r="AZ937" s="602"/>
      <c r="BA937" s="602"/>
      <c r="BB937" s="602"/>
      <c r="BC937" s="602"/>
      <c r="BD937" s="602"/>
      <c r="BE937" s="602"/>
      <c r="BF937" s="602"/>
      <c r="BG937" s="602"/>
      <c r="BH937" s="602"/>
      <c r="BI937" s="602"/>
      <c r="BJ937" s="602"/>
      <c r="BK937" s="602"/>
      <c r="BL937" s="602"/>
      <c r="BM937" s="602"/>
      <c r="BN937" s="602"/>
      <c r="BO937" s="602"/>
      <c r="BP937" s="602"/>
      <c r="BQ937" s="602"/>
      <c r="BR937" s="602"/>
      <c r="BS937" s="602"/>
      <c r="BT937" s="602"/>
      <c r="BU937" s="602"/>
      <c r="BV937" s="602"/>
      <c r="BW937" s="602"/>
      <c r="BX937" s="602"/>
      <c r="BY937" s="602"/>
      <c r="BZ937" s="602"/>
      <c r="CA937" s="602"/>
      <c r="CB937" s="602"/>
      <c r="CC937" s="602"/>
      <c r="CD937" s="602"/>
      <c r="CE937" s="602"/>
      <c r="CF937" s="602"/>
      <c r="CG937" s="602"/>
      <c r="CH937" s="602"/>
      <c r="CI937" s="602"/>
      <c r="CJ937" s="602"/>
      <c r="CK937" s="602"/>
      <c r="CL937" s="602"/>
      <c r="CM937" s="602"/>
      <c r="CN937" s="602"/>
      <c r="CO937" s="602"/>
      <c r="CP937" s="602"/>
      <c r="CQ937" s="602"/>
      <c r="CR937" s="602"/>
      <c r="CS937" s="602"/>
      <c r="CT937" s="602"/>
      <c r="CU937" s="602"/>
      <c r="CV937" s="602"/>
      <c r="CW937" s="602"/>
      <c r="CX937" s="602"/>
      <c r="CY937" s="602"/>
      <c r="CZ937" s="602"/>
      <c r="DA937" s="602"/>
      <c r="DB937" s="602"/>
      <c r="DC937" s="602"/>
      <c r="DD937" s="602"/>
      <c r="DE937" s="602"/>
      <c r="DF937" s="602"/>
      <c r="DG937" s="602"/>
      <c r="DH937" s="602"/>
      <c r="DI937" s="602"/>
      <c r="DJ937" s="602"/>
      <c r="DK937" s="602"/>
      <c r="DL937" s="602"/>
      <c r="DM937" s="602"/>
      <c r="DN937" s="602"/>
      <c r="DO937" s="602"/>
      <c r="DP937" s="602"/>
      <c r="DQ937" s="602"/>
      <c r="DR937" s="602"/>
      <c r="DS937" s="602"/>
      <c r="DT937" s="602"/>
      <c r="DU937" s="602"/>
      <c r="DV937" s="602"/>
      <c r="DW937" s="602"/>
      <c r="DX937" s="602"/>
      <c r="DY937" s="602"/>
      <c r="DZ937" s="602"/>
      <c r="EA937" s="602"/>
      <c r="EB937" s="602"/>
      <c r="EC937" s="602"/>
      <c r="ED937" s="602"/>
      <c r="EE937" s="602"/>
      <c r="EF937" s="602"/>
      <c r="EG937" s="602"/>
      <c r="EH937" s="602"/>
      <c r="EI937" s="602"/>
      <c r="EJ937" s="602"/>
      <c r="EK937" s="602"/>
      <c r="EL937" s="602"/>
      <c r="EM937" s="602"/>
      <c r="EN937" s="602"/>
      <c r="EO937" s="602"/>
      <c r="EP937" s="602"/>
      <c r="EQ937" s="602"/>
      <c r="ER937" s="602"/>
      <c r="ES937" s="602"/>
      <c r="ET937" s="602"/>
      <c r="EU937" s="602"/>
      <c r="EV937" s="602"/>
      <c r="EW937" s="602"/>
      <c r="EX937" s="602"/>
      <c r="EY937" s="602"/>
      <c r="EZ937" s="602"/>
      <c r="FA937" s="602"/>
      <c r="FB937" s="602"/>
      <c r="FC937" s="602"/>
      <c r="FD937" s="602"/>
      <c r="FE937" s="602"/>
      <c r="FF937" s="602"/>
      <c r="FG937" s="602"/>
      <c r="FH937" s="602"/>
      <c r="FI937" s="602"/>
      <c r="FJ937" s="602"/>
      <c r="FK937" s="602"/>
      <c r="FL937" s="602"/>
      <c r="FM937" s="602"/>
      <c r="FN937" s="602"/>
      <c r="FO937" s="602"/>
      <c r="FP937" s="602"/>
      <c r="FQ937" s="602"/>
      <c r="FR937" s="602"/>
      <c r="FS937" s="602"/>
      <c r="FT937" s="602"/>
      <c r="FU937" s="602"/>
      <c r="FV937" s="602"/>
      <c r="FW937" s="602"/>
      <c r="FX937" s="602"/>
      <c r="FY937" s="602"/>
      <c r="FZ937" s="602"/>
      <c r="GA937" s="602"/>
      <c r="GB937" s="602"/>
      <c r="GC937" s="602"/>
      <c r="GD937" s="602"/>
      <c r="GE937" s="602"/>
      <c r="GF937" s="602"/>
      <c r="GG937" s="602"/>
      <c r="GH937" s="602"/>
      <c r="GI937" s="602"/>
      <c r="GJ937" s="602"/>
      <c r="GK937" s="602"/>
      <c r="GL937" s="602"/>
      <c r="GM937" s="602"/>
      <c r="GN937" s="602"/>
      <c r="GO937" s="602"/>
      <c r="GP937" s="602"/>
      <c r="GQ937" s="602"/>
      <c r="GR937" s="602"/>
      <c r="GS937" s="602"/>
      <c r="GT937" s="602"/>
      <c r="GU937" s="602"/>
      <c r="GV937" s="602"/>
      <c r="GW937" s="602"/>
      <c r="GX937" s="602"/>
      <c r="GY937" s="602"/>
      <c r="GZ937" s="602"/>
      <c r="HA937" s="602"/>
      <c r="HB937" s="602"/>
      <c r="HC937" s="602"/>
      <c r="HD937" s="602"/>
      <c r="HE937" s="602"/>
      <c r="HF937" s="602"/>
      <c r="HG937" s="602"/>
      <c r="HH937" s="602"/>
      <c r="HI937" s="602"/>
      <c r="HJ937" s="602"/>
      <c r="HK937" s="602"/>
      <c r="HL937" s="602"/>
      <c r="HM937" s="602"/>
      <c r="HN937" s="602"/>
      <c r="HO937" s="602"/>
      <c r="HP937" s="602"/>
      <c r="HQ937" s="602"/>
      <c r="HR937" s="602"/>
      <c r="HS937" s="602"/>
      <c r="HT937" s="602"/>
      <c r="HU937" s="602"/>
      <c r="HV937" s="602"/>
      <c r="HW937" s="602"/>
      <c r="HX937" s="602"/>
      <c r="HY937" s="602"/>
      <c r="HZ937" s="602"/>
      <c r="IA937" s="602"/>
      <c r="IB937" s="602"/>
      <c r="IC937" s="602"/>
      <c r="ID937" s="602"/>
      <c r="IE937" s="602"/>
      <c r="IF937" s="602"/>
      <c r="IG937" s="602"/>
      <c r="IH937" s="602"/>
      <c r="II937" s="602"/>
      <c r="IJ937" s="602"/>
      <c r="IK937" s="602"/>
      <c r="IL937" s="602"/>
      <c r="IM937" s="602"/>
      <c r="IN937" s="602"/>
      <c r="IO937" s="602"/>
      <c r="IP937" s="602"/>
      <c r="IQ937" s="602"/>
      <c r="IR937" s="602"/>
      <c r="IS937" s="602"/>
      <c r="IT937" s="602"/>
      <c r="IU937" s="602"/>
      <c r="IV937" s="602"/>
    </row>
    <row r="938" spans="1:256" s="602" customFormat="1" thickBot="1">
      <c r="A938" s="611"/>
      <c r="B938" s="3"/>
      <c r="C938" s="3"/>
      <c r="D938" s="3"/>
      <c r="E938" s="3"/>
      <c r="F938" s="3"/>
      <c r="G938" s="3"/>
      <c r="H938" s="3"/>
      <c r="I938" s="3"/>
      <c r="J938" s="3"/>
      <c r="K938" s="3"/>
      <c r="L938" s="3"/>
      <c r="M938" s="3"/>
      <c r="N938" s="3"/>
      <c r="O938" s="158"/>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c r="DZ938" s="3"/>
      <c r="EA938" s="3"/>
      <c r="EB938" s="3"/>
      <c r="EC938" s="3"/>
      <c r="ED938" s="3"/>
      <c r="EE938" s="3"/>
      <c r="EF938" s="3"/>
      <c r="EG938" s="3"/>
      <c r="EH938" s="3"/>
      <c r="EI938" s="3"/>
      <c r="EJ938" s="3"/>
      <c r="EK938" s="3"/>
      <c r="EL938" s="3"/>
      <c r="EM938" s="3"/>
      <c r="EN938" s="3"/>
      <c r="EO938" s="3"/>
      <c r="EP938" s="3"/>
      <c r="EQ938" s="3"/>
      <c r="ER938" s="3"/>
      <c r="ES938" s="3"/>
      <c r="ET938" s="3"/>
      <c r="EU938" s="3"/>
      <c r="EV938" s="3"/>
      <c r="EW938" s="3"/>
      <c r="EX938" s="3"/>
      <c r="EY938" s="3"/>
      <c r="EZ938" s="3"/>
      <c r="FA938" s="3"/>
      <c r="FB938" s="3"/>
      <c r="FC938" s="3"/>
      <c r="FD938" s="3"/>
      <c r="FE938" s="3"/>
      <c r="FF938" s="3"/>
      <c r="FG938" s="3"/>
      <c r="FH938" s="3"/>
      <c r="FI938" s="3"/>
      <c r="FJ938" s="3"/>
      <c r="FK938" s="3"/>
      <c r="FL938" s="3"/>
      <c r="FM938" s="3"/>
      <c r="FN938" s="3"/>
      <c r="FO938" s="3"/>
      <c r="FP938" s="3"/>
      <c r="FQ938" s="3"/>
      <c r="FR938" s="3"/>
      <c r="FS938" s="3"/>
      <c r="FT938" s="3"/>
      <c r="FU938" s="3"/>
      <c r="FV938" s="3"/>
      <c r="FW938" s="3"/>
      <c r="FX938" s="3"/>
      <c r="FY938" s="3"/>
      <c r="FZ938" s="3"/>
      <c r="GA938" s="3"/>
      <c r="GB938" s="3"/>
      <c r="GC938" s="3"/>
      <c r="GD938" s="3"/>
      <c r="GE938" s="3"/>
      <c r="GF938" s="3"/>
      <c r="GG938" s="3"/>
      <c r="GH938" s="3"/>
      <c r="GI938" s="3"/>
      <c r="GJ938" s="3"/>
      <c r="GK938" s="3"/>
      <c r="GL938" s="3"/>
      <c r="GM938" s="3"/>
      <c r="GN938" s="3"/>
      <c r="GO938" s="3"/>
      <c r="GP938" s="3"/>
      <c r="GQ938" s="3"/>
      <c r="GR938" s="3"/>
      <c r="GS938" s="3"/>
      <c r="GT938" s="3"/>
      <c r="GU938" s="3"/>
      <c r="GV938" s="3"/>
      <c r="GW938" s="3"/>
      <c r="GX938" s="3"/>
      <c r="GY938" s="3"/>
      <c r="GZ938" s="3"/>
      <c r="HA938" s="3"/>
      <c r="HB938" s="3"/>
      <c r="HC938" s="3"/>
      <c r="HD938" s="3"/>
      <c r="HE938" s="3"/>
      <c r="HF938" s="3"/>
      <c r="HG938" s="3"/>
      <c r="HH938" s="3"/>
      <c r="HI938" s="3"/>
      <c r="HJ938" s="3"/>
      <c r="HK938" s="3"/>
      <c r="HL938" s="3"/>
      <c r="HM938" s="3"/>
      <c r="HN938" s="3"/>
      <c r="HO938" s="3"/>
      <c r="HP938" s="3"/>
      <c r="HQ938" s="3"/>
      <c r="HR938" s="3"/>
      <c r="HS938" s="3"/>
      <c r="HT938" s="3"/>
      <c r="HU938" s="3"/>
      <c r="HV938" s="3"/>
      <c r="HW938" s="3"/>
      <c r="HX938" s="3"/>
      <c r="HY938" s="3"/>
      <c r="HZ938" s="3"/>
      <c r="IA938" s="3"/>
      <c r="IB938" s="3"/>
      <c r="IC938" s="3"/>
      <c r="ID938" s="3"/>
      <c r="IE938" s="3"/>
      <c r="IF938" s="3"/>
      <c r="IG938" s="3"/>
      <c r="IH938" s="3"/>
      <c r="II938" s="3"/>
      <c r="IJ938" s="3"/>
      <c r="IK938" s="3"/>
      <c r="IL938" s="3"/>
      <c r="IM938" s="3"/>
      <c r="IN938" s="3"/>
      <c r="IO938" s="3"/>
      <c r="IP938" s="3"/>
      <c r="IQ938" s="3"/>
      <c r="IR938" s="3"/>
      <c r="IS938" s="3"/>
      <c r="IT938" s="3"/>
      <c r="IU938" s="3"/>
      <c r="IV938" s="3"/>
    </row>
    <row r="939" spans="1:256" s="602" customFormat="1" thickTop="1">
      <c r="A939" s="63"/>
      <c r="B939" s="63"/>
      <c r="C939" s="3"/>
      <c r="D939" s="3"/>
      <c r="E939" s="63"/>
      <c r="F939" s="63"/>
      <c r="G939" s="63"/>
      <c r="H939" s="63"/>
      <c r="I939" s="63"/>
      <c r="J939" s="63"/>
      <c r="K939" s="63" t="s">
        <v>134</v>
      </c>
      <c r="L939" s="63"/>
      <c r="M939" s="63"/>
      <c r="N939" s="63"/>
      <c r="O939" s="64"/>
      <c r="P939" s="63"/>
      <c r="Q939" s="63"/>
      <c r="R939" s="63"/>
      <c r="S939" s="63"/>
      <c r="T939" s="63"/>
    </row>
    <row r="940" spans="1:256" s="602" customFormat="1" ht="12">
      <c r="A940" s="63"/>
      <c r="B940" s="63"/>
      <c r="C940" s="63" t="s">
        <v>135</v>
      </c>
      <c r="D940" s="37" t="s">
        <v>532</v>
      </c>
      <c r="E940" s="63"/>
      <c r="F940" s="63"/>
      <c r="G940" s="63"/>
      <c r="H940" s="63"/>
      <c r="I940" s="63"/>
      <c r="J940" s="63"/>
      <c r="K940" s="63"/>
      <c r="L940" s="63"/>
      <c r="M940" s="63"/>
      <c r="N940" s="63"/>
      <c r="O940" s="64"/>
      <c r="P940" s="63"/>
      <c r="Q940" s="63"/>
      <c r="R940" s="63"/>
      <c r="S940" s="63"/>
      <c r="T940" s="63"/>
    </row>
    <row r="941" spans="1:256" s="3" customFormat="1" ht="13.2">
      <c r="A941" s="63"/>
      <c r="B941" s="63"/>
      <c r="C941" s="63"/>
      <c r="D941" s="37" t="s">
        <v>318</v>
      </c>
      <c r="E941" s="63"/>
      <c r="F941" s="63"/>
      <c r="G941" s="63"/>
      <c r="H941" s="63"/>
      <c r="I941" s="63"/>
      <c r="J941" s="63"/>
      <c r="K941" s="63"/>
      <c r="L941" s="63"/>
      <c r="M941" s="63"/>
      <c r="N941" s="63"/>
      <c r="O941" s="64"/>
      <c r="P941" s="63"/>
      <c r="Q941" s="63"/>
      <c r="R941" s="63"/>
      <c r="S941" s="38"/>
      <c r="T941" s="38"/>
      <c r="U941" s="602"/>
      <c r="V941" s="602"/>
      <c r="W941" s="602"/>
      <c r="X941" s="602"/>
      <c r="Y941" s="602"/>
      <c r="Z941" s="602"/>
      <c r="AA941" s="602"/>
      <c r="AB941" s="602"/>
      <c r="AC941" s="602"/>
      <c r="AD941" s="602"/>
      <c r="AE941" s="602"/>
      <c r="AF941" s="602"/>
      <c r="AG941" s="602"/>
      <c r="AH941" s="602"/>
      <c r="AI941" s="602"/>
      <c r="AJ941" s="602"/>
      <c r="AK941" s="602"/>
      <c r="AL941" s="602"/>
      <c r="AM941" s="602"/>
      <c r="AN941" s="602"/>
      <c r="AO941" s="602"/>
      <c r="AP941" s="602"/>
      <c r="AQ941" s="602"/>
      <c r="AR941" s="602"/>
      <c r="AS941" s="602"/>
      <c r="AT941" s="602"/>
      <c r="AU941" s="602"/>
      <c r="AV941" s="602"/>
      <c r="AW941" s="602"/>
      <c r="AX941" s="602"/>
      <c r="AY941" s="602"/>
      <c r="AZ941" s="602"/>
      <c r="BA941" s="602"/>
      <c r="BB941" s="602"/>
      <c r="BC941" s="602"/>
      <c r="BD941" s="602"/>
      <c r="BE941" s="602"/>
      <c r="BF941" s="602"/>
      <c r="BG941" s="602"/>
      <c r="BH941" s="602"/>
      <c r="BI941" s="602"/>
      <c r="BJ941" s="602"/>
      <c r="BK941" s="602"/>
      <c r="BL941" s="602"/>
      <c r="BM941" s="602"/>
      <c r="BN941" s="602"/>
      <c r="BO941" s="602"/>
      <c r="BP941" s="602"/>
      <c r="BQ941" s="602"/>
      <c r="BR941" s="602"/>
      <c r="BS941" s="602"/>
      <c r="BT941" s="602"/>
      <c r="BU941" s="602"/>
      <c r="BV941" s="602"/>
      <c r="BW941" s="602"/>
      <c r="BX941" s="602"/>
      <c r="BY941" s="602"/>
      <c r="BZ941" s="602"/>
      <c r="CA941" s="602"/>
      <c r="CB941" s="602"/>
      <c r="CC941" s="602"/>
      <c r="CD941" s="602"/>
      <c r="CE941" s="602"/>
      <c r="CF941" s="602"/>
      <c r="CG941" s="602"/>
      <c r="CH941" s="602"/>
      <c r="CI941" s="602"/>
      <c r="CJ941" s="602"/>
      <c r="CK941" s="602"/>
      <c r="CL941" s="602"/>
      <c r="CM941" s="602"/>
      <c r="CN941" s="602"/>
      <c r="CO941" s="602"/>
      <c r="CP941" s="602"/>
      <c r="CQ941" s="602"/>
      <c r="CR941" s="602"/>
      <c r="CS941" s="602"/>
      <c r="CT941" s="602"/>
      <c r="CU941" s="602"/>
      <c r="CV941" s="602"/>
      <c r="CW941" s="602"/>
      <c r="CX941" s="602"/>
      <c r="CY941" s="602"/>
      <c r="CZ941" s="602"/>
      <c r="DA941" s="602"/>
      <c r="DB941" s="602"/>
      <c r="DC941" s="602"/>
      <c r="DD941" s="602"/>
      <c r="DE941" s="602"/>
      <c r="DF941" s="602"/>
      <c r="DG941" s="602"/>
      <c r="DH941" s="602"/>
      <c r="DI941" s="602"/>
      <c r="DJ941" s="602"/>
      <c r="DK941" s="602"/>
      <c r="DL941" s="602"/>
      <c r="DM941" s="602"/>
      <c r="DN941" s="602"/>
      <c r="DO941" s="602"/>
      <c r="DP941" s="602"/>
      <c r="DQ941" s="602"/>
      <c r="DR941" s="602"/>
      <c r="DS941" s="602"/>
      <c r="DT941" s="602"/>
      <c r="DU941" s="602"/>
      <c r="DV941" s="602"/>
      <c r="DW941" s="602"/>
      <c r="DX941" s="602"/>
      <c r="DY941" s="602"/>
      <c r="DZ941" s="602"/>
      <c r="EA941" s="602"/>
      <c r="EB941" s="602"/>
      <c r="EC941" s="602"/>
      <c r="ED941" s="602"/>
      <c r="EE941" s="602"/>
      <c r="EF941" s="602"/>
      <c r="EG941" s="602"/>
      <c r="EH941" s="602"/>
      <c r="EI941" s="602"/>
      <c r="EJ941" s="602"/>
      <c r="EK941" s="602"/>
      <c r="EL941" s="602"/>
      <c r="EM941" s="602"/>
      <c r="EN941" s="602"/>
      <c r="EO941" s="602"/>
      <c r="EP941" s="602"/>
      <c r="EQ941" s="602"/>
      <c r="ER941" s="602"/>
      <c r="ES941" s="602"/>
      <c r="ET941" s="602"/>
      <c r="EU941" s="602"/>
      <c r="EV941" s="602"/>
      <c r="EW941" s="602"/>
      <c r="EX941" s="602"/>
      <c r="EY941" s="602"/>
      <c r="EZ941" s="602"/>
      <c r="FA941" s="602"/>
      <c r="FB941" s="602"/>
      <c r="FC941" s="602"/>
      <c r="FD941" s="602"/>
      <c r="FE941" s="602"/>
      <c r="FF941" s="602"/>
      <c r="FG941" s="602"/>
      <c r="FH941" s="602"/>
      <c r="FI941" s="602"/>
      <c r="FJ941" s="602"/>
      <c r="FK941" s="602"/>
      <c r="FL941" s="602"/>
      <c r="FM941" s="602"/>
      <c r="FN941" s="602"/>
      <c r="FO941" s="602"/>
      <c r="FP941" s="602"/>
      <c r="FQ941" s="602"/>
      <c r="FR941" s="602"/>
      <c r="FS941" s="602"/>
      <c r="FT941" s="602"/>
      <c r="FU941" s="602"/>
      <c r="FV941" s="602"/>
      <c r="FW941" s="602"/>
      <c r="FX941" s="602"/>
      <c r="FY941" s="602"/>
      <c r="FZ941" s="602"/>
      <c r="GA941" s="602"/>
      <c r="GB941" s="602"/>
      <c r="GC941" s="602"/>
      <c r="GD941" s="602"/>
      <c r="GE941" s="602"/>
      <c r="GF941" s="602"/>
      <c r="GG941" s="602"/>
      <c r="GH941" s="602"/>
      <c r="GI941" s="602"/>
      <c r="GJ941" s="602"/>
      <c r="GK941" s="602"/>
      <c r="GL941" s="602"/>
      <c r="GM941" s="602"/>
      <c r="GN941" s="602"/>
      <c r="GO941" s="602"/>
      <c r="GP941" s="602"/>
      <c r="GQ941" s="602"/>
      <c r="GR941" s="602"/>
      <c r="GS941" s="602"/>
      <c r="GT941" s="602"/>
      <c r="GU941" s="602"/>
      <c r="GV941" s="602"/>
      <c r="GW941" s="602"/>
      <c r="GX941" s="602"/>
      <c r="GY941" s="602"/>
      <c r="GZ941" s="602"/>
      <c r="HA941" s="602"/>
      <c r="HB941" s="602"/>
      <c r="HC941" s="602"/>
      <c r="HD941" s="602"/>
      <c r="HE941" s="602"/>
      <c r="HF941" s="602"/>
      <c r="HG941" s="602"/>
      <c r="HH941" s="602"/>
      <c r="HI941" s="602"/>
      <c r="HJ941" s="602"/>
      <c r="HK941" s="602"/>
      <c r="HL941" s="602"/>
      <c r="HM941" s="602"/>
      <c r="HN941" s="602"/>
      <c r="HO941" s="602"/>
      <c r="HP941" s="602"/>
      <c r="HQ941" s="602"/>
      <c r="HR941" s="602"/>
      <c r="HS941" s="602"/>
      <c r="HT941" s="602"/>
      <c r="HU941" s="602"/>
      <c r="HV941" s="602"/>
      <c r="HW941" s="602"/>
      <c r="HX941" s="602"/>
      <c r="HY941" s="602"/>
      <c r="HZ941" s="602"/>
      <c r="IA941" s="602"/>
      <c r="IB941" s="602"/>
      <c r="IC941" s="602"/>
      <c r="ID941" s="602"/>
      <c r="IE941" s="602"/>
      <c r="IF941" s="602"/>
      <c r="IG941" s="602"/>
      <c r="IH941" s="602"/>
      <c r="II941" s="602"/>
      <c r="IJ941" s="602"/>
      <c r="IK941" s="602"/>
      <c r="IL941" s="602"/>
      <c r="IM941" s="602"/>
      <c r="IN941" s="602"/>
      <c r="IO941" s="602"/>
      <c r="IP941" s="602"/>
      <c r="IQ941" s="602"/>
      <c r="IR941" s="602"/>
      <c r="IS941" s="602"/>
      <c r="IT941" s="602"/>
      <c r="IU941" s="602"/>
      <c r="IV941" s="602"/>
    </row>
    <row r="942" spans="1:256" s="602" customFormat="1" thickBot="1">
      <c r="A942" s="611"/>
      <c r="B942" s="3"/>
      <c r="C942" s="3"/>
      <c r="D942" s="3"/>
      <c r="E942" s="3"/>
      <c r="F942" s="3"/>
      <c r="G942" s="3"/>
      <c r="H942" s="3"/>
      <c r="I942" s="3"/>
      <c r="J942" s="3"/>
      <c r="K942" s="3"/>
      <c r="L942" s="3"/>
      <c r="M942" s="3"/>
      <c r="N942" s="3"/>
      <c r="O942" s="158"/>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c r="DZ942" s="3"/>
      <c r="EA942" s="3"/>
      <c r="EB942" s="3"/>
      <c r="EC942" s="3"/>
      <c r="ED942" s="3"/>
      <c r="EE942" s="3"/>
      <c r="EF942" s="3"/>
      <c r="EG942" s="3"/>
      <c r="EH942" s="3"/>
      <c r="EI942" s="3"/>
      <c r="EJ942" s="3"/>
      <c r="EK942" s="3"/>
      <c r="EL942" s="3"/>
      <c r="EM942" s="3"/>
      <c r="EN942" s="3"/>
      <c r="EO942" s="3"/>
      <c r="EP942" s="3"/>
      <c r="EQ942" s="3"/>
      <c r="ER942" s="3"/>
      <c r="ES942" s="3"/>
      <c r="ET942" s="3"/>
      <c r="EU942" s="3"/>
      <c r="EV942" s="3"/>
      <c r="EW942" s="3"/>
      <c r="EX942" s="3"/>
      <c r="EY942" s="3"/>
      <c r="EZ942" s="3"/>
      <c r="FA942" s="3"/>
      <c r="FB942" s="3"/>
      <c r="FC942" s="3"/>
      <c r="FD942" s="3"/>
      <c r="FE942" s="3"/>
      <c r="FF942" s="3"/>
      <c r="FG942" s="3"/>
      <c r="FH942" s="3"/>
      <c r="FI942" s="3"/>
      <c r="FJ942" s="3"/>
      <c r="FK942" s="3"/>
      <c r="FL942" s="3"/>
      <c r="FM942" s="3"/>
      <c r="FN942" s="3"/>
      <c r="FO942" s="3"/>
      <c r="FP942" s="3"/>
      <c r="FQ942" s="3"/>
      <c r="FR942" s="3"/>
      <c r="FS942" s="3"/>
      <c r="FT942" s="3"/>
      <c r="FU942" s="3"/>
      <c r="FV942" s="3"/>
      <c r="FW942" s="3"/>
      <c r="FX942" s="3"/>
      <c r="FY942" s="3"/>
      <c r="FZ942" s="3"/>
      <c r="GA942" s="3"/>
      <c r="GB942" s="3"/>
      <c r="GC942" s="3"/>
      <c r="GD942" s="3"/>
      <c r="GE942" s="3"/>
      <c r="GF942" s="3"/>
      <c r="GG942" s="3"/>
      <c r="GH942" s="3"/>
      <c r="GI942" s="3"/>
      <c r="GJ942" s="3"/>
      <c r="GK942" s="3"/>
      <c r="GL942" s="3"/>
      <c r="GM942" s="3"/>
      <c r="GN942" s="3"/>
      <c r="GO942" s="3"/>
      <c r="GP942" s="3"/>
      <c r="GQ942" s="3"/>
      <c r="GR942" s="3"/>
      <c r="GS942" s="3"/>
      <c r="GT942" s="3"/>
      <c r="GU942" s="3"/>
      <c r="GV942" s="3"/>
      <c r="GW942" s="3"/>
      <c r="GX942" s="3"/>
      <c r="GY942" s="3"/>
      <c r="GZ942" s="3"/>
      <c r="HA942" s="3"/>
      <c r="HB942" s="3"/>
      <c r="HC942" s="3"/>
      <c r="HD942" s="3"/>
      <c r="HE942" s="3"/>
      <c r="HF942" s="3"/>
      <c r="HG942" s="3"/>
      <c r="HH942" s="3"/>
      <c r="HI942" s="3"/>
      <c r="HJ942" s="3"/>
      <c r="HK942" s="3"/>
      <c r="HL942" s="3"/>
      <c r="HM942" s="3"/>
      <c r="HN942" s="3"/>
      <c r="HO942" s="3"/>
      <c r="HP942" s="3"/>
      <c r="HQ942" s="3"/>
      <c r="HR942" s="3"/>
      <c r="HS942" s="3"/>
      <c r="HT942" s="3"/>
      <c r="HU942" s="3"/>
      <c r="HV942" s="3"/>
      <c r="HW942" s="3"/>
      <c r="HX942" s="3"/>
      <c r="HY942" s="3"/>
      <c r="HZ942" s="3"/>
      <c r="IA942" s="3"/>
      <c r="IB942" s="3"/>
      <c r="IC942" s="3"/>
      <c r="ID942" s="3"/>
      <c r="IE942" s="3"/>
      <c r="IF942" s="3"/>
      <c r="IG942" s="3"/>
      <c r="IH942" s="3"/>
      <c r="II942" s="3"/>
      <c r="IJ942" s="3"/>
      <c r="IK942" s="3"/>
      <c r="IL942" s="3"/>
      <c r="IM942" s="3"/>
      <c r="IN942" s="3"/>
      <c r="IO942" s="3"/>
      <c r="IP942" s="3"/>
      <c r="IQ942" s="3"/>
      <c r="IR942" s="3"/>
      <c r="IS942" s="3"/>
      <c r="IT942" s="3"/>
      <c r="IU942" s="3"/>
      <c r="IV942" s="3"/>
    </row>
    <row r="943" spans="1:256" s="602" customFormat="1" ht="12" customHeight="1" thickTop="1">
      <c r="A943" s="63"/>
      <c r="B943" s="41"/>
      <c r="C943" s="63"/>
      <c r="E943" s="42" t="s">
        <v>138</v>
      </c>
      <c r="F943" s="42" t="s">
        <v>139</v>
      </c>
      <c r="G943" s="63"/>
      <c r="H943" s="63"/>
      <c r="I943" s="63"/>
      <c r="J943" s="63"/>
      <c r="K943" s="63" t="s">
        <v>140</v>
      </c>
      <c r="L943" s="63"/>
      <c r="M943" s="63"/>
      <c r="N943" s="63"/>
      <c r="O943" s="64"/>
      <c r="P943" s="63"/>
      <c r="Q943" s="63"/>
      <c r="R943" s="63"/>
      <c r="S943" s="63"/>
      <c r="T943" s="41"/>
      <c r="AG943" s="667" t="s">
        <v>278</v>
      </c>
      <c r="AH943" s="667" t="s">
        <v>279</v>
      </c>
      <c r="AI943" s="667" t="s">
        <v>280</v>
      </c>
      <c r="AJ943" s="667" t="s">
        <v>281</v>
      </c>
      <c r="AK943" s="667" t="s">
        <v>282</v>
      </c>
      <c r="AM943" s="668" t="s">
        <v>291</v>
      </c>
      <c r="AN943" s="669" t="s">
        <v>292</v>
      </c>
      <c r="AO943" s="603" t="s">
        <v>288</v>
      </c>
    </row>
    <row r="944" spans="1:256" s="602" customFormat="1" ht="13.2">
      <c r="A944" s="670">
        <v>1</v>
      </c>
      <c r="B944" s="671" t="s">
        <v>320</v>
      </c>
      <c r="C944" s="672"/>
      <c r="D944" s="673" t="s">
        <v>533</v>
      </c>
      <c r="E944" s="674">
        <f>IF(AND($A944=0,$A$1="DIF"),0, ROUND(ROUND(($R949*$S$2+($T949*$T$2))/A944,2)*$C$2,2))</f>
        <v>98.49</v>
      </c>
      <c r="F944" s="675">
        <f>ROUND($A944*$E944,2)</f>
        <v>98.49</v>
      </c>
      <c r="G944" s="676" t="s">
        <v>142</v>
      </c>
      <c r="H944" s="664"/>
      <c r="I944" s="677"/>
      <c r="J944" s="664"/>
      <c r="K944" s="664" t="s">
        <v>3</v>
      </c>
      <c r="L944" s="678" t="s">
        <v>143</v>
      </c>
      <c r="M944" s="678"/>
      <c r="N944" s="678"/>
      <c r="O944" s="678"/>
      <c r="P944" s="678"/>
      <c r="Q944" s="63"/>
      <c r="T944" s="679" t="str">
        <f>IF(AND($R949=0,$T949=0),"0.00","mu :" &amp; ROUND($F944/$C$2/($R949+$T949*$D$9),2))</f>
        <v>mu :1.35</v>
      </c>
      <c r="W944" s="604"/>
      <c r="AG944" s="549">
        <f>IF($E944=0,0,ROUND($R949*$S$2*$C$2/$A944,2))</f>
        <v>26.29</v>
      </c>
      <c r="AH944" s="549">
        <f>$AG944*$A944</f>
        <v>26.29</v>
      </c>
      <c r="AI944" s="605">
        <f>$E944-$AG944</f>
        <v>72.199999999999989</v>
      </c>
      <c r="AJ944" s="605">
        <f>$A944*$AI944</f>
        <v>72.199999999999989</v>
      </c>
      <c r="AK944" s="606">
        <f>ROUND(($AG944+$AI944)*$A944,2)</f>
        <v>98.49</v>
      </c>
      <c r="AM944" s="607">
        <f>ROUND(R949,2)</f>
        <v>20</v>
      </c>
      <c r="AN944" s="608">
        <f>ROUND(T949,2)</f>
        <v>2</v>
      </c>
      <c r="AO944" s="609">
        <f>ROUND(AM944+AN944,2)*A944</f>
        <v>22</v>
      </c>
    </row>
    <row r="945" spans="1:256" s="730" customFormat="1" ht="13.2">
      <c r="A945" s="672"/>
      <c r="B945"/>
      <c r="C945" s="672"/>
      <c r="D945" s="673" t="s">
        <v>355</v>
      </c>
      <c r="E945" s="602"/>
      <c r="F945" s="664"/>
      <c r="G945" s="3"/>
      <c r="H945" s="664"/>
      <c r="I945" s="677"/>
      <c r="J945" s="664"/>
      <c r="K945" s="664" t="s">
        <v>144</v>
      </c>
      <c r="L945" s="664"/>
      <c r="M945" s="664"/>
      <c r="N945" s="664"/>
      <c r="O945" s="664"/>
      <c r="P945" s="664"/>
      <c r="Q945" s="63"/>
      <c r="R945" s="610"/>
      <c r="S945" s="680"/>
      <c r="T945" s="664"/>
      <c r="U945" s="602"/>
      <c r="V945" s="602"/>
      <c r="W945" s="602"/>
      <c r="X945" s="602"/>
      <c r="Y945" s="602"/>
      <c r="Z945" s="602"/>
      <c r="AA945" s="602"/>
      <c r="AB945" s="602"/>
      <c r="AC945" s="602"/>
      <c r="AD945" s="602"/>
      <c r="AE945" s="602"/>
      <c r="AF945" s="602"/>
      <c r="AG945" s="602"/>
      <c r="AH945" s="602"/>
      <c r="AI945" s="602"/>
      <c r="AJ945" s="602"/>
      <c r="AK945" s="602"/>
      <c r="AL945" s="602"/>
      <c r="AM945" s="602"/>
      <c r="AN945" s="602"/>
      <c r="AO945" s="602"/>
      <c r="AP945" s="602"/>
      <c r="AQ945" s="602"/>
      <c r="AR945" s="602"/>
      <c r="AS945" s="602"/>
      <c r="AT945" s="602"/>
      <c r="AU945" s="602"/>
      <c r="AV945" s="602"/>
      <c r="AW945" s="602"/>
      <c r="AX945" s="602"/>
      <c r="AY945" s="602"/>
      <c r="AZ945" s="602"/>
      <c r="BA945" s="602"/>
      <c r="BB945" s="602"/>
      <c r="BC945" s="602"/>
      <c r="BD945" s="602"/>
      <c r="BE945" s="602"/>
      <c r="BF945" s="602"/>
      <c r="BG945" s="602"/>
      <c r="BH945" s="602"/>
      <c r="BI945" s="602"/>
      <c r="BJ945" s="602"/>
      <c r="BK945" s="602"/>
      <c r="BL945" s="602"/>
      <c r="BM945" s="602"/>
      <c r="BN945" s="602"/>
      <c r="BO945" s="602"/>
      <c r="BP945" s="602"/>
      <c r="BQ945" s="602"/>
      <c r="BR945" s="602"/>
      <c r="BS945" s="602"/>
      <c r="BT945" s="602"/>
      <c r="BU945" s="602"/>
      <c r="BV945" s="602"/>
      <c r="BW945" s="602"/>
      <c r="BX945" s="602"/>
      <c r="BY945" s="602"/>
      <c r="BZ945" s="602"/>
      <c r="CA945" s="602"/>
      <c r="CB945" s="602"/>
      <c r="CC945" s="602"/>
      <c r="CD945" s="602"/>
      <c r="CE945" s="602"/>
      <c r="CF945" s="602"/>
      <c r="CG945" s="602"/>
      <c r="CH945" s="602"/>
      <c r="CI945" s="602"/>
      <c r="CJ945" s="602"/>
      <c r="CK945" s="602"/>
      <c r="CL945" s="602"/>
      <c r="CM945" s="602"/>
      <c r="CN945" s="602"/>
      <c r="CO945" s="602"/>
      <c r="CP945" s="602"/>
      <c r="CQ945" s="602"/>
      <c r="CR945" s="602"/>
      <c r="CS945" s="602"/>
      <c r="CT945" s="602"/>
      <c r="CU945" s="602"/>
      <c r="CV945" s="602"/>
      <c r="CW945" s="602"/>
      <c r="CX945" s="602"/>
      <c r="CY945" s="602"/>
      <c r="CZ945" s="602"/>
      <c r="DA945" s="602"/>
      <c r="DB945" s="602"/>
      <c r="DC945" s="602"/>
      <c r="DD945" s="602"/>
      <c r="DE945" s="602"/>
      <c r="DF945" s="602"/>
      <c r="DG945" s="602"/>
      <c r="DH945" s="602"/>
      <c r="DI945" s="602"/>
      <c r="DJ945" s="602"/>
      <c r="DK945" s="602"/>
      <c r="DL945" s="602"/>
      <c r="DM945" s="602"/>
      <c r="DN945" s="602"/>
      <c r="DO945" s="602"/>
      <c r="DP945" s="602"/>
      <c r="DQ945" s="602"/>
      <c r="DR945" s="602"/>
      <c r="DS945" s="602"/>
      <c r="DT945" s="602"/>
      <c r="DU945" s="602"/>
      <c r="DV945" s="602"/>
      <c r="DW945" s="602"/>
      <c r="DX945" s="602"/>
      <c r="DY945" s="602"/>
      <c r="DZ945" s="602"/>
      <c r="EA945" s="602"/>
      <c r="EB945" s="602"/>
      <c r="EC945" s="602"/>
      <c r="ED945" s="602"/>
      <c r="EE945" s="602"/>
      <c r="EF945" s="602"/>
      <c r="EG945" s="602"/>
      <c r="EH945" s="602"/>
      <c r="EI945" s="602"/>
      <c r="EJ945" s="602"/>
      <c r="EK945" s="602"/>
      <c r="EL945" s="602"/>
      <c r="EM945" s="602"/>
      <c r="EN945" s="602"/>
      <c r="EO945" s="602"/>
      <c r="EP945" s="602"/>
      <c r="EQ945" s="602"/>
      <c r="ER945" s="602"/>
      <c r="ES945" s="602"/>
      <c r="ET945" s="602"/>
      <c r="EU945" s="602"/>
      <c r="EV945" s="602"/>
      <c r="EW945" s="602"/>
      <c r="EX945" s="602"/>
      <c r="EY945" s="602"/>
      <c r="EZ945" s="602"/>
      <c r="FA945" s="602"/>
      <c r="FB945" s="602"/>
      <c r="FC945" s="602"/>
      <c r="FD945" s="602"/>
      <c r="FE945" s="602"/>
      <c r="FF945" s="602"/>
      <c r="FG945" s="602"/>
      <c r="FH945" s="602"/>
      <c r="FI945" s="602"/>
      <c r="FJ945" s="602"/>
      <c r="FK945" s="602"/>
      <c r="FL945" s="602"/>
      <c r="FM945" s="602"/>
      <c r="FN945" s="602"/>
      <c r="FO945" s="602"/>
      <c r="FP945" s="602"/>
      <c r="FQ945" s="602"/>
      <c r="FR945" s="602"/>
      <c r="FS945" s="602"/>
      <c r="FT945" s="602"/>
      <c r="FU945" s="602"/>
      <c r="FV945" s="602"/>
      <c r="FW945" s="602"/>
      <c r="FX945" s="602"/>
      <c r="FY945" s="602"/>
      <c r="FZ945" s="602"/>
      <c r="GA945" s="602"/>
      <c r="GB945" s="602"/>
      <c r="GC945" s="602"/>
      <c r="GD945" s="602"/>
      <c r="GE945" s="602"/>
      <c r="GF945" s="602"/>
      <c r="GG945" s="602"/>
      <c r="GH945" s="602"/>
      <c r="GI945" s="602"/>
      <c r="GJ945" s="602"/>
      <c r="GK945" s="602"/>
      <c r="GL945" s="602"/>
      <c r="GM945" s="602"/>
      <c r="GN945" s="602"/>
      <c r="GO945" s="602"/>
      <c r="GP945" s="602"/>
      <c r="GQ945" s="602"/>
      <c r="GR945" s="602"/>
      <c r="GS945" s="602"/>
      <c r="GT945" s="602"/>
      <c r="GU945" s="602"/>
      <c r="GV945" s="602"/>
      <c r="GW945" s="602"/>
      <c r="GX945" s="602"/>
      <c r="GY945" s="602"/>
      <c r="GZ945" s="602"/>
      <c r="HA945" s="602"/>
      <c r="HB945" s="602"/>
      <c r="HC945" s="602"/>
      <c r="HD945" s="602"/>
      <c r="HE945" s="602"/>
      <c r="HF945" s="602"/>
      <c r="HG945" s="602"/>
      <c r="HH945" s="602"/>
      <c r="HI945" s="602"/>
      <c r="HJ945" s="602"/>
      <c r="HK945" s="602"/>
      <c r="HL945" s="602"/>
      <c r="HM945" s="602"/>
      <c r="HN945" s="602"/>
      <c r="HO945" s="602"/>
      <c r="HP945" s="602"/>
      <c r="HQ945" s="602"/>
      <c r="HR945" s="602"/>
      <c r="HS945" s="602"/>
      <c r="HT945" s="602"/>
      <c r="HU945" s="602"/>
      <c r="HV945" s="602"/>
      <c r="HW945" s="602"/>
      <c r="HX945" s="602"/>
      <c r="HY945" s="602"/>
      <c r="HZ945" s="602"/>
      <c r="IA945" s="602"/>
      <c r="IB945" s="602"/>
      <c r="IC945" s="602"/>
      <c r="ID945" s="602"/>
      <c r="IE945" s="602"/>
      <c r="IF945" s="602"/>
      <c r="IG945" s="602"/>
      <c r="IH945" s="602"/>
      <c r="II945" s="602"/>
      <c r="IJ945" s="602"/>
      <c r="IK945" s="602"/>
      <c r="IL945" s="602"/>
      <c r="IM945" s="602"/>
      <c r="IN945" s="602"/>
      <c r="IO945" s="602"/>
      <c r="IP945" s="602"/>
      <c r="IQ945" s="602"/>
      <c r="IR945" s="602"/>
      <c r="IS945" s="602"/>
      <c r="IT945" s="602"/>
      <c r="IU945" s="602"/>
      <c r="IV945" s="602"/>
    </row>
    <row r="946" spans="1:256" s="730" customFormat="1" ht="13.2">
      <c r="A946">
        <v>1</v>
      </c>
      <c r="B946" s="730" t="s">
        <v>141</v>
      </c>
      <c r="D946" s="730" t="s">
        <v>724</v>
      </c>
      <c r="E946" s="749" t="s">
        <v>675</v>
      </c>
      <c r="F946" s="806" t="s">
        <v>760</v>
      </c>
      <c r="G946" s="731" t="s">
        <v>725</v>
      </c>
      <c r="H946" s="732">
        <v>510</v>
      </c>
      <c r="I946" s="730" t="s">
        <v>674</v>
      </c>
      <c r="K946" s="730" t="s">
        <v>699</v>
      </c>
      <c r="O946" s="733">
        <v>2</v>
      </c>
      <c r="P946" s="734"/>
      <c r="Q946" s="735"/>
      <c r="R946" s="736">
        <f>$A946*Q946</f>
        <v>0</v>
      </c>
      <c r="S946" s="735"/>
      <c r="T946" s="737">
        <f>$A946*S946*$T$1</f>
        <v>0</v>
      </c>
    </row>
    <row r="947" spans="1:256" s="602" customFormat="1" ht="13.2">
      <c r="A947">
        <v>1</v>
      </c>
      <c r="B947" s="730" t="s">
        <v>141</v>
      </c>
      <c r="C947" s="730"/>
      <c r="D947" s="730" t="s">
        <v>724</v>
      </c>
      <c r="E947" s="730" t="s">
        <v>734</v>
      </c>
      <c r="F947" s="730"/>
      <c r="G947" s="731" t="s">
        <v>725</v>
      </c>
      <c r="H947" s="732">
        <v>510</v>
      </c>
      <c r="I947" s="730" t="s">
        <v>674</v>
      </c>
      <c r="J947" s="730"/>
      <c r="K947" s="730" t="s">
        <v>699</v>
      </c>
      <c r="L947" s="730"/>
      <c r="M947" s="730"/>
      <c r="N947" s="730"/>
      <c r="O947" s="733">
        <v>2</v>
      </c>
      <c r="P947" s="734"/>
      <c r="Q947" s="735">
        <v>20</v>
      </c>
      <c r="R947" s="736">
        <f>$A947*Q947</f>
        <v>20</v>
      </c>
      <c r="S947" s="735">
        <v>2</v>
      </c>
      <c r="T947" s="737">
        <f>$A947*S947*$T$1</f>
        <v>2</v>
      </c>
      <c r="U947" s="730"/>
      <c r="V947" s="730"/>
      <c r="W947" s="730"/>
      <c r="X947" s="730"/>
      <c r="Y947" s="730"/>
      <c r="Z947" s="730"/>
      <c r="AA947" s="730"/>
      <c r="AB947" s="730"/>
      <c r="AC947" s="730"/>
      <c r="AD947" s="730"/>
      <c r="AE947" s="730"/>
      <c r="AF947" s="730"/>
      <c r="AG947" s="730"/>
      <c r="AH947" s="730"/>
      <c r="AI947" s="730"/>
      <c r="AJ947" s="730"/>
      <c r="AK947" s="730"/>
      <c r="AL947" s="730"/>
      <c r="AM947" s="730"/>
      <c r="AN947" s="730"/>
      <c r="AO947" s="730"/>
      <c r="AP947" s="730"/>
      <c r="AQ947" s="730"/>
      <c r="AR947" s="730"/>
      <c r="AS947" s="730"/>
      <c r="AT947" s="730"/>
      <c r="AU947" s="730"/>
      <c r="AV947" s="730"/>
      <c r="AW947" s="730"/>
      <c r="AX947" s="730"/>
      <c r="AY947" s="730"/>
      <c r="AZ947" s="730"/>
      <c r="BA947" s="730"/>
      <c r="BB947" s="730"/>
      <c r="BC947" s="730"/>
      <c r="BD947" s="730"/>
      <c r="BE947" s="730"/>
      <c r="BF947" s="730"/>
      <c r="BG947" s="730"/>
      <c r="BH947" s="730"/>
      <c r="BI947" s="730"/>
      <c r="BJ947" s="730"/>
      <c r="BK947" s="730"/>
      <c r="BL947" s="730"/>
      <c r="BM947" s="730"/>
      <c r="BN947" s="730"/>
      <c r="BO947" s="730"/>
      <c r="BP947" s="730"/>
      <c r="BQ947" s="730"/>
      <c r="BR947" s="730"/>
      <c r="BS947" s="730"/>
      <c r="BT947" s="730"/>
      <c r="BU947" s="730"/>
      <c r="BV947" s="730"/>
      <c r="BW947" s="730"/>
      <c r="BX947" s="730"/>
      <c r="BY947" s="730"/>
      <c r="BZ947" s="730"/>
      <c r="CA947" s="730"/>
      <c r="CB947" s="730"/>
      <c r="CC947" s="730"/>
      <c r="CD947" s="730"/>
      <c r="CE947" s="730"/>
      <c r="CF947" s="730"/>
      <c r="CG947" s="730"/>
      <c r="CH947" s="730"/>
      <c r="CI947" s="730"/>
      <c r="CJ947" s="730"/>
      <c r="CK947" s="730"/>
      <c r="CL947" s="730"/>
      <c r="CM947" s="730"/>
      <c r="CN947" s="730"/>
      <c r="CO947" s="730"/>
      <c r="CP947" s="730"/>
      <c r="CQ947" s="730"/>
      <c r="CR947" s="730"/>
      <c r="CS947" s="730"/>
      <c r="CT947" s="730"/>
      <c r="CU947" s="730"/>
      <c r="CV947" s="730"/>
      <c r="CW947" s="730"/>
      <c r="CX947" s="730"/>
      <c r="CY947" s="730"/>
      <c r="CZ947" s="730"/>
      <c r="DA947" s="730"/>
      <c r="DB947" s="730"/>
      <c r="DC947" s="730"/>
      <c r="DD947" s="730"/>
      <c r="DE947" s="730"/>
      <c r="DF947" s="730"/>
      <c r="DG947" s="730"/>
      <c r="DH947" s="730"/>
      <c r="DI947" s="730"/>
      <c r="DJ947" s="730"/>
      <c r="DK947" s="730"/>
      <c r="DL947" s="730"/>
      <c r="DM947" s="730"/>
      <c r="DN947" s="730"/>
      <c r="DO947" s="730"/>
      <c r="DP947" s="730"/>
      <c r="DQ947" s="730"/>
      <c r="DR947" s="730"/>
      <c r="DS947" s="730"/>
      <c r="DT947" s="730"/>
      <c r="DU947" s="730"/>
      <c r="DV947" s="730"/>
      <c r="DW947" s="730"/>
      <c r="DX947" s="730"/>
      <c r="DY947" s="730"/>
      <c r="DZ947" s="730"/>
      <c r="EA947" s="730"/>
      <c r="EB947" s="730"/>
      <c r="EC947" s="730"/>
      <c r="ED947" s="730"/>
      <c r="EE947" s="730"/>
      <c r="EF947" s="730"/>
      <c r="EG947" s="730"/>
      <c r="EH947" s="730"/>
      <c r="EI947" s="730"/>
      <c r="EJ947" s="730"/>
      <c r="EK947" s="730"/>
      <c r="EL947" s="730"/>
      <c r="EM947" s="730"/>
      <c r="EN947" s="730"/>
      <c r="EO947" s="730"/>
      <c r="EP947" s="730"/>
      <c r="EQ947" s="730"/>
      <c r="ER947" s="730"/>
      <c r="ES947" s="730"/>
      <c r="ET947" s="730"/>
      <c r="EU947" s="730"/>
      <c r="EV947" s="730"/>
      <c r="EW947" s="730"/>
      <c r="EX947" s="730"/>
      <c r="EY947" s="730"/>
      <c r="EZ947" s="730"/>
      <c r="FA947" s="730"/>
      <c r="FB947" s="730"/>
      <c r="FC947" s="730"/>
      <c r="FD947" s="730"/>
      <c r="FE947" s="730"/>
      <c r="FF947" s="730"/>
      <c r="FG947" s="730"/>
      <c r="FH947" s="730"/>
      <c r="FI947" s="730"/>
      <c r="FJ947" s="730"/>
      <c r="FK947" s="730"/>
      <c r="FL947" s="730"/>
      <c r="FM947" s="730"/>
      <c r="FN947" s="730"/>
      <c r="FO947" s="730"/>
      <c r="FP947" s="730"/>
      <c r="FQ947" s="730"/>
      <c r="FR947" s="730"/>
      <c r="FS947" s="730"/>
      <c r="FT947" s="730"/>
      <c r="FU947" s="730"/>
      <c r="FV947" s="730"/>
      <c r="FW947" s="730"/>
      <c r="FX947" s="730"/>
      <c r="FY947" s="730"/>
      <c r="FZ947" s="730"/>
      <c r="GA947" s="730"/>
      <c r="GB947" s="730"/>
      <c r="GC947" s="730"/>
      <c r="GD947" s="730"/>
      <c r="GE947" s="730"/>
      <c r="GF947" s="730"/>
      <c r="GG947" s="730"/>
      <c r="GH947" s="730"/>
      <c r="GI947" s="730"/>
      <c r="GJ947" s="730"/>
      <c r="GK947" s="730"/>
      <c r="GL947" s="730"/>
      <c r="GM947" s="730"/>
      <c r="GN947" s="730"/>
      <c r="GO947" s="730"/>
      <c r="GP947" s="730"/>
      <c r="GQ947" s="730"/>
      <c r="GR947" s="730"/>
      <c r="GS947" s="730"/>
      <c r="GT947" s="730"/>
      <c r="GU947" s="730"/>
      <c r="GV947" s="730"/>
      <c r="GW947" s="730"/>
      <c r="GX947" s="730"/>
      <c r="GY947" s="730"/>
      <c r="GZ947" s="730"/>
      <c r="HA947" s="730"/>
      <c r="HB947" s="730"/>
      <c r="HC947" s="730"/>
      <c r="HD947" s="730"/>
      <c r="HE947" s="730"/>
      <c r="HF947" s="730"/>
      <c r="HG947" s="730"/>
      <c r="HH947" s="730"/>
      <c r="HI947" s="730"/>
      <c r="HJ947" s="730"/>
      <c r="HK947" s="730"/>
      <c r="HL947" s="730"/>
      <c r="HM947" s="730"/>
      <c r="HN947" s="730"/>
      <c r="HO947" s="730"/>
      <c r="HP947" s="730"/>
      <c r="HQ947" s="730"/>
      <c r="HR947" s="730"/>
      <c r="HS947" s="730"/>
      <c r="HT947" s="730"/>
      <c r="HU947" s="730"/>
      <c r="HV947" s="730"/>
      <c r="HW947" s="730"/>
      <c r="HX947" s="730"/>
      <c r="HY947" s="730"/>
      <c r="HZ947" s="730"/>
      <c r="IA947" s="730"/>
      <c r="IB947" s="730"/>
      <c r="IC947" s="730"/>
      <c r="ID947" s="730"/>
      <c r="IE947" s="730"/>
      <c r="IF947" s="730"/>
      <c r="IG947" s="730"/>
      <c r="IH947" s="730"/>
      <c r="II947" s="730"/>
      <c r="IJ947" s="730"/>
      <c r="IK947" s="730"/>
      <c r="IL947" s="730"/>
      <c r="IM947" s="730"/>
      <c r="IN947" s="730"/>
      <c r="IO947" s="730"/>
      <c r="IP947" s="730"/>
      <c r="IQ947" s="730"/>
      <c r="IR947" s="730"/>
      <c r="IS947" s="730"/>
      <c r="IT947" s="730"/>
      <c r="IU947" s="730"/>
      <c r="IV947" s="730"/>
    </row>
    <row r="948" spans="1:256" s="602" customFormat="1" ht="12">
      <c r="A948" s="663"/>
      <c r="B948" s="663"/>
      <c r="C948" s="663"/>
      <c r="D948" s="663"/>
      <c r="E948" s="663"/>
      <c r="F948" s="664"/>
      <c r="G948" s="663"/>
      <c r="H948" s="663"/>
      <c r="I948" s="601"/>
      <c r="J948" s="663"/>
      <c r="K948" s="663"/>
      <c r="L948" s="663"/>
      <c r="M948" s="663"/>
      <c r="N948" s="663"/>
      <c r="O948" s="663"/>
      <c r="P948" s="663"/>
      <c r="Q948" s="601"/>
      <c r="R948" s="666">
        <f>$A948*Q948</f>
        <v>0</v>
      </c>
      <c r="S948" s="601"/>
      <c r="T948" s="681">
        <f>$A948*S948*$T$1</f>
        <v>0</v>
      </c>
    </row>
    <row r="949" spans="1:256" s="602" customFormat="1" ht="12.6" thickBot="1">
      <c r="A949" s="682" t="s">
        <v>145</v>
      </c>
      <c r="B949" s="683">
        <f>(R948+T948)</f>
        <v>0</v>
      </c>
      <c r="C949" s="684"/>
      <c r="D949" s="684"/>
      <c r="E949" s="684"/>
      <c r="F949" s="685"/>
      <c r="G949" s="684" t="s">
        <v>146</v>
      </c>
      <c r="H949" s="684"/>
      <c r="I949" s="686"/>
      <c r="J949" s="684"/>
      <c r="K949" s="684" t="s">
        <v>3</v>
      </c>
      <c r="L949" s="687" t="s">
        <v>143</v>
      </c>
      <c r="M949" s="687"/>
      <c r="N949" s="687"/>
      <c r="O949" s="687"/>
      <c r="P949" s="687"/>
      <c r="Q949" s="688"/>
      <c r="R949" s="689">
        <f>SUM(R945:R948)</f>
        <v>20</v>
      </c>
      <c r="S949" s="684"/>
      <c r="T949" s="689">
        <f>SUM(T945:T948)</f>
        <v>2</v>
      </c>
      <c r="U949" s="611"/>
      <c r="V949" s="611"/>
      <c r="W949" s="611"/>
      <c r="X949" s="611"/>
      <c r="Y949" s="611"/>
      <c r="Z949" s="611"/>
      <c r="AA949" s="611"/>
      <c r="AB949" s="611"/>
      <c r="AC949" s="611"/>
      <c r="AD949" s="611"/>
      <c r="AE949" s="611"/>
      <c r="AF949" s="611"/>
      <c r="AG949" s="611"/>
      <c r="AH949" s="611"/>
      <c r="AI949" s="611"/>
      <c r="AJ949" s="611"/>
      <c r="AK949" s="611"/>
      <c r="AL949" s="611"/>
      <c r="AM949" s="611"/>
      <c r="AN949" s="611"/>
      <c r="AO949" s="611"/>
    </row>
    <row r="950" spans="1:256" s="602" customFormat="1" thickTop="1">
      <c r="A950" s="63"/>
      <c r="B950" s="63"/>
      <c r="C950" s="3"/>
      <c r="D950" s="3"/>
      <c r="E950" s="63"/>
      <c r="F950" s="63"/>
      <c r="G950" s="63"/>
      <c r="H950" s="63"/>
      <c r="I950" s="63"/>
      <c r="J950" s="63"/>
      <c r="K950" s="63" t="s">
        <v>134</v>
      </c>
      <c r="L950" s="63"/>
      <c r="M950" s="63"/>
      <c r="N950" s="63"/>
      <c r="O950" s="64"/>
      <c r="P950" s="63"/>
      <c r="Q950" s="63"/>
      <c r="R950" s="63"/>
      <c r="S950" s="63"/>
      <c r="T950" s="63"/>
    </row>
    <row r="951" spans="1:256" s="602" customFormat="1" ht="12">
      <c r="A951" s="63"/>
      <c r="B951" s="63"/>
      <c r="C951" s="63" t="s">
        <v>135</v>
      </c>
      <c r="D951" s="37" t="s">
        <v>534</v>
      </c>
      <c r="E951" s="63"/>
      <c r="F951" s="63"/>
      <c r="G951" s="63"/>
      <c r="H951" s="63"/>
      <c r="I951" s="63"/>
      <c r="J951" s="63"/>
      <c r="K951" s="63"/>
      <c r="L951" s="63"/>
      <c r="M951" s="63"/>
      <c r="N951" s="63"/>
      <c r="O951" s="64"/>
      <c r="P951" s="63"/>
      <c r="Q951" s="63"/>
      <c r="R951" s="63"/>
      <c r="S951" s="63"/>
      <c r="T951" s="63"/>
    </row>
    <row r="952" spans="1:256" s="3" customFormat="1" ht="13.2">
      <c r="A952" s="63"/>
      <c r="B952" s="63"/>
      <c r="C952" s="63"/>
      <c r="D952" s="37" t="s">
        <v>323</v>
      </c>
      <c r="E952" s="63"/>
      <c r="F952" s="63"/>
      <c r="G952" s="63"/>
      <c r="H952" s="63"/>
      <c r="I952" s="63"/>
      <c r="J952" s="63"/>
      <c r="K952" s="63"/>
      <c r="L952" s="63"/>
      <c r="M952" s="63"/>
      <c r="N952" s="63"/>
      <c r="O952" s="64"/>
      <c r="P952" s="63"/>
      <c r="Q952" s="63"/>
      <c r="R952" s="63"/>
      <c r="S952" s="38"/>
      <c r="T952" s="38"/>
      <c r="U952" s="602"/>
      <c r="V952" s="602"/>
      <c r="W952" s="602"/>
      <c r="X952" s="602"/>
      <c r="Y952" s="602"/>
      <c r="Z952" s="602"/>
      <c r="AA952" s="602"/>
      <c r="AB952" s="602"/>
      <c r="AC952" s="602"/>
      <c r="AD952" s="602"/>
      <c r="AE952" s="602"/>
      <c r="AF952" s="602"/>
      <c r="AG952" s="602"/>
      <c r="AH952" s="602"/>
      <c r="AI952" s="602"/>
      <c r="AJ952" s="602"/>
      <c r="AK952" s="602"/>
      <c r="AL952" s="602"/>
      <c r="AM952" s="602"/>
      <c r="AN952" s="602"/>
      <c r="AO952" s="602"/>
      <c r="AP952" s="602"/>
      <c r="AQ952" s="602"/>
      <c r="AR952" s="602"/>
      <c r="AS952" s="602"/>
      <c r="AT952" s="602"/>
      <c r="AU952" s="602"/>
      <c r="AV952" s="602"/>
      <c r="AW952" s="602"/>
      <c r="AX952" s="602"/>
      <c r="AY952" s="602"/>
      <c r="AZ952" s="602"/>
      <c r="BA952" s="602"/>
      <c r="BB952" s="602"/>
      <c r="BC952" s="602"/>
      <c r="BD952" s="602"/>
      <c r="BE952" s="602"/>
      <c r="BF952" s="602"/>
      <c r="BG952" s="602"/>
      <c r="BH952" s="602"/>
      <c r="BI952" s="602"/>
      <c r="BJ952" s="602"/>
      <c r="BK952" s="602"/>
      <c r="BL952" s="602"/>
      <c r="BM952" s="602"/>
      <c r="BN952" s="602"/>
      <c r="BO952" s="602"/>
      <c r="BP952" s="602"/>
      <c r="BQ952" s="602"/>
      <c r="BR952" s="602"/>
      <c r="BS952" s="602"/>
      <c r="BT952" s="602"/>
      <c r="BU952" s="602"/>
      <c r="BV952" s="602"/>
      <c r="BW952" s="602"/>
      <c r="BX952" s="602"/>
      <c r="BY952" s="602"/>
      <c r="BZ952" s="602"/>
      <c r="CA952" s="602"/>
      <c r="CB952" s="602"/>
      <c r="CC952" s="602"/>
      <c r="CD952" s="602"/>
      <c r="CE952" s="602"/>
      <c r="CF952" s="602"/>
      <c r="CG952" s="602"/>
      <c r="CH952" s="602"/>
      <c r="CI952" s="602"/>
      <c r="CJ952" s="602"/>
      <c r="CK952" s="602"/>
      <c r="CL952" s="602"/>
      <c r="CM952" s="602"/>
      <c r="CN952" s="602"/>
      <c r="CO952" s="602"/>
      <c r="CP952" s="602"/>
      <c r="CQ952" s="602"/>
      <c r="CR952" s="602"/>
      <c r="CS952" s="602"/>
      <c r="CT952" s="602"/>
      <c r="CU952" s="602"/>
      <c r="CV952" s="602"/>
      <c r="CW952" s="602"/>
      <c r="CX952" s="602"/>
      <c r="CY952" s="602"/>
      <c r="CZ952" s="602"/>
      <c r="DA952" s="602"/>
      <c r="DB952" s="602"/>
      <c r="DC952" s="602"/>
      <c r="DD952" s="602"/>
      <c r="DE952" s="602"/>
      <c r="DF952" s="602"/>
      <c r="DG952" s="602"/>
      <c r="DH952" s="602"/>
      <c r="DI952" s="602"/>
      <c r="DJ952" s="602"/>
      <c r="DK952" s="602"/>
      <c r="DL952" s="602"/>
      <c r="DM952" s="602"/>
      <c r="DN952" s="602"/>
      <c r="DO952" s="602"/>
      <c r="DP952" s="602"/>
      <c r="DQ952" s="602"/>
      <c r="DR952" s="602"/>
      <c r="DS952" s="602"/>
      <c r="DT952" s="602"/>
      <c r="DU952" s="602"/>
      <c r="DV952" s="602"/>
      <c r="DW952" s="602"/>
      <c r="DX952" s="602"/>
      <c r="DY952" s="602"/>
      <c r="DZ952" s="602"/>
      <c r="EA952" s="602"/>
      <c r="EB952" s="602"/>
      <c r="EC952" s="602"/>
      <c r="ED952" s="602"/>
      <c r="EE952" s="602"/>
      <c r="EF952" s="602"/>
      <c r="EG952" s="602"/>
      <c r="EH952" s="602"/>
      <c r="EI952" s="602"/>
      <c r="EJ952" s="602"/>
      <c r="EK952" s="602"/>
      <c r="EL952" s="602"/>
      <c r="EM952" s="602"/>
      <c r="EN952" s="602"/>
      <c r="EO952" s="602"/>
      <c r="EP952" s="602"/>
      <c r="EQ952" s="602"/>
      <c r="ER952" s="602"/>
      <c r="ES952" s="602"/>
      <c r="ET952" s="602"/>
      <c r="EU952" s="602"/>
      <c r="EV952" s="602"/>
      <c r="EW952" s="602"/>
      <c r="EX952" s="602"/>
      <c r="EY952" s="602"/>
      <c r="EZ952" s="602"/>
      <c r="FA952" s="602"/>
      <c r="FB952" s="602"/>
      <c r="FC952" s="602"/>
      <c r="FD952" s="602"/>
      <c r="FE952" s="602"/>
      <c r="FF952" s="602"/>
      <c r="FG952" s="602"/>
      <c r="FH952" s="602"/>
      <c r="FI952" s="602"/>
      <c r="FJ952" s="602"/>
      <c r="FK952" s="602"/>
      <c r="FL952" s="602"/>
      <c r="FM952" s="602"/>
      <c r="FN952" s="602"/>
      <c r="FO952" s="602"/>
      <c r="FP952" s="602"/>
      <c r="FQ952" s="602"/>
      <c r="FR952" s="602"/>
      <c r="FS952" s="602"/>
      <c r="FT952" s="602"/>
      <c r="FU952" s="602"/>
      <c r="FV952" s="602"/>
      <c r="FW952" s="602"/>
      <c r="FX952" s="602"/>
      <c r="FY952" s="602"/>
      <c r="FZ952" s="602"/>
      <c r="GA952" s="602"/>
      <c r="GB952" s="602"/>
      <c r="GC952" s="602"/>
      <c r="GD952" s="602"/>
      <c r="GE952" s="602"/>
      <c r="GF952" s="602"/>
      <c r="GG952" s="602"/>
      <c r="GH952" s="602"/>
      <c r="GI952" s="602"/>
      <c r="GJ952" s="602"/>
      <c r="GK952" s="602"/>
      <c r="GL952" s="602"/>
      <c r="GM952" s="602"/>
      <c r="GN952" s="602"/>
      <c r="GO952" s="602"/>
      <c r="GP952" s="602"/>
      <c r="GQ952" s="602"/>
      <c r="GR952" s="602"/>
      <c r="GS952" s="602"/>
      <c r="GT952" s="602"/>
      <c r="GU952" s="602"/>
      <c r="GV952" s="602"/>
      <c r="GW952" s="602"/>
      <c r="GX952" s="602"/>
      <c r="GY952" s="602"/>
      <c r="GZ952" s="602"/>
      <c r="HA952" s="602"/>
      <c r="HB952" s="602"/>
      <c r="HC952" s="602"/>
      <c r="HD952" s="602"/>
      <c r="HE952" s="602"/>
      <c r="HF952" s="602"/>
      <c r="HG952" s="602"/>
      <c r="HH952" s="602"/>
      <c r="HI952" s="602"/>
      <c r="HJ952" s="602"/>
      <c r="HK952" s="602"/>
      <c r="HL952" s="602"/>
      <c r="HM952" s="602"/>
      <c r="HN952" s="602"/>
      <c r="HO952" s="602"/>
      <c r="HP952" s="602"/>
      <c r="HQ952" s="602"/>
      <c r="HR952" s="602"/>
      <c r="HS952" s="602"/>
      <c r="HT952" s="602"/>
      <c r="HU952" s="602"/>
      <c r="HV952" s="602"/>
      <c r="HW952" s="602"/>
      <c r="HX952" s="602"/>
      <c r="HY952" s="602"/>
      <c r="HZ952" s="602"/>
      <c r="IA952" s="602"/>
      <c r="IB952" s="602"/>
      <c r="IC952" s="602"/>
      <c r="ID952" s="602"/>
      <c r="IE952" s="602"/>
      <c r="IF952" s="602"/>
      <c r="IG952" s="602"/>
      <c r="IH952" s="602"/>
      <c r="II952" s="602"/>
      <c r="IJ952" s="602"/>
      <c r="IK952" s="602"/>
      <c r="IL952" s="602"/>
      <c r="IM952" s="602"/>
      <c r="IN952" s="602"/>
      <c r="IO952" s="602"/>
      <c r="IP952" s="602"/>
      <c r="IQ952" s="602"/>
      <c r="IR952" s="602"/>
      <c r="IS952" s="602"/>
      <c r="IT952" s="602"/>
      <c r="IU952" s="602"/>
      <c r="IV952" s="602"/>
    </row>
    <row r="953" spans="1:256" s="602" customFormat="1" thickBot="1">
      <c r="A953" s="611"/>
      <c r="B953" s="3"/>
      <c r="C953" s="3"/>
      <c r="D953" s="3"/>
      <c r="E953" s="3"/>
      <c r="F953" s="3"/>
      <c r="G953" s="3"/>
      <c r="H953" s="3"/>
      <c r="I953" s="3"/>
      <c r="J953" s="3"/>
      <c r="K953" s="3"/>
      <c r="L953" s="3"/>
      <c r="M953" s="3"/>
      <c r="N953" s="3"/>
      <c r="O953" s="158"/>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c r="DI953" s="3"/>
      <c r="DJ953" s="3"/>
      <c r="DK953" s="3"/>
      <c r="DL953" s="3"/>
      <c r="DM953" s="3"/>
      <c r="DN953" s="3"/>
      <c r="DO953" s="3"/>
      <c r="DP953" s="3"/>
      <c r="DQ953" s="3"/>
      <c r="DR953" s="3"/>
      <c r="DS953" s="3"/>
      <c r="DT953" s="3"/>
      <c r="DU953" s="3"/>
      <c r="DV953" s="3"/>
      <c r="DW953" s="3"/>
      <c r="DX953" s="3"/>
      <c r="DY953" s="3"/>
      <c r="DZ953" s="3"/>
      <c r="EA953" s="3"/>
      <c r="EB953" s="3"/>
      <c r="EC953" s="3"/>
      <c r="ED953" s="3"/>
      <c r="EE953" s="3"/>
      <c r="EF953" s="3"/>
      <c r="EG953" s="3"/>
      <c r="EH953" s="3"/>
      <c r="EI953" s="3"/>
      <c r="EJ953" s="3"/>
      <c r="EK953" s="3"/>
      <c r="EL953" s="3"/>
      <c r="EM953" s="3"/>
      <c r="EN953" s="3"/>
      <c r="EO953" s="3"/>
      <c r="EP953" s="3"/>
      <c r="EQ953" s="3"/>
      <c r="ER953" s="3"/>
      <c r="ES953" s="3"/>
      <c r="ET953" s="3"/>
      <c r="EU953" s="3"/>
      <c r="EV953" s="3"/>
      <c r="EW953" s="3"/>
      <c r="EX953" s="3"/>
      <c r="EY953" s="3"/>
      <c r="EZ953" s="3"/>
      <c r="FA953" s="3"/>
      <c r="FB953" s="3"/>
      <c r="FC953" s="3"/>
      <c r="FD953" s="3"/>
      <c r="FE953" s="3"/>
      <c r="FF953" s="3"/>
      <c r="FG953" s="3"/>
      <c r="FH953" s="3"/>
      <c r="FI953" s="3"/>
      <c r="FJ953" s="3"/>
      <c r="FK953" s="3"/>
      <c r="FL953" s="3"/>
      <c r="FM953" s="3"/>
      <c r="FN953" s="3"/>
      <c r="FO953" s="3"/>
      <c r="FP953" s="3"/>
      <c r="FQ953" s="3"/>
      <c r="FR953" s="3"/>
      <c r="FS953" s="3"/>
      <c r="FT953" s="3"/>
      <c r="FU953" s="3"/>
      <c r="FV953" s="3"/>
      <c r="FW953" s="3"/>
      <c r="FX953" s="3"/>
      <c r="FY953" s="3"/>
      <c r="FZ953" s="3"/>
      <c r="GA953" s="3"/>
      <c r="GB953" s="3"/>
      <c r="GC953" s="3"/>
      <c r="GD953" s="3"/>
      <c r="GE953" s="3"/>
      <c r="GF953" s="3"/>
      <c r="GG953" s="3"/>
      <c r="GH953" s="3"/>
      <c r="GI953" s="3"/>
      <c r="GJ953" s="3"/>
      <c r="GK953" s="3"/>
      <c r="GL953" s="3"/>
      <c r="GM953" s="3"/>
      <c r="GN953" s="3"/>
      <c r="GO953" s="3"/>
      <c r="GP953" s="3"/>
      <c r="GQ953" s="3"/>
      <c r="GR953" s="3"/>
      <c r="GS953" s="3"/>
      <c r="GT953" s="3"/>
      <c r="GU953" s="3"/>
      <c r="GV953" s="3"/>
      <c r="GW953" s="3"/>
      <c r="GX953" s="3"/>
      <c r="GY953" s="3"/>
      <c r="GZ953" s="3"/>
      <c r="HA953" s="3"/>
      <c r="HB953" s="3"/>
      <c r="HC953" s="3"/>
      <c r="HD953" s="3"/>
      <c r="HE953" s="3"/>
      <c r="HF953" s="3"/>
      <c r="HG953" s="3"/>
      <c r="HH953" s="3"/>
      <c r="HI953" s="3"/>
      <c r="HJ953" s="3"/>
      <c r="HK953" s="3"/>
      <c r="HL953" s="3"/>
      <c r="HM953" s="3"/>
      <c r="HN953" s="3"/>
      <c r="HO953" s="3"/>
      <c r="HP953" s="3"/>
      <c r="HQ953" s="3"/>
      <c r="HR953" s="3"/>
      <c r="HS953" s="3"/>
      <c r="HT953" s="3"/>
      <c r="HU953" s="3"/>
      <c r="HV953" s="3"/>
      <c r="HW953" s="3"/>
      <c r="HX953" s="3"/>
      <c r="HY953" s="3"/>
      <c r="HZ953" s="3"/>
      <c r="IA953" s="3"/>
      <c r="IB953" s="3"/>
      <c r="IC953" s="3"/>
      <c r="ID953" s="3"/>
      <c r="IE953" s="3"/>
      <c r="IF953" s="3"/>
      <c r="IG953" s="3"/>
      <c r="IH953" s="3"/>
      <c r="II953" s="3"/>
      <c r="IJ953" s="3"/>
      <c r="IK953" s="3"/>
      <c r="IL953" s="3"/>
      <c r="IM953" s="3"/>
      <c r="IN953" s="3"/>
      <c r="IO953" s="3"/>
      <c r="IP953" s="3"/>
      <c r="IQ953" s="3"/>
      <c r="IR953" s="3"/>
      <c r="IS953" s="3"/>
      <c r="IT953" s="3"/>
      <c r="IU953" s="3"/>
      <c r="IV953" s="3"/>
    </row>
    <row r="954" spans="1:256" s="602" customFormat="1" ht="12" customHeight="1" thickTop="1">
      <c r="A954" s="63"/>
      <c r="B954" s="41"/>
      <c r="C954" s="63"/>
      <c r="E954" s="42" t="s">
        <v>138</v>
      </c>
      <c r="F954" s="42" t="s">
        <v>139</v>
      </c>
      <c r="G954" s="63"/>
      <c r="H954" s="63"/>
      <c r="I954" s="63"/>
      <c r="J954" s="63"/>
      <c r="K954" s="63" t="s">
        <v>140</v>
      </c>
      <c r="L954" s="63"/>
      <c r="M954" s="63"/>
      <c r="N954" s="63"/>
      <c r="O954" s="64"/>
      <c r="P954" s="63"/>
      <c r="Q954" s="63"/>
      <c r="R954" s="63"/>
      <c r="S954" s="63"/>
      <c r="T954" s="41"/>
      <c r="AG954" s="667" t="s">
        <v>278</v>
      </c>
      <c r="AH954" s="667" t="s">
        <v>279</v>
      </c>
      <c r="AI954" s="667" t="s">
        <v>280</v>
      </c>
      <c r="AJ954" s="667" t="s">
        <v>281</v>
      </c>
      <c r="AK954" s="667" t="s">
        <v>282</v>
      </c>
      <c r="AM954" s="668" t="s">
        <v>291</v>
      </c>
      <c r="AN954" s="669" t="s">
        <v>292</v>
      </c>
      <c r="AO954" s="603" t="s">
        <v>288</v>
      </c>
    </row>
    <row r="955" spans="1:256" s="602" customFormat="1" ht="13.2">
      <c r="A955" s="670">
        <v>1</v>
      </c>
      <c r="B955" s="671" t="s">
        <v>320</v>
      </c>
      <c r="C955" s="672"/>
      <c r="D955" s="673" t="s">
        <v>535</v>
      </c>
      <c r="E955" s="674">
        <f>IF(AND($A955=0,$A$1="DIF"),0, ROUND(ROUND(($R962*$S$2+($T962*$T$2))/A955,2)*$C$2,2))</f>
        <v>307.25</v>
      </c>
      <c r="F955" s="675">
        <f>ROUND($A955*$E955,2)</f>
        <v>307.25</v>
      </c>
      <c r="G955" s="676" t="s">
        <v>142</v>
      </c>
      <c r="H955" s="664"/>
      <c r="I955" s="677"/>
      <c r="J955" s="664"/>
      <c r="K955" s="664" t="s">
        <v>3</v>
      </c>
      <c r="L955" s="678" t="s">
        <v>143</v>
      </c>
      <c r="M955" s="678"/>
      <c r="N955" s="678"/>
      <c r="O955" s="678"/>
      <c r="P955" s="678"/>
      <c r="Q955" s="63"/>
      <c r="T955" s="679" t="str">
        <f>IF(AND($R962=0,$T962=0),"0.00","mu :" &amp; ROUND($F955/$C$2/($R962+$T962*$D$9),2))</f>
        <v>mu :1.35</v>
      </c>
      <c r="W955" s="604"/>
      <c r="AG955" s="549">
        <f>IF($E955=0,0,ROUND($R962*$S$2*$C$2/$A955,2))</f>
        <v>13.76</v>
      </c>
      <c r="AH955" s="549">
        <f>$AG955*$A955</f>
        <v>13.76</v>
      </c>
      <c r="AI955" s="605">
        <f>$E955-$AG955</f>
        <v>293.49</v>
      </c>
      <c r="AJ955" s="605">
        <f>$A955*$AI955</f>
        <v>293.49</v>
      </c>
      <c r="AK955" s="606">
        <f>ROUND(($AG955+$AI955)*$A955,2)</f>
        <v>307.25</v>
      </c>
      <c r="AM955" s="607">
        <f>ROUND(R962,2)</f>
        <v>10.47</v>
      </c>
      <c r="AN955" s="608">
        <f>ROUND(T962,2)</f>
        <v>8.1300000000000008</v>
      </c>
      <c r="AO955" s="609">
        <f>ROUND(AM955+AN955,2)*A955</f>
        <v>18.600000000000001</v>
      </c>
    </row>
    <row r="956" spans="1:256" s="730" customFormat="1" ht="13.2">
      <c r="A956" s="672"/>
      <c r="B956"/>
      <c r="C956" s="672"/>
      <c r="D956" s="673" t="s">
        <v>355</v>
      </c>
      <c r="E956" s="602"/>
      <c r="F956" s="664"/>
      <c r="G956" s="3"/>
      <c r="H956" s="664"/>
      <c r="I956" s="677"/>
      <c r="J956" s="664"/>
      <c r="K956" s="664" t="s">
        <v>144</v>
      </c>
      <c r="L956" s="664"/>
      <c r="M956" s="664"/>
      <c r="N956" s="664"/>
      <c r="O956" s="664"/>
      <c r="P956" s="664"/>
      <c r="Q956" s="63"/>
      <c r="R956" s="610"/>
      <c r="S956" s="680"/>
      <c r="T956" s="664"/>
      <c r="U956" s="602"/>
      <c r="V956" s="602"/>
      <c r="W956" s="602"/>
      <c r="X956" s="602"/>
      <c r="Y956" s="602"/>
      <c r="Z956" s="602"/>
      <c r="AA956" s="602"/>
      <c r="AB956" s="602"/>
      <c r="AC956" s="602"/>
      <c r="AD956" s="602"/>
      <c r="AE956" s="602"/>
      <c r="AF956" s="602"/>
      <c r="AG956" s="602"/>
      <c r="AH956" s="602"/>
      <c r="AI956" s="602"/>
      <c r="AJ956" s="602"/>
      <c r="AK956" s="602"/>
      <c r="AL956" s="602"/>
      <c r="AM956" s="602"/>
      <c r="AN956" s="602"/>
      <c r="AO956" s="602"/>
      <c r="AP956" s="602"/>
      <c r="AQ956" s="602"/>
      <c r="AR956" s="602"/>
      <c r="AS956" s="602"/>
      <c r="AT956" s="602"/>
      <c r="AU956" s="602"/>
      <c r="AV956" s="602"/>
      <c r="AW956" s="602"/>
      <c r="AX956" s="602"/>
      <c r="AY956" s="602"/>
      <c r="AZ956" s="602"/>
      <c r="BA956" s="602"/>
      <c r="BB956" s="602"/>
      <c r="BC956" s="602"/>
      <c r="BD956" s="602"/>
      <c r="BE956" s="602"/>
      <c r="BF956" s="602"/>
      <c r="BG956" s="602"/>
      <c r="BH956" s="602"/>
      <c r="BI956" s="602"/>
      <c r="BJ956" s="602"/>
      <c r="BK956" s="602"/>
      <c r="BL956" s="602"/>
      <c r="BM956" s="602"/>
      <c r="BN956" s="602"/>
      <c r="BO956" s="602"/>
      <c r="BP956" s="602"/>
      <c r="BQ956" s="602"/>
      <c r="BR956" s="602"/>
      <c r="BS956" s="602"/>
      <c r="BT956" s="602"/>
      <c r="BU956" s="602"/>
      <c r="BV956" s="602"/>
      <c r="BW956" s="602"/>
      <c r="BX956" s="602"/>
      <c r="BY956" s="602"/>
      <c r="BZ956" s="602"/>
      <c r="CA956" s="602"/>
      <c r="CB956" s="602"/>
      <c r="CC956" s="602"/>
      <c r="CD956" s="602"/>
      <c r="CE956" s="602"/>
      <c r="CF956" s="602"/>
      <c r="CG956" s="602"/>
      <c r="CH956" s="602"/>
      <c r="CI956" s="602"/>
      <c r="CJ956" s="602"/>
      <c r="CK956" s="602"/>
      <c r="CL956" s="602"/>
      <c r="CM956" s="602"/>
      <c r="CN956" s="602"/>
      <c r="CO956" s="602"/>
      <c r="CP956" s="602"/>
      <c r="CQ956" s="602"/>
      <c r="CR956" s="602"/>
      <c r="CS956" s="602"/>
      <c r="CT956" s="602"/>
      <c r="CU956" s="602"/>
      <c r="CV956" s="602"/>
      <c r="CW956" s="602"/>
      <c r="CX956" s="602"/>
      <c r="CY956" s="602"/>
      <c r="CZ956" s="602"/>
      <c r="DA956" s="602"/>
      <c r="DB956" s="602"/>
      <c r="DC956" s="602"/>
      <c r="DD956" s="602"/>
      <c r="DE956" s="602"/>
      <c r="DF956" s="602"/>
      <c r="DG956" s="602"/>
      <c r="DH956" s="602"/>
      <c r="DI956" s="602"/>
      <c r="DJ956" s="602"/>
      <c r="DK956" s="602"/>
      <c r="DL956" s="602"/>
      <c r="DM956" s="602"/>
      <c r="DN956" s="602"/>
      <c r="DO956" s="602"/>
      <c r="DP956" s="602"/>
      <c r="DQ956" s="602"/>
      <c r="DR956" s="602"/>
      <c r="DS956" s="602"/>
      <c r="DT956" s="602"/>
      <c r="DU956" s="602"/>
      <c r="DV956" s="602"/>
      <c r="DW956" s="602"/>
      <c r="DX956" s="602"/>
      <c r="DY956" s="602"/>
      <c r="DZ956" s="602"/>
      <c r="EA956" s="602"/>
      <c r="EB956" s="602"/>
      <c r="EC956" s="602"/>
      <c r="ED956" s="602"/>
      <c r="EE956" s="602"/>
      <c r="EF956" s="602"/>
      <c r="EG956" s="602"/>
      <c r="EH956" s="602"/>
      <c r="EI956" s="602"/>
      <c r="EJ956" s="602"/>
      <c r="EK956" s="602"/>
      <c r="EL956" s="602"/>
      <c r="EM956" s="602"/>
      <c r="EN956" s="602"/>
      <c r="EO956" s="602"/>
      <c r="EP956" s="602"/>
      <c r="EQ956" s="602"/>
      <c r="ER956" s="602"/>
      <c r="ES956" s="602"/>
      <c r="ET956" s="602"/>
      <c r="EU956" s="602"/>
      <c r="EV956" s="602"/>
      <c r="EW956" s="602"/>
      <c r="EX956" s="602"/>
      <c r="EY956" s="602"/>
      <c r="EZ956" s="602"/>
      <c r="FA956" s="602"/>
      <c r="FB956" s="602"/>
      <c r="FC956" s="602"/>
      <c r="FD956" s="602"/>
      <c r="FE956" s="602"/>
      <c r="FF956" s="602"/>
      <c r="FG956" s="602"/>
      <c r="FH956" s="602"/>
      <c r="FI956" s="602"/>
      <c r="FJ956" s="602"/>
      <c r="FK956" s="602"/>
      <c r="FL956" s="602"/>
      <c r="FM956" s="602"/>
      <c r="FN956" s="602"/>
      <c r="FO956" s="602"/>
      <c r="FP956" s="602"/>
      <c r="FQ956" s="602"/>
      <c r="FR956" s="602"/>
      <c r="FS956" s="602"/>
      <c r="FT956" s="602"/>
      <c r="FU956" s="602"/>
      <c r="FV956" s="602"/>
      <c r="FW956" s="602"/>
      <c r="FX956" s="602"/>
      <c r="FY956" s="602"/>
      <c r="FZ956" s="602"/>
      <c r="GA956" s="602"/>
      <c r="GB956" s="602"/>
      <c r="GC956" s="602"/>
      <c r="GD956" s="602"/>
      <c r="GE956" s="602"/>
      <c r="GF956" s="602"/>
      <c r="GG956" s="602"/>
      <c r="GH956" s="602"/>
      <c r="GI956" s="602"/>
      <c r="GJ956" s="602"/>
      <c r="GK956" s="602"/>
      <c r="GL956" s="602"/>
      <c r="GM956" s="602"/>
      <c r="GN956" s="602"/>
      <c r="GO956" s="602"/>
      <c r="GP956" s="602"/>
      <c r="GQ956" s="602"/>
      <c r="GR956" s="602"/>
      <c r="GS956" s="602"/>
      <c r="GT956" s="602"/>
      <c r="GU956" s="602"/>
      <c r="GV956" s="602"/>
      <c r="GW956" s="602"/>
      <c r="GX956" s="602"/>
      <c r="GY956" s="602"/>
      <c r="GZ956" s="602"/>
      <c r="HA956" s="602"/>
      <c r="HB956" s="602"/>
      <c r="HC956" s="602"/>
      <c r="HD956" s="602"/>
      <c r="HE956" s="602"/>
      <c r="HF956" s="602"/>
      <c r="HG956" s="602"/>
      <c r="HH956" s="602"/>
      <c r="HI956" s="602"/>
      <c r="HJ956" s="602"/>
      <c r="HK956" s="602"/>
      <c r="HL956" s="602"/>
      <c r="HM956" s="602"/>
      <c r="HN956" s="602"/>
      <c r="HO956" s="602"/>
      <c r="HP956" s="602"/>
      <c r="HQ956" s="602"/>
      <c r="HR956" s="602"/>
      <c r="HS956" s="602"/>
      <c r="HT956" s="602"/>
      <c r="HU956" s="602"/>
      <c r="HV956" s="602"/>
      <c r="HW956" s="602"/>
      <c r="HX956" s="602"/>
      <c r="HY956" s="602"/>
      <c r="HZ956" s="602"/>
      <c r="IA956" s="602"/>
      <c r="IB956" s="602"/>
      <c r="IC956" s="602"/>
      <c r="ID956" s="602"/>
      <c r="IE956" s="602"/>
      <c r="IF956" s="602"/>
      <c r="IG956" s="602"/>
      <c r="IH956" s="602"/>
      <c r="II956" s="602"/>
      <c r="IJ956" s="602"/>
      <c r="IK956" s="602"/>
      <c r="IL956" s="602"/>
      <c r="IM956" s="602"/>
      <c r="IN956" s="602"/>
      <c r="IO956" s="602"/>
      <c r="IP956" s="602"/>
      <c r="IQ956" s="602"/>
      <c r="IR956" s="602"/>
      <c r="IS956" s="602"/>
      <c r="IT956" s="602"/>
      <c r="IU956" s="602"/>
      <c r="IV956" s="602"/>
    </row>
    <row r="957" spans="1:256" s="730" customFormat="1" ht="13.2">
      <c r="A957">
        <v>1</v>
      </c>
      <c r="B957" s="730" t="s">
        <v>141</v>
      </c>
      <c r="D957" s="730" t="s">
        <v>724</v>
      </c>
      <c r="E957" s="749" t="s">
        <v>679</v>
      </c>
      <c r="F957" s="806" t="s">
        <v>760</v>
      </c>
      <c r="G957" s="731" t="s">
        <v>725</v>
      </c>
      <c r="H957" s="732">
        <v>510</v>
      </c>
      <c r="I957" s="730" t="s">
        <v>674</v>
      </c>
      <c r="K957" s="730" t="s">
        <v>699</v>
      </c>
      <c r="O957" s="733">
        <v>2</v>
      </c>
      <c r="P957" s="734"/>
      <c r="Q957" s="735"/>
      <c r="R957" s="736">
        <f>$A957*Q957</f>
        <v>0</v>
      </c>
      <c r="S957" s="735">
        <v>8</v>
      </c>
      <c r="T957" s="737">
        <f>$A957*S957*$T$1</f>
        <v>8</v>
      </c>
    </row>
    <row r="958" spans="1:256" s="730" customFormat="1" ht="13.2">
      <c r="A958" s="167">
        <v>1</v>
      </c>
      <c r="B958" s="730" t="s">
        <v>141</v>
      </c>
      <c r="D958" s="730" t="s">
        <v>726</v>
      </c>
      <c r="G958" s="731" t="s">
        <v>727</v>
      </c>
      <c r="H958" s="732">
        <v>880</v>
      </c>
      <c r="I958" s="730" t="s">
        <v>674</v>
      </c>
      <c r="O958" s="733">
        <v>3</v>
      </c>
      <c r="P958" s="734">
        <v>35443</v>
      </c>
      <c r="Q958" s="823">
        <v>4.66</v>
      </c>
      <c r="R958" s="736">
        <f>$A958*Q958</f>
        <v>4.66</v>
      </c>
      <c r="S958" s="735">
        <v>0.08</v>
      </c>
      <c r="T958" s="737">
        <f>$A958*S958*$T$1</f>
        <v>0.08</v>
      </c>
    </row>
    <row r="959" spans="1:256" s="730" customFormat="1" ht="13.2">
      <c r="A959" s="167">
        <v>4</v>
      </c>
      <c r="B959" s="730" t="s">
        <v>141</v>
      </c>
      <c r="D959" s="730" t="s">
        <v>728</v>
      </c>
      <c r="G959" s="731" t="s">
        <v>729</v>
      </c>
      <c r="H959" s="732">
        <v>875</v>
      </c>
      <c r="I959" s="730" t="s">
        <v>674</v>
      </c>
      <c r="K959" s="730" t="s">
        <v>730</v>
      </c>
      <c r="O959" s="733">
        <v>1</v>
      </c>
      <c r="P959" s="734">
        <v>34669</v>
      </c>
      <c r="Q959" s="823">
        <v>0.57999999999999996</v>
      </c>
      <c r="R959" s="736">
        <f>$A959*Q959</f>
        <v>2.3199999999999998</v>
      </c>
      <c r="S959" s="735"/>
      <c r="T959" s="737">
        <f>$A959*S959*$T$1</f>
        <v>0</v>
      </c>
    </row>
    <row r="960" spans="1:256" s="602" customFormat="1" ht="13.2">
      <c r="A960" s="167">
        <v>1</v>
      </c>
      <c r="B960" s="730" t="s">
        <v>141</v>
      </c>
      <c r="C960" s="730"/>
      <c r="D960" s="730" t="s">
        <v>731</v>
      </c>
      <c r="E960" s="730"/>
      <c r="F960" s="730"/>
      <c r="G960" s="731" t="s">
        <v>732</v>
      </c>
      <c r="H960" s="732">
        <v>875</v>
      </c>
      <c r="I960" s="730" t="s">
        <v>674</v>
      </c>
      <c r="J960" s="730"/>
      <c r="K960" s="730" t="s">
        <v>733</v>
      </c>
      <c r="L960" s="730"/>
      <c r="M960" s="730"/>
      <c r="N960" s="730"/>
      <c r="O960" s="733">
        <v>3</v>
      </c>
      <c r="P960" s="734">
        <v>34820</v>
      </c>
      <c r="Q960" s="823">
        <v>3.49</v>
      </c>
      <c r="R960" s="736">
        <f>$A960*Q960</f>
        <v>3.49</v>
      </c>
      <c r="S960" s="735">
        <v>0.05</v>
      </c>
      <c r="T960" s="737">
        <f>$A960*S960*$T$1</f>
        <v>0.05</v>
      </c>
      <c r="U960" s="730"/>
      <c r="V960" s="730"/>
      <c r="W960" s="730"/>
      <c r="X960" s="730"/>
      <c r="Y960" s="730"/>
      <c r="Z960" s="730"/>
      <c r="AA960" s="730"/>
      <c r="AB960" s="730"/>
      <c r="AC960" s="730"/>
      <c r="AD960" s="730"/>
      <c r="AE960" s="730"/>
      <c r="AF960" s="730"/>
      <c r="AG960" s="730"/>
      <c r="AH960" s="730"/>
      <c r="AI960" s="730"/>
      <c r="AJ960" s="730"/>
      <c r="AK960" s="730"/>
      <c r="AL960" s="730"/>
      <c r="AM960" s="730"/>
      <c r="AN960" s="730"/>
      <c r="AO960" s="730"/>
      <c r="AP960" s="730"/>
      <c r="AQ960" s="730"/>
      <c r="AR960" s="730"/>
      <c r="AS960" s="730"/>
      <c r="AT960" s="730"/>
      <c r="AU960" s="730"/>
      <c r="AV960" s="730"/>
      <c r="AW960" s="730"/>
      <c r="AX960" s="730"/>
      <c r="AY960" s="730"/>
      <c r="AZ960" s="730"/>
      <c r="BA960" s="730"/>
      <c r="BB960" s="730"/>
      <c r="BC960" s="730"/>
      <c r="BD960" s="730"/>
      <c r="BE960" s="730"/>
      <c r="BF960" s="730"/>
      <c r="BG960" s="730"/>
      <c r="BH960" s="730"/>
      <c r="BI960" s="730"/>
      <c r="BJ960" s="730"/>
      <c r="BK960" s="730"/>
      <c r="BL960" s="730"/>
      <c r="BM960" s="730"/>
      <c r="BN960" s="730"/>
      <c r="BO960" s="730"/>
      <c r="BP960" s="730"/>
      <c r="BQ960" s="730"/>
      <c r="BR960" s="730"/>
      <c r="BS960" s="730"/>
      <c r="BT960" s="730"/>
      <c r="BU960" s="730"/>
      <c r="BV960" s="730"/>
      <c r="BW960" s="730"/>
      <c r="BX960" s="730"/>
      <c r="BY960" s="730"/>
      <c r="BZ960" s="730"/>
      <c r="CA960" s="730"/>
      <c r="CB960" s="730"/>
      <c r="CC960" s="730"/>
      <c r="CD960" s="730"/>
      <c r="CE960" s="730"/>
      <c r="CF960" s="730"/>
      <c r="CG960" s="730"/>
      <c r="CH960" s="730"/>
      <c r="CI960" s="730"/>
      <c r="CJ960" s="730"/>
      <c r="CK960" s="730"/>
      <c r="CL960" s="730"/>
      <c r="CM960" s="730"/>
      <c r="CN960" s="730"/>
      <c r="CO960" s="730"/>
      <c r="CP960" s="730"/>
      <c r="CQ960" s="730"/>
      <c r="CR960" s="730"/>
      <c r="CS960" s="730"/>
      <c r="CT960" s="730"/>
      <c r="CU960" s="730"/>
      <c r="CV960" s="730"/>
      <c r="CW960" s="730"/>
      <c r="CX960" s="730"/>
      <c r="CY960" s="730"/>
      <c r="CZ960" s="730"/>
      <c r="DA960" s="730"/>
      <c r="DB960" s="730"/>
      <c r="DC960" s="730"/>
      <c r="DD960" s="730"/>
      <c r="DE960" s="730"/>
      <c r="DF960" s="730"/>
      <c r="DG960" s="730"/>
      <c r="DH960" s="730"/>
      <c r="DI960" s="730"/>
      <c r="DJ960" s="730"/>
      <c r="DK960" s="730"/>
      <c r="DL960" s="730"/>
      <c r="DM960" s="730"/>
      <c r="DN960" s="730"/>
      <c r="DO960" s="730"/>
      <c r="DP960" s="730"/>
      <c r="DQ960" s="730"/>
      <c r="DR960" s="730"/>
      <c r="DS960" s="730"/>
      <c r="DT960" s="730"/>
      <c r="DU960" s="730"/>
      <c r="DV960" s="730"/>
      <c r="DW960" s="730"/>
      <c r="DX960" s="730"/>
      <c r="DY960" s="730"/>
      <c r="DZ960" s="730"/>
      <c r="EA960" s="730"/>
      <c r="EB960" s="730"/>
      <c r="EC960" s="730"/>
      <c r="ED960" s="730"/>
      <c r="EE960" s="730"/>
      <c r="EF960" s="730"/>
      <c r="EG960" s="730"/>
      <c r="EH960" s="730"/>
      <c r="EI960" s="730"/>
      <c r="EJ960" s="730"/>
      <c r="EK960" s="730"/>
      <c r="EL960" s="730"/>
      <c r="EM960" s="730"/>
      <c r="EN960" s="730"/>
      <c r="EO960" s="730"/>
      <c r="EP960" s="730"/>
      <c r="EQ960" s="730"/>
      <c r="ER960" s="730"/>
      <c r="ES960" s="730"/>
      <c r="ET960" s="730"/>
      <c r="EU960" s="730"/>
      <c r="EV960" s="730"/>
      <c r="EW960" s="730"/>
      <c r="EX960" s="730"/>
      <c r="EY960" s="730"/>
      <c r="EZ960" s="730"/>
      <c r="FA960" s="730"/>
      <c r="FB960" s="730"/>
      <c r="FC960" s="730"/>
      <c r="FD960" s="730"/>
      <c r="FE960" s="730"/>
      <c r="FF960" s="730"/>
      <c r="FG960" s="730"/>
      <c r="FH960" s="730"/>
      <c r="FI960" s="730"/>
      <c r="FJ960" s="730"/>
      <c r="FK960" s="730"/>
      <c r="FL960" s="730"/>
      <c r="FM960" s="730"/>
      <c r="FN960" s="730"/>
      <c r="FO960" s="730"/>
      <c r="FP960" s="730"/>
      <c r="FQ960" s="730"/>
      <c r="FR960" s="730"/>
      <c r="FS960" s="730"/>
      <c r="FT960" s="730"/>
      <c r="FU960" s="730"/>
      <c r="FV960" s="730"/>
      <c r="FW960" s="730"/>
      <c r="FX960" s="730"/>
      <c r="FY960" s="730"/>
      <c r="FZ960" s="730"/>
      <c r="GA960" s="730"/>
      <c r="GB960" s="730"/>
      <c r="GC960" s="730"/>
      <c r="GD960" s="730"/>
      <c r="GE960" s="730"/>
      <c r="GF960" s="730"/>
      <c r="GG960" s="730"/>
      <c r="GH960" s="730"/>
      <c r="GI960" s="730"/>
      <c r="GJ960" s="730"/>
      <c r="GK960" s="730"/>
      <c r="GL960" s="730"/>
      <c r="GM960" s="730"/>
      <c r="GN960" s="730"/>
      <c r="GO960" s="730"/>
      <c r="GP960" s="730"/>
      <c r="GQ960" s="730"/>
      <c r="GR960" s="730"/>
      <c r="GS960" s="730"/>
      <c r="GT960" s="730"/>
      <c r="GU960" s="730"/>
      <c r="GV960" s="730"/>
      <c r="GW960" s="730"/>
      <c r="GX960" s="730"/>
      <c r="GY960" s="730"/>
      <c r="GZ960" s="730"/>
      <c r="HA960" s="730"/>
      <c r="HB960" s="730"/>
      <c r="HC960" s="730"/>
      <c r="HD960" s="730"/>
      <c r="HE960" s="730"/>
      <c r="HF960" s="730"/>
      <c r="HG960" s="730"/>
      <c r="HH960" s="730"/>
      <c r="HI960" s="730"/>
      <c r="HJ960" s="730"/>
      <c r="HK960" s="730"/>
      <c r="HL960" s="730"/>
      <c r="HM960" s="730"/>
      <c r="HN960" s="730"/>
      <c r="HO960" s="730"/>
      <c r="HP960" s="730"/>
      <c r="HQ960" s="730"/>
      <c r="HR960" s="730"/>
      <c r="HS960" s="730"/>
      <c r="HT960" s="730"/>
      <c r="HU960" s="730"/>
      <c r="HV960" s="730"/>
      <c r="HW960" s="730"/>
      <c r="HX960" s="730"/>
      <c r="HY960" s="730"/>
      <c r="HZ960" s="730"/>
      <c r="IA960" s="730"/>
      <c r="IB960" s="730"/>
      <c r="IC960" s="730"/>
      <c r="ID960" s="730"/>
      <c r="IE960" s="730"/>
      <c r="IF960" s="730"/>
      <c r="IG960" s="730"/>
      <c r="IH960" s="730"/>
      <c r="II960" s="730"/>
      <c r="IJ960" s="730"/>
      <c r="IK960" s="730"/>
      <c r="IL960" s="730"/>
      <c r="IM960" s="730"/>
      <c r="IN960" s="730"/>
      <c r="IO960" s="730"/>
      <c r="IP960" s="730"/>
      <c r="IQ960" s="730"/>
      <c r="IR960" s="730"/>
      <c r="IS960" s="730"/>
      <c r="IT960" s="730"/>
      <c r="IU960" s="730"/>
      <c r="IV960" s="730"/>
    </row>
    <row r="961" spans="1:256" s="602" customFormat="1" ht="12">
      <c r="A961" s="663"/>
      <c r="B961" s="663"/>
      <c r="C961" s="663"/>
      <c r="D961" s="663"/>
      <c r="E961" s="663"/>
      <c r="F961" s="664"/>
      <c r="G961" s="663"/>
      <c r="H961" s="663"/>
      <c r="I961" s="601"/>
      <c r="J961" s="663"/>
      <c r="K961" s="663"/>
      <c r="L961" s="663"/>
      <c r="M961" s="663"/>
      <c r="N961" s="663"/>
      <c r="O961" s="663"/>
      <c r="P961" s="663"/>
      <c r="Q961" s="601"/>
      <c r="R961" s="666">
        <f>$A961*Q961</f>
        <v>0</v>
      </c>
      <c r="S961" s="601"/>
      <c r="T961" s="681">
        <f>$A961*S961*$T$1</f>
        <v>0</v>
      </c>
    </row>
    <row r="962" spans="1:256" s="602" customFormat="1" ht="12.6" thickBot="1">
      <c r="A962" s="682" t="s">
        <v>145</v>
      </c>
      <c r="B962" s="683">
        <f>(R961+T961)</f>
        <v>0</v>
      </c>
      <c r="C962" s="684"/>
      <c r="D962" s="684"/>
      <c r="E962" s="684"/>
      <c r="F962" s="685"/>
      <c r="G962" s="684" t="s">
        <v>146</v>
      </c>
      <c r="H962" s="684"/>
      <c r="I962" s="686"/>
      <c r="J962" s="684"/>
      <c r="K962" s="684" t="s">
        <v>3</v>
      </c>
      <c r="L962" s="687" t="s">
        <v>143</v>
      </c>
      <c r="M962" s="687"/>
      <c r="N962" s="687"/>
      <c r="O962" s="687"/>
      <c r="P962" s="687"/>
      <c r="Q962" s="688"/>
      <c r="R962" s="689">
        <f>SUM(R956:R961)</f>
        <v>10.47</v>
      </c>
      <c r="S962" s="684"/>
      <c r="T962" s="689">
        <f>SUM(T956:T961)</f>
        <v>8.1300000000000008</v>
      </c>
      <c r="U962" s="611"/>
      <c r="V962" s="611"/>
      <c r="W962" s="611"/>
      <c r="X962" s="611"/>
      <c r="Y962" s="611"/>
      <c r="Z962" s="611"/>
      <c r="AA962" s="611"/>
      <c r="AB962" s="611"/>
      <c r="AC962" s="611"/>
      <c r="AD962" s="611"/>
      <c r="AE962" s="611"/>
      <c r="AF962" s="611"/>
      <c r="AG962" s="611"/>
      <c r="AH962" s="611"/>
      <c r="AI962" s="611"/>
      <c r="AJ962" s="611"/>
      <c r="AK962" s="611"/>
      <c r="AL962" s="611"/>
      <c r="AM962" s="611"/>
      <c r="AN962" s="611"/>
      <c r="AO962" s="611"/>
    </row>
    <row r="963" spans="1:256" s="602" customFormat="1" ht="12" customHeight="1" thickTop="1">
      <c r="A963" s="63"/>
      <c r="B963" s="41"/>
      <c r="C963" s="63"/>
      <c r="E963" s="42" t="s">
        <v>138</v>
      </c>
      <c r="F963" s="42" t="s">
        <v>139</v>
      </c>
      <c r="G963" s="63"/>
      <c r="H963" s="63"/>
      <c r="I963" s="63"/>
      <c r="J963" s="63"/>
      <c r="K963" s="63" t="s">
        <v>140</v>
      </c>
      <c r="L963" s="63"/>
      <c r="M963" s="63"/>
      <c r="N963" s="63"/>
      <c r="O963" s="64"/>
      <c r="P963" s="63"/>
      <c r="Q963" s="63"/>
      <c r="R963" s="63"/>
      <c r="S963" s="63"/>
      <c r="T963" s="41"/>
      <c r="AG963" s="667" t="s">
        <v>278</v>
      </c>
      <c r="AH963" s="667" t="s">
        <v>279</v>
      </c>
      <c r="AI963" s="667" t="s">
        <v>280</v>
      </c>
      <c r="AJ963" s="667" t="s">
        <v>281</v>
      </c>
      <c r="AK963" s="667" t="s">
        <v>282</v>
      </c>
      <c r="AM963" s="668" t="s">
        <v>291</v>
      </c>
      <c r="AN963" s="669" t="s">
        <v>292</v>
      </c>
      <c r="AO963" s="603" t="s">
        <v>288</v>
      </c>
    </row>
    <row r="964" spans="1:256" s="602" customFormat="1" ht="13.2">
      <c r="A964" s="670">
        <v>1</v>
      </c>
      <c r="B964" s="671" t="s">
        <v>312</v>
      </c>
      <c r="C964" s="672"/>
      <c r="D964" s="673" t="s">
        <v>536</v>
      </c>
      <c r="E964" s="674">
        <f>IF(AND($A964=0,$A$1="DIF"),0, ROUND(ROUND(($R969*$S$2+($T969*$T$2))/A964,2)*$C$2,2))</f>
        <v>354.53</v>
      </c>
      <c r="F964" s="675">
        <f>ROUND($A964*$E964,2)</f>
        <v>354.53</v>
      </c>
      <c r="G964" s="676" t="s">
        <v>142</v>
      </c>
      <c r="H964" s="664"/>
      <c r="I964" s="677"/>
      <c r="J964" s="664"/>
      <c r="K964" s="664" t="s">
        <v>3</v>
      </c>
      <c r="L964" s="678" t="s">
        <v>143</v>
      </c>
      <c r="M964" s="678"/>
      <c r="N964" s="678"/>
      <c r="O964" s="678"/>
      <c r="P964" s="678"/>
      <c r="Q964" s="63"/>
      <c r="T964" s="679" t="str">
        <f>IF(AND($R969=0,$T969=0),"0.00","mu :" &amp; ROUND($F964/$C$2/($R969+$T969*$D$9),2))</f>
        <v>mu :1.35</v>
      </c>
      <c r="W964" s="604"/>
      <c r="AG964" s="549">
        <f>IF($E964=0,0,ROUND($R969*$S$2*$C$2/$A964,2))</f>
        <v>65.73</v>
      </c>
      <c r="AH964" s="549">
        <f>$AG964*$A964</f>
        <v>65.73</v>
      </c>
      <c r="AI964" s="605">
        <f>$E964-$AG964</f>
        <v>288.79999999999995</v>
      </c>
      <c r="AJ964" s="605">
        <f>$A964*$AI964</f>
        <v>288.79999999999995</v>
      </c>
      <c r="AK964" s="606">
        <f>ROUND(($AG964+$AI964)*$A964,2)</f>
        <v>354.53</v>
      </c>
      <c r="AM964" s="607">
        <f>ROUND(R969,2)</f>
        <v>50</v>
      </c>
      <c r="AN964" s="608">
        <f>ROUND(T969,2)</f>
        <v>8</v>
      </c>
      <c r="AO964" s="609">
        <f>ROUND(AM964+AN964,2)*A964</f>
        <v>58</v>
      </c>
    </row>
    <row r="965" spans="1:256" s="730" customFormat="1" ht="13.2">
      <c r="A965" s="672"/>
      <c r="B965"/>
      <c r="C965" s="672"/>
      <c r="D965" s="1368" t="s">
        <v>537</v>
      </c>
      <c r="E965" s="1369"/>
      <c r="F965" s="1369"/>
      <c r="G965" s="1369"/>
      <c r="H965" s="1369"/>
      <c r="I965" s="1369"/>
      <c r="J965" s="1369"/>
      <c r="K965" s="1369"/>
      <c r="L965" s="1369"/>
      <c r="M965" s="1369"/>
      <c r="N965" s="1369"/>
      <c r="O965" s="1369"/>
      <c r="P965" s="1369"/>
      <c r="Q965" s="1369"/>
      <c r="R965" s="1369"/>
      <c r="S965" s="1369"/>
      <c r="T965" s="1369"/>
      <c r="U965" s="602"/>
      <c r="V965" s="602"/>
      <c r="W965" s="602"/>
      <c r="X965" s="602"/>
      <c r="Y965" s="602"/>
      <c r="Z965" s="602"/>
      <c r="AA965" s="602"/>
      <c r="AB965" s="602"/>
      <c r="AC965" s="602"/>
      <c r="AD965" s="602"/>
      <c r="AE965" s="602"/>
      <c r="AF965" s="602"/>
      <c r="AG965" s="602"/>
      <c r="AH965" s="602"/>
      <c r="AI965" s="602"/>
      <c r="AJ965" s="602"/>
      <c r="AK965" s="602"/>
      <c r="AL965" s="602"/>
      <c r="AM965" s="602"/>
      <c r="AN965" s="602"/>
      <c r="AO965" s="602"/>
      <c r="AP965" s="602"/>
      <c r="AQ965" s="602"/>
      <c r="AR965" s="602"/>
      <c r="AS965" s="602"/>
      <c r="AT965" s="602"/>
      <c r="AU965" s="602"/>
      <c r="AV965" s="602"/>
      <c r="AW965" s="602"/>
      <c r="AX965" s="602"/>
      <c r="AY965" s="602"/>
      <c r="AZ965" s="602"/>
      <c r="BA965" s="602"/>
      <c r="BB965" s="602"/>
      <c r="BC965" s="602"/>
      <c r="BD965" s="602"/>
      <c r="BE965" s="602"/>
      <c r="BF965" s="602"/>
      <c r="BG965" s="602"/>
      <c r="BH965" s="602"/>
      <c r="BI965" s="602"/>
      <c r="BJ965" s="602"/>
      <c r="BK965" s="602"/>
      <c r="BL965" s="602"/>
      <c r="BM965" s="602"/>
      <c r="BN965" s="602"/>
      <c r="BO965" s="602"/>
      <c r="BP965" s="602"/>
      <c r="BQ965" s="602"/>
      <c r="BR965" s="602"/>
      <c r="BS965" s="602"/>
      <c r="BT965" s="602"/>
      <c r="BU965" s="602"/>
      <c r="BV965" s="602"/>
      <c r="BW965" s="602"/>
      <c r="BX965" s="602"/>
      <c r="BY965" s="602"/>
      <c r="BZ965" s="602"/>
      <c r="CA965" s="602"/>
      <c r="CB965" s="602"/>
      <c r="CC965" s="602"/>
      <c r="CD965" s="602"/>
      <c r="CE965" s="602"/>
      <c r="CF965" s="602"/>
      <c r="CG965" s="602"/>
      <c r="CH965" s="602"/>
      <c r="CI965" s="602"/>
      <c r="CJ965" s="602"/>
      <c r="CK965" s="602"/>
      <c r="CL965" s="602"/>
      <c r="CM965" s="602"/>
      <c r="CN965" s="602"/>
      <c r="CO965" s="602"/>
      <c r="CP965" s="602"/>
      <c r="CQ965" s="602"/>
      <c r="CR965" s="602"/>
      <c r="CS965" s="602"/>
      <c r="CT965" s="602"/>
      <c r="CU965" s="602"/>
      <c r="CV965" s="602"/>
      <c r="CW965" s="602"/>
      <c r="CX965" s="602"/>
      <c r="CY965" s="602"/>
      <c r="CZ965" s="602"/>
      <c r="DA965" s="602"/>
      <c r="DB965" s="602"/>
      <c r="DC965" s="602"/>
      <c r="DD965" s="602"/>
      <c r="DE965" s="602"/>
      <c r="DF965" s="602"/>
      <c r="DG965" s="602"/>
      <c r="DH965" s="602"/>
      <c r="DI965" s="602"/>
      <c r="DJ965" s="602"/>
      <c r="DK965" s="602"/>
      <c r="DL965" s="602"/>
      <c r="DM965" s="602"/>
      <c r="DN965" s="602"/>
      <c r="DO965" s="602"/>
      <c r="DP965" s="602"/>
      <c r="DQ965" s="602"/>
      <c r="DR965" s="602"/>
      <c r="DS965" s="602"/>
      <c r="DT965" s="602"/>
      <c r="DU965" s="602"/>
      <c r="DV965" s="602"/>
      <c r="DW965" s="602"/>
      <c r="DX965" s="602"/>
      <c r="DY965" s="602"/>
      <c r="DZ965" s="602"/>
      <c r="EA965" s="602"/>
      <c r="EB965" s="602"/>
      <c r="EC965" s="602"/>
      <c r="ED965" s="602"/>
      <c r="EE965" s="602"/>
      <c r="EF965" s="602"/>
      <c r="EG965" s="602"/>
      <c r="EH965" s="602"/>
      <c r="EI965" s="602"/>
      <c r="EJ965" s="602"/>
      <c r="EK965" s="602"/>
      <c r="EL965" s="602"/>
      <c r="EM965" s="602"/>
      <c r="EN965" s="602"/>
      <c r="EO965" s="602"/>
      <c r="EP965" s="602"/>
      <c r="EQ965" s="602"/>
      <c r="ER965" s="602"/>
      <c r="ES965" s="602"/>
      <c r="ET965" s="602"/>
      <c r="EU965" s="602"/>
      <c r="EV965" s="602"/>
      <c r="EW965" s="602"/>
      <c r="EX965" s="602"/>
      <c r="EY965" s="602"/>
      <c r="EZ965" s="602"/>
      <c r="FA965" s="602"/>
      <c r="FB965" s="602"/>
      <c r="FC965" s="602"/>
      <c r="FD965" s="602"/>
      <c r="FE965" s="602"/>
      <c r="FF965" s="602"/>
      <c r="FG965" s="602"/>
      <c r="FH965" s="602"/>
      <c r="FI965" s="602"/>
      <c r="FJ965" s="602"/>
      <c r="FK965" s="602"/>
      <c r="FL965" s="602"/>
      <c r="FM965" s="602"/>
      <c r="FN965" s="602"/>
      <c r="FO965" s="602"/>
      <c r="FP965" s="602"/>
      <c r="FQ965" s="602"/>
      <c r="FR965" s="602"/>
      <c r="FS965" s="602"/>
      <c r="FT965" s="602"/>
      <c r="FU965" s="602"/>
      <c r="FV965" s="602"/>
      <c r="FW965" s="602"/>
      <c r="FX965" s="602"/>
      <c r="FY965" s="602"/>
      <c r="FZ965" s="602"/>
      <c r="GA965" s="602"/>
      <c r="GB965" s="602"/>
      <c r="GC965" s="602"/>
      <c r="GD965" s="602"/>
      <c r="GE965" s="602"/>
      <c r="GF965" s="602"/>
      <c r="GG965" s="602"/>
      <c r="GH965" s="602"/>
      <c r="GI965" s="602"/>
      <c r="GJ965" s="602"/>
      <c r="GK965" s="602"/>
      <c r="GL965" s="602"/>
      <c r="GM965" s="602"/>
      <c r="GN965" s="602"/>
      <c r="GO965" s="602"/>
      <c r="GP965" s="602"/>
      <c r="GQ965" s="602"/>
      <c r="GR965" s="602"/>
      <c r="GS965" s="602"/>
      <c r="GT965" s="602"/>
      <c r="GU965" s="602"/>
      <c r="GV965" s="602"/>
      <c r="GW965" s="602"/>
      <c r="GX965" s="602"/>
      <c r="GY965" s="602"/>
      <c r="GZ965" s="602"/>
      <c r="HA965" s="602"/>
      <c r="HB965" s="602"/>
      <c r="HC965" s="602"/>
      <c r="HD965" s="602"/>
      <c r="HE965" s="602"/>
      <c r="HF965" s="602"/>
      <c r="HG965" s="602"/>
      <c r="HH965" s="602"/>
      <c r="HI965" s="602"/>
      <c r="HJ965" s="602"/>
      <c r="HK965" s="602"/>
      <c r="HL965" s="602"/>
      <c r="HM965" s="602"/>
      <c r="HN965" s="602"/>
      <c r="HO965" s="602"/>
      <c r="HP965" s="602"/>
      <c r="HQ965" s="602"/>
      <c r="HR965" s="602"/>
      <c r="HS965" s="602"/>
      <c r="HT965" s="602"/>
      <c r="HU965" s="602"/>
      <c r="HV965" s="602"/>
      <c r="HW965" s="602"/>
      <c r="HX965" s="602"/>
      <c r="HY965" s="602"/>
      <c r="HZ965" s="602"/>
      <c r="IA965" s="602"/>
      <c r="IB965" s="602"/>
      <c r="IC965" s="602"/>
      <c r="ID965" s="602"/>
      <c r="IE965" s="602"/>
      <c r="IF965" s="602"/>
      <c r="IG965" s="602"/>
      <c r="IH965" s="602"/>
      <c r="II965" s="602"/>
      <c r="IJ965" s="602"/>
      <c r="IK965" s="602"/>
      <c r="IL965" s="602"/>
      <c r="IM965" s="602"/>
      <c r="IN965" s="602"/>
      <c r="IO965" s="602"/>
      <c r="IP965" s="602"/>
      <c r="IQ965" s="602"/>
      <c r="IR965" s="602"/>
      <c r="IS965" s="602"/>
      <c r="IT965" s="602"/>
      <c r="IU965" s="602"/>
      <c r="IV965" s="602"/>
    </row>
    <row r="966" spans="1:256" s="730" customFormat="1" ht="13.2">
      <c r="A966">
        <v>1</v>
      </c>
      <c r="B966" s="730" t="s">
        <v>141</v>
      </c>
      <c r="D966" s="730" t="s">
        <v>761</v>
      </c>
      <c r="G966" s="731" t="s">
        <v>737</v>
      </c>
      <c r="H966" s="732">
        <v>570</v>
      </c>
      <c r="I966" s="730" t="s">
        <v>674</v>
      </c>
      <c r="O966" s="733">
        <v>2</v>
      </c>
      <c r="P966" s="734">
        <v>38443</v>
      </c>
      <c r="Q966" s="735"/>
      <c r="R966" s="736">
        <f>$A966*Q966</f>
        <v>0</v>
      </c>
      <c r="S966" s="735">
        <v>8</v>
      </c>
      <c r="T966" s="737">
        <f>$A966*S966*$T$1</f>
        <v>8</v>
      </c>
    </row>
    <row r="967" spans="1:256" s="602" customFormat="1" ht="13.2">
      <c r="A967">
        <v>1</v>
      </c>
      <c r="B967" s="730" t="s">
        <v>141</v>
      </c>
      <c r="C967" s="730"/>
      <c r="D967" s="730" t="s">
        <v>676</v>
      </c>
      <c r="E967" s="730"/>
      <c r="F967" s="730"/>
      <c r="G967" s="731" t="s">
        <v>677</v>
      </c>
      <c r="H967" s="732">
        <v>501</v>
      </c>
      <c r="I967" s="730" t="s">
        <v>674</v>
      </c>
      <c r="J967" s="730"/>
      <c r="K967" s="730" t="s">
        <v>678</v>
      </c>
      <c r="L967" s="730"/>
      <c r="M967" s="730"/>
      <c r="N967" s="730"/>
      <c r="O967" s="733">
        <v>1</v>
      </c>
      <c r="P967" s="734"/>
      <c r="Q967" s="735">
        <v>50</v>
      </c>
      <c r="R967" s="736">
        <f>$A967*Q967</f>
        <v>50</v>
      </c>
      <c r="S967" s="735"/>
      <c r="T967" s="737">
        <f>$A967*S967*$T$1</f>
        <v>0</v>
      </c>
      <c r="U967" s="730"/>
      <c r="V967" s="730"/>
      <c r="W967" s="730"/>
      <c r="X967" s="730"/>
      <c r="Y967" s="730"/>
      <c r="Z967" s="730"/>
      <c r="AA967" s="730"/>
      <c r="AB967" s="730"/>
      <c r="AC967" s="730"/>
      <c r="AD967" s="730"/>
      <c r="AE967" s="730"/>
      <c r="AF967" s="730"/>
      <c r="AG967" s="730"/>
      <c r="AH967" s="730"/>
      <c r="AI967" s="730"/>
      <c r="AJ967" s="730"/>
      <c r="AK967" s="730"/>
      <c r="AL967" s="730"/>
      <c r="AM967" s="730"/>
      <c r="AN967" s="730"/>
      <c r="AO967" s="730"/>
      <c r="AP967" s="730"/>
      <c r="AQ967" s="730"/>
      <c r="AR967" s="730"/>
      <c r="AS967" s="730"/>
      <c r="AT967" s="730"/>
      <c r="AU967" s="730"/>
      <c r="AV967" s="730"/>
      <c r="AW967" s="730"/>
      <c r="AX967" s="730"/>
      <c r="AY967" s="730"/>
      <c r="AZ967" s="730"/>
      <c r="BA967" s="730"/>
      <c r="BB967" s="730"/>
      <c r="BC967" s="730"/>
      <c r="BD967" s="730"/>
      <c r="BE967" s="730"/>
      <c r="BF967" s="730"/>
      <c r="BG967" s="730"/>
      <c r="BH967" s="730"/>
      <c r="BI967" s="730"/>
      <c r="BJ967" s="730"/>
      <c r="BK967" s="730"/>
      <c r="BL967" s="730"/>
      <c r="BM967" s="730"/>
      <c r="BN967" s="730"/>
      <c r="BO967" s="730"/>
      <c r="BP967" s="730"/>
      <c r="BQ967" s="730"/>
      <c r="BR967" s="730"/>
      <c r="BS967" s="730"/>
      <c r="BT967" s="730"/>
      <c r="BU967" s="730"/>
      <c r="BV967" s="730"/>
      <c r="BW967" s="730"/>
      <c r="BX967" s="730"/>
      <c r="BY967" s="730"/>
      <c r="BZ967" s="730"/>
      <c r="CA967" s="730"/>
      <c r="CB967" s="730"/>
      <c r="CC967" s="730"/>
      <c r="CD967" s="730"/>
      <c r="CE967" s="730"/>
      <c r="CF967" s="730"/>
      <c r="CG967" s="730"/>
      <c r="CH967" s="730"/>
      <c r="CI967" s="730"/>
      <c r="CJ967" s="730"/>
      <c r="CK967" s="730"/>
      <c r="CL967" s="730"/>
      <c r="CM967" s="730"/>
      <c r="CN967" s="730"/>
      <c r="CO967" s="730"/>
      <c r="CP967" s="730"/>
      <c r="CQ967" s="730"/>
      <c r="CR967" s="730"/>
      <c r="CS967" s="730"/>
      <c r="CT967" s="730"/>
      <c r="CU967" s="730"/>
      <c r="CV967" s="730"/>
      <c r="CW967" s="730"/>
      <c r="CX967" s="730"/>
      <c r="CY967" s="730"/>
      <c r="CZ967" s="730"/>
      <c r="DA967" s="730"/>
      <c r="DB967" s="730"/>
      <c r="DC967" s="730"/>
      <c r="DD967" s="730"/>
      <c r="DE967" s="730"/>
      <c r="DF967" s="730"/>
      <c r="DG967" s="730"/>
      <c r="DH967" s="730"/>
      <c r="DI967" s="730"/>
      <c r="DJ967" s="730"/>
      <c r="DK967" s="730"/>
      <c r="DL967" s="730"/>
      <c r="DM967" s="730"/>
      <c r="DN967" s="730"/>
      <c r="DO967" s="730"/>
      <c r="DP967" s="730"/>
      <c r="DQ967" s="730"/>
      <c r="DR967" s="730"/>
      <c r="DS967" s="730"/>
      <c r="DT967" s="730"/>
      <c r="DU967" s="730"/>
      <c r="DV967" s="730"/>
      <c r="DW967" s="730"/>
      <c r="DX967" s="730"/>
      <c r="DY967" s="730"/>
      <c r="DZ967" s="730"/>
      <c r="EA967" s="730"/>
      <c r="EB967" s="730"/>
      <c r="EC967" s="730"/>
      <c r="ED967" s="730"/>
      <c r="EE967" s="730"/>
      <c r="EF967" s="730"/>
      <c r="EG967" s="730"/>
      <c r="EH967" s="730"/>
      <c r="EI967" s="730"/>
      <c r="EJ967" s="730"/>
      <c r="EK967" s="730"/>
      <c r="EL967" s="730"/>
      <c r="EM967" s="730"/>
      <c r="EN967" s="730"/>
      <c r="EO967" s="730"/>
      <c r="EP967" s="730"/>
      <c r="EQ967" s="730"/>
      <c r="ER967" s="730"/>
      <c r="ES967" s="730"/>
      <c r="ET967" s="730"/>
      <c r="EU967" s="730"/>
      <c r="EV967" s="730"/>
      <c r="EW967" s="730"/>
      <c r="EX967" s="730"/>
      <c r="EY967" s="730"/>
      <c r="EZ967" s="730"/>
      <c r="FA967" s="730"/>
      <c r="FB967" s="730"/>
      <c r="FC967" s="730"/>
      <c r="FD967" s="730"/>
      <c r="FE967" s="730"/>
      <c r="FF967" s="730"/>
      <c r="FG967" s="730"/>
      <c r="FH967" s="730"/>
      <c r="FI967" s="730"/>
      <c r="FJ967" s="730"/>
      <c r="FK967" s="730"/>
      <c r="FL967" s="730"/>
      <c r="FM967" s="730"/>
      <c r="FN967" s="730"/>
      <c r="FO967" s="730"/>
      <c r="FP967" s="730"/>
      <c r="FQ967" s="730"/>
      <c r="FR967" s="730"/>
      <c r="FS967" s="730"/>
      <c r="FT967" s="730"/>
      <c r="FU967" s="730"/>
      <c r="FV967" s="730"/>
      <c r="FW967" s="730"/>
      <c r="FX967" s="730"/>
      <c r="FY967" s="730"/>
      <c r="FZ967" s="730"/>
      <c r="GA967" s="730"/>
      <c r="GB967" s="730"/>
      <c r="GC967" s="730"/>
      <c r="GD967" s="730"/>
      <c r="GE967" s="730"/>
      <c r="GF967" s="730"/>
      <c r="GG967" s="730"/>
      <c r="GH967" s="730"/>
      <c r="GI967" s="730"/>
      <c r="GJ967" s="730"/>
      <c r="GK967" s="730"/>
      <c r="GL967" s="730"/>
      <c r="GM967" s="730"/>
      <c r="GN967" s="730"/>
      <c r="GO967" s="730"/>
      <c r="GP967" s="730"/>
      <c r="GQ967" s="730"/>
      <c r="GR967" s="730"/>
      <c r="GS967" s="730"/>
      <c r="GT967" s="730"/>
      <c r="GU967" s="730"/>
      <c r="GV967" s="730"/>
      <c r="GW967" s="730"/>
      <c r="GX967" s="730"/>
      <c r="GY967" s="730"/>
      <c r="GZ967" s="730"/>
      <c r="HA967" s="730"/>
      <c r="HB967" s="730"/>
      <c r="HC967" s="730"/>
      <c r="HD967" s="730"/>
      <c r="HE967" s="730"/>
      <c r="HF967" s="730"/>
      <c r="HG967" s="730"/>
      <c r="HH967" s="730"/>
      <c r="HI967" s="730"/>
      <c r="HJ967" s="730"/>
      <c r="HK967" s="730"/>
      <c r="HL967" s="730"/>
      <c r="HM967" s="730"/>
      <c r="HN967" s="730"/>
      <c r="HO967" s="730"/>
      <c r="HP967" s="730"/>
      <c r="HQ967" s="730"/>
      <c r="HR967" s="730"/>
      <c r="HS967" s="730"/>
      <c r="HT967" s="730"/>
      <c r="HU967" s="730"/>
      <c r="HV967" s="730"/>
      <c r="HW967" s="730"/>
      <c r="HX967" s="730"/>
      <c r="HY967" s="730"/>
      <c r="HZ967" s="730"/>
      <c r="IA967" s="730"/>
      <c r="IB967" s="730"/>
      <c r="IC967" s="730"/>
      <c r="ID967" s="730"/>
      <c r="IE967" s="730"/>
      <c r="IF967" s="730"/>
      <c r="IG967" s="730"/>
      <c r="IH967" s="730"/>
      <c r="II967" s="730"/>
      <c r="IJ967" s="730"/>
      <c r="IK967" s="730"/>
      <c r="IL967" s="730"/>
      <c r="IM967" s="730"/>
      <c r="IN967" s="730"/>
      <c r="IO967" s="730"/>
      <c r="IP967" s="730"/>
      <c r="IQ967" s="730"/>
      <c r="IR967" s="730"/>
      <c r="IS967" s="730"/>
      <c r="IT967" s="730"/>
      <c r="IU967" s="730"/>
      <c r="IV967" s="730"/>
    </row>
    <row r="968" spans="1:256" s="602" customFormat="1" ht="12">
      <c r="A968" s="663"/>
      <c r="B968" s="663"/>
      <c r="C968" s="663"/>
      <c r="D968" s="663"/>
      <c r="E968" s="663"/>
      <c r="F968" s="664"/>
      <c r="G968" s="663"/>
      <c r="H968" s="663"/>
      <c r="I968" s="601"/>
      <c r="J968" s="663"/>
      <c r="K968" s="663"/>
      <c r="L968" s="663"/>
      <c r="M968" s="663"/>
      <c r="N968" s="663"/>
      <c r="O968" s="663"/>
      <c r="P968" s="663"/>
      <c r="Q968" s="601"/>
      <c r="R968" s="666">
        <f>$A968*Q968</f>
        <v>0</v>
      </c>
      <c r="S968" s="601"/>
      <c r="T968" s="681">
        <f>$A968*S968*$T$1</f>
        <v>0</v>
      </c>
    </row>
    <row r="969" spans="1:256" s="602" customFormat="1" ht="12.6" thickBot="1">
      <c r="A969" s="682" t="s">
        <v>145</v>
      </c>
      <c r="B969" s="683">
        <f>(R968+T968)</f>
        <v>0</v>
      </c>
      <c r="C969" s="684"/>
      <c r="D969" s="684"/>
      <c r="E969" s="684"/>
      <c r="F969" s="685"/>
      <c r="G969" s="684" t="s">
        <v>146</v>
      </c>
      <c r="H969" s="684"/>
      <c r="I969" s="686"/>
      <c r="J969" s="684"/>
      <c r="K969" s="684" t="s">
        <v>3</v>
      </c>
      <c r="L969" s="687" t="s">
        <v>143</v>
      </c>
      <c r="M969" s="687"/>
      <c r="N969" s="687"/>
      <c r="O969" s="687"/>
      <c r="P969" s="687"/>
      <c r="Q969" s="688"/>
      <c r="R969" s="689">
        <f>SUM(R965:R968)</f>
        <v>50</v>
      </c>
      <c r="S969" s="684"/>
      <c r="T969" s="689">
        <f>SUM(T965:T968)</f>
        <v>8</v>
      </c>
      <c r="U969" s="611"/>
      <c r="V969" s="611"/>
      <c r="W969" s="611"/>
      <c r="X969" s="611"/>
      <c r="Y969" s="611"/>
      <c r="Z969" s="611"/>
      <c r="AA969" s="611"/>
      <c r="AB969" s="611"/>
      <c r="AC969" s="611"/>
      <c r="AD969" s="611"/>
      <c r="AE969" s="611"/>
      <c r="AF969" s="611"/>
      <c r="AG969" s="611"/>
      <c r="AH969" s="611"/>
      <c r="AI969" s="611"/>
      <c r="AJ969" s="611"/>
      <c r="AK969" s="611"/>
      <c r="AL969" s="611"/>
      <c r="AM969" s="611"/>
      <c r="AN969" s="611"/>
      <c r="AO969" s="611"/>
    </row>
    <row r="970" spans="1:256" s="602" customFormat="1" thickTop="1">
      <c r="A970" s="63"/>
      <c r="B970" s="63"/>
      <c r="C970" s="3"/>
      <c r="D970" s="3"/>
      <c r="E970" s="63"/>
      <c r="F970" s="63"/>
      <c r="G970" s="63"/>
      <c r="H970" s="63"/>
      <c r="I970" s="63"/>
      <c r="J970" s="63"/>
      <c r="K970" s="63" t="s">
        <v>134</v>
      </c>
      <c r="L970" s="63"/>
      <c r="M970" s="63"/>
      <c r="N970" s="63"/>
      <c r="O970" s="64"/>
      <c r="P970" s="63"/>
      <c r="Q970" s="63"/>
      <c r="R970" s="63"/>
      <c r="S970" s="63"/>
      <c r="T970" s="63"/>
    </row>
    <row r="971" spans="1:256" s="602" customFormat="1" ht="12">
      <c r="A971" s="63"/>
      <c r="B971" s="63"/>
      <c r="C971" s="63" t="s">
        <v>135</v>
      </c>
      <c r="D971" s="37"/>
      <c r="E971" s="63"/>
      <c r="F971" s="63"/>
      <c r="G971" s="63"/>
      <c r="H971" s="63"/>
      <c r="I971" s="63"/>
      <c r="J971" s="63"/>
      <c r="K971" s="63"/>
      <c r="L971" s="63"/>
      <c r="M971" s="63"/>
      <c r="N971" s="63"/>
      <c r="O971" s="64"/>
      <c r="P971" s="63"/>
      <c r="Q971" s="63"/>
      <c r="R971" s="63"/>
      <c r="S971" s="63"/>
      <c r="T971" s="63"/>
    </row>
    <row r="972" spans="1:256" s="3" customFormat="1" ht="13.2">
      <c r="A972" s="63"/>
      <c r="B972" s="63"/>
      <c r="C972" s="63"/>
      <c r="D972" s="37" t="s">
        <v>324</v>
      </c>
      <c r="E972" s="63"/>
      <c r="F972" s="63"/>
      <c r="G972" s="63"/>
      <c r="H972" s="63"/>
      <c r="I972" s="63"/>
      <c r="J972" s="63"/>
      <c r="K972" s="63"/>
      <c r="L972" s="63"/>
      <c r="M972" s="63"/>
      <c r="N972" s="63"/>
      <c r="O972" s="64"/>
      <c r="P972" s="63"/>
      <c r="Q972" s="63"/>
      <c r="R972" s="63"/>
      <c r="S972" s="38"/>
      <c r="T972" s="38"/>
      <c r="U972" s="602"/>
      <c r="V972" s="602"/>
      <c r="W972" s="602"/>
      <c r="X972" s="602"/>
      <c r="Y972" s="602"/>
      <c r="Z972" s="602"/>
      <c r="AA972" s="602"/>
      <c r="AB972" s="602"/>
      <c r="AC972" s="602"/>
      <c r="AD972" s="602"/>
      <c r="AE972" s="602"/>
      <c r="AF972" s="602"/>
      <c r="AG972" s="602"/>
      <c r="AH972" s="602"/>
      <c r="AI972" s="602"/>
      <c r="AJ972" s="602"/>
      <c r="AK972" s="602"/>
      <c r="AL972" s="602"/>
      <c r="AM972" s="602"/>
      <c r="AN972" s="602"/>
      <c r="AO972" s="602"/>
      <c r="AP972" s="602"/>
      <c r="AQ972" s="602"/>
      <c r="AR972" s="602"/>
      <c r="AS972" s="602"/>
      <c r="AT972" s="602"/>
      <c r="AU972" s="602"/>
      <c r="AV972" s="602"/>
      <c r="AW972" s="602"/>
      <c r="AX972" s="602"/>
      <c r="AY972" s="602"/>
      <c r="AZ972" s="602"/>
      <c r="BA972" s="602"/>
      <c r="BB972" s="602"/>
      <c r="BC972" s="602"/>
      <c r="BD972" s="602"/>
      <c r="BE972" s="602"/>
      <c r="BF972" s="602"/>
      <c r="BG972" s="602"/>
      <c r="BH972" s="602"/>
      <c r="BI972" s="602"/>
      <c r="BJ972" s="602"/>
      <c r="BK972" s="602"/>
      <c r="BL972" s="602"/>
      <c r="BM972" s="602"/>
      <c r="BN972" s="602"/>
      <c r="BO972" s="602"/>
      <c r="BP972" s="602"/>
      <c r="BQ972" s="602"/>
      <c r="BR972" s="602"/>
      <c r="BS972" s="602"/>
      <c r="BT972" s="602"/>
      <c r="BU972" s="602"/>
      <c r="BV972" s="602"/>
      <c r="BW972" s="602"/>
      <c r="BX972" s="602"/>
      <c r="BY972" s="602"/>
      <c r="BZ972" s="602"/>
      <c r="CA972" s="602"/>
      <c r="CB972" s="602"/>
      <c r="CC972" s="602"/>
      <c r="CD972" s="602"/>
      <c r="CE972" s="602"/>
      <c r="CF972" s="602"/>
      <c r="CG972" s="602"/>
      <c r="CH972" s="602"/>
      <c r="CI972" s="602"/>
      <c r="CJ972" s="602"/>
      <c r="CK972" s="602"/>
      <c r="CL972" s="602"/>
      <c r="CM972" s="602"/>
      <c r="CN972" s="602"/>
      <c r="CO972" s="602"/>
      <c r="CP972" s="602"/>
      <c r="CQ972" s="602"/>
      <c r="CR972" s="602"/>
      <c r="CS972" s="602"/>
      <c r="CT972" s="602"/>
      <c r="CU972" s="602"/>
      <c r="CV972" s="602"/>
      <c r="CW972" s="602"/>
      <c r="CX972" s="602"/>
      <c r="CY972" s="602"/>
      <c r="CZ972" s="602"/>
      <c r="DA972" s="602"/>
      <c r="DB972" s="602"/>
      <c r="DC972" s="602"/>
      <c r="DD972" s="602"/>
      <c r="DE972" s="602"/>
      <c r="DF972" s="602"/>
      <c r="DG972" s="602"/>
      <c r="DH972" s="602"/>
      <c r="DI972" s="602"/>
      <c r="DJ972" s="602"/>
      <c r="DK972" s="602"/>
      <c r="DL972" s="602"/>
      <c r="DM972" s="602"/>
      <c r="DN972" s="602"/>
      <c r="DO972" s="602"/>
      <c r="DP972" s="602"/>
      <c r="DQ972" s="602"/>
      <c r="DR972" s="602"/>
      <c r="DS972" s="602"/>
      <c r="DT972" s="602"/>
      <c r="DU972" s="602"/>
      <c r="DV972" s="602"/>
      <c r="DW972" s="602"/>
      <c r="DX972" s="602"/>
      <c r="DY972" s="602"/>
      <c r="DZ972" s="602"/>
      <c r="EA972" s="602"/>
      <c r="EB972" s="602"/>
      <c r="EC972" s="602"/>
      <c r="ED972" s="602"/>
      <c r="EE972" s="602"/>
      <c r="EF972" s="602"/>
      <c r="EG972" s="602"/>
      <c r="EH972" s="602"/>
      <c r="EI972" s="602"/>
      <c r="EJ972" s="602"/>
      <c r="EK972" s="602"/>
      <c r="EL972" s="602"/>
      <c r="EM972" s="602"/>
      <c r="EN972" s="602"/>
      <c r="EO972" s="602"/>
      <c r="EP972" s="602"/>
      <c r="EQ972" s="602"/>
      <c r="ER972" s="602"/>
      <c r="ES972" s="602"/>
      <c r="ET972" s="602"/>
      <c r="EU972" s="602"/>
      <c r="EV972" s="602"/>
      <c r="EW972" s="602"/>
      <c r="EX972" s="602"/>
      <c r="EY972" s="602"/>
      <c r="EZ972" s="602"/>
      <c r="FA972" s="602"/>
      <c r="FB972" s="602"/>
      <c r="FC972" s="602"/>
      <c r="FD972" s="602"/>
      <c r="FE972" s="602"/>
      <c r="FF972" s="602"/>
      <c r="FG972" s="602"/>
      <c r="FH972" s="602"/>
      <c r="FI972" s="602"/>
      <c r="FJ972" s="602"/>
      <c r="FK972" s="602"/>
      <c r="FL972" s="602"/>
      <c r="FM972" s="602"/>
      <c r="FN972" s="602"/>
      <c r="FO972" s="602"/>
      <c r="FP972" s="602"/>
      <c r="FQ972" s="602"/>
      <c r="FR972" s="602"/>
      <c r="FS972" s="602"/>
      <c r="FT972" s="602"/>
      <c r="FU972" s="602"/>
      <c r="FV972" s="602"/>
      <c r="FW972" s="602"/>
      <c r="FX972" s="602"/>
      <c r="FY972" s="602"/>
      <c r="FZ972" s="602"/>
      <c r="GA972" s="602"/>
      <c r="GB972" s="602"/>
      <c r="GC972" s="602"/>
      <c r="GD972" s="602"/>
      <c r="GE972" s="602"/>
      <c r="GF972" s="602"/>
      <c r="GG972" s="602"/>
      <c r="GH972" s="602"/>
      <c r="GI972" s="602"/>
      <c r="GJ972" s="602"/>
      <c r="GK972" s="602"/>
      <c r="GL972" s="602"/>
      <c r="GM972" s="602"/>
      <c r="GN972" s="602"/>
      <c r="GO972" s="602"/>
      <c r="GP972" s="602"/>
      <c r="GQ972" s="602"/>
      <c r="GR972" s="602"/>
      <c r="GS972" s="602"/>
      <c r="GT972" s="602"/>
      <c r="GU972" s="602"/>
      <c r="GV972" s="602"/>
      <c r="GW972" s="602"/>
      <c r="GX972" s="602"/>
      <c r="GY972" s="602"/>
      <c r="GZ972" s="602"/>
      <c r="HA972" s="602"/>
      <c r="HB972" s="602"/>
      <c r="HC972" s="602"/>
      <c r="HD972" s="602"/>
      <c r="HE972" s="602"/>
      <c r="HF972" s="602"/>
      <c r="HG972" s="602"/>
      <c r="HH972" s="602"/>
      <c r="HI972" s="602"/>
      <c r="HJ972" s="602"/>
      <c r="HK972" s="602"/>
      <c r="HL972" s="602"/>
      <c r="HM972" s="602"/>
      <c r="HN972" s="602"/>
      <c r="HO972" s="602"/>
      <c r="HP972" s="602"/>
      <c r="HQ972" s="602"/>
      <c r="HR972" s="602"/>
      <c r="HS972" s="602"/>
      <c r="HT972" s="602"/>
      <c r="HU972" s="602"/>
      <c r="HV972" s="602"/>
      <c r="HW972" s="602"/>
      <c r="HX972" s="602"/>
      <c r="HY972" s="602"/>
      <c r="HZ972" s="602"/>
      <c r="IA972" s="602"/>
      <c r="IB972" s="602"/>
      <c r="IC972" s="602"/>
      <c r="ID972" s="602"/>
      <c r="IE972" s="602"/>
      <c r="IF972" s="602"/>
      <c r="IG972" s="602"/>
      <c r="IH972" s="602"/>
      <c r="II972" s="602"/>
      <c r="IJ972" s="602"/>
      <c r="IK972" s="602"/>
      <c r="IL972" s="602"/>
      <c r="IM972" s="602"/>
      <c r="IN972" s="602"/>
      <c r="IO972" s="602"/>
      <c r="IP972" s="602"/>
      <c r="IQ972" s="602"/>
      <c r="IR972" s="602"/>
      <c r="IS972" s="602"/>
      <c r="IT972" s="602"/>
      <c r="IU972" s="602"/>
      <c r="IV972" s="602"/>
    </row>
    <row r="973" spans="1:256" s="602" customFormat="1" thickBot="1">
      <c r="A973" s="611"/>
      <c r="B973" s="3"/>
      <c r="C973" s="3"/>
      <c r="D973" s="3"/>
      <c r="E973" s="3"/>
      <c r="F973" s="3"/>
      <c r="G973" s="3"/>
      <c r="H973" s="3"/>
      <c r="I973" s="3"/>
      <c r="J973" s="3"/>
      <c r="K973" s="3"/>
      <c r="L973" s="3"/>
      <c r="M973" s="3"/>
      <c r="N973" s="3"/>
      <c r="O973" s="158"/>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c r="DI973" s="3"/>
      <c r="DJ973" s="3"/>
      <c r="DK973" s="3"/>
      <c r="DL973" s="3"/>
      <c r="DM973" s="3"/>
      <c r="DN973" s="3"/>
      <c r="DO973" s="3"/>
      <c r="DP973" s="3"/>
      <c r="DQ973" s="3"/>
      <c r="DR973" s="3"/>
      <c r="DS973" s="3"/>
      <c r="DT973" s="3"/>
      <c r="DU973" s="3"/>
      <c r="DV973" s="3"/>
      <c r="DW973" s="3"/>
      <c r="DX973" s="3"/>
      <c r="DY973" s="3"/>
      <c r="DZ973" s="3"/>
      <c r="EA973" s="3"/>
      <c r="EB973" s="3"/>
      <c r="EC973" s="3"/>
      <c r="ED973" s="3"/>
      <c r="EE973" s="3"/>
      <c r="EF973" s="3"/>
      <c r="EG973" s="3"/>
      <c r="EH973" s="3"/>
      <c r="EI973" s="3"/>
      <c r="EJ973" s="3"/>
      <c r="EK973" s="3"/>
      <c r="EL973" s="3"/>
      <c r="EM973" s="3"/>
      <c r="EN973" s="3"/>
      <c r="EO973" s="3"/>
      <c r="EP973" s="3"/>
      <c r="EQ973" s="3"/>
      <c r="ER973" s="3"/>
      <c r="ES973" s="3"/>
      <c r="ET973" s="3"/>
      <c r="EU973" s="3"/>
      <c r="EV973" s="3"/>
      <c r="EW973" s="3"/>
      <c r="EX973" s="3"/>
      <c r="EY973" s="3"/>
      <c r="EZ973" s="3"/>
      <c r="FA973" s="3"/>
      <c r="FB973" s="3"/>
      <c r="FC973" s="3"/>
      <c r="FD973" s="3"/>
      <c r="FE973" s="3"/>
      <c r="FF973" s="3"/>
      <c r="FG973" s="3"/>
      <c r="FH973" s="3"/>
      <c r="FI973" s="3"/>
      <c r="FJ973" s="3"/>
      <c r="FK973" s="3"/>
      <c r="FL973" s="3"/>
      <c r="FM973" s="3"/>
      <c r="FN973" s="3"/>
      <c r="FO973" s="3"/>
      <c r="FP973" s="3"/>
      <c r="FQ973" s="3"/>
      <c r="FR973" s="3"/>
      <c r="FS973" s="3"/>
      <c r="FT973" s="3"/>
      <c r="FU973" s="3"/>
      <c r="FV973" s="3"/>
      <c r="FW973" s="3"/>
      <c r="FX973" s="3"/>
      <c r="FY973" s="3"/>
      <c r="FZ973" s="3"/>
      <c r="GA973" s="3"/>
      <c r="GB973" s="3"/>
      <c r="GC973" s="3"/>
      <c r="GD973" s="3"/>
      <c r="GE973" s="3"/>
      <c r="GF973" s="3"/>
      <c r="GG973" s="3"/>
      <c r="GH973" s="3"/>
      <c r="GI973" s="3"/>
      <c r="GJ973" s="3"/>
      <c r="GK973" s="3"/>
      <c r="GL973" s="3"/>
      <c r="GM973" s="3"/>
      <c r="GN973" s="3"/>
      <c r="GO973" s="3"/>
      <c r="GP973" s="3"/>
      <c r="GQ973" s="3"/>
      <c r="GR973" s="3"/>
      <c r="GS973" s="3"/>
      <c r="GT973" s="3"/>
      <c r="GU973" s="3"/>
      <c r="GV973" s="3"/>
      <c r="GW973" s="3"/>
      <c r="GX973" s="3"/>
      <c r="GY973" s="3"/>
      <c r="GZ973" s="3"/>
      <c r="HA973" s="3"/>
      <c r="HB973" s="3"/>
      <c r="HC973" s="3"/>
      <c r="HD973" s="3"/>
      <c r="HE973" s="3"/>
      <c r="HF973" s="3"/>
      <c r="HG973" s="3"/>
      <c r="HH973" s="3"/>
      <c r="HI973" s="3"/>
      <c r="HJ973" s="3"/>
      <c r="HK973" s="3"/>
      <c r="HL973" s="3"/>
      <c r="HM973" s="3"/>
      <c r="HN973" s="3"/>
      <c r="HO973" s="3"/>
      <c r="HP973" s="3"/>
      <c r="HQ973" s="3"/>
      <c r="HR973" s="3"/>
      <c r="HS973" s="3"/>
      <c r="HT973" s="3"/>
      <c r="HU973" s="3"/>
      <c r="HV973" s="3"/>
      <c r="HW973" s="3"/>
      <c r="HX973" s="3"/>
      <c r="HY973" s="3"/>
      <c r="HZ973" s="3"/>
      <c r="IA973" s="3"/>
      <c r="IB973" s="3"/>
      <c r="IC973" s="3"/>
      <c r="ID973" s="3"/>
      <c r="IE973" s="3"/>
      <c r="IF973" s="3"/>
      <c r="IG973" s="3"/>
      <c r="IH973" s="3"/>
      <c r="II973" s="3"/>
      <c r="IJ973" s="3"/>
      <c r="IK973" s="3"/>
      <c r="IL973" s="3"/>
      <c r="IM973" s="3"/>
      <c r="IN973" s="3"/>
      <c r="IO973" s="3"/>
      <c r="IP973" s="3"/>
      <c r="IQ973" s="3"/>
      <c r="IR973" s="3"/>
      <c r="IS973" s="3"/>
      <c r="IT973" s="3"/>
      <c r="IU973" s="3"/>
      <c r="IV973" s="3"/>
    </row>
    <row r="974" spans="1:256" s="602" customFormat="1" thickTop="1">
      <c r="A974" s="63"/>
      <c r="B974" s="63"/>
      <c r="C974" s="3"/>
      <c r="D974" s="3"/>
      <c r="E974" s="63"/>
      <c r="F974" s="63"/>
      <c r="G974" s="63"/>
      <c r="H974" s="63"/>
      <c r="I974" s="63"/>
      <c r="J974" s="63"/>
      <c r="K974" s="63" t="s">
        <v>134</v>
      </c>
      <c r="L974" s="63"/>
      <c r="M974" s="63"/>
      <c r="N974" s="63"/>
      <c r="O974" s="64"/>
      <c r="P974" s="63"/>
      <c r="Q974" s="63"/>
      <c r="R974" s="63"/>
      <c r="S974" s="63"/>
      <c r="T974" s="63"/>
    </row>
    <row r="975" spans="1:256" s="602" customFormat="1" ht="39.9" customHeight="1">
      <c r="A975" s="63"/>
      <c r="B975" s="63"/>
      <c r="C975" s="63" t="s">
        <v>135</v>
      </c>
      <c r="D975" s="37" t="s">
        <v>538</v>
      </c>
      <c r="E975" s="63"/>
      <c r="F975" s="63"/>
      <c r="G975" s="63"/>
      <c r="H975" s="63"/>
      <c r="I975" s="63"/>
      <c r="J975" s="63"/>
      <c r="K975" s="63"/>
      <c r="L975" s="63"/>
      <c r="M975" s="63"/>
      <c r="N975" s="63"/>
      <c r="O975" s="64"/>
      <c r="P975" s="63"/>
      <c r="Q975" s="63"/>
      <c r="R975" s="63"/>
      <c r="S975" s="63"/>
      <c r="T975" s="63"/>
    </row>
    <row r="976" spans="1:256" s="3" customFormat="1" ht="13.2">
      <c r="A976" s="63"/>
      <c r="B976" s="63"/>
      <c r="C976" s="63"/>
      <c r="D976" s="1371" t="s">
        <v>398</v>
      </c>
      <c r="E976" s="1369"/>
      <c r="F976" s="1369"/>
      <c r="G976" s="1369"/>
      <c r="H976" s="1369"/>
      <c r="I976" s="1369"/>
      <c r="J976" s="1369"/>
      <c r="K976" s="1369"/>
      <c r="L976" s="1369"/>
      <c r="M976" s="1369"/>
      <c r="N976" s="1369"/>
      <c r="O976" s="1369"/>
      <c r="P976" s="1369"/>
      <c r="Q976" s="1369"/>
      <c r="R976" s="1369"/>
      <c r="S976" s="1369"/>
      <c r="T976" s="1369"/>
      <c r="U976" s="602"/>
      <c r="V976" s="602"/>
      <c r="W976" s="602"/>
      <c r="X976" s="602"/>
      <c r="Y976" s="602"/>
      <c r="Z976" s="602"/>
      <c r="AA976" s="602"/>
      <c r="AB976" s="602"/>
      <c r="AC976" s="602"/>
      <c r="AD976" s="602"/>
      <c r="AE976" s="602"/>
      <c r="AF976" s="602"/>
      <c r="AG976" s="602"/>
      <c r="AH976" s="602"/>
      <c r="AI976" s="602"/>
      <c r="AJ976" s="602"/>
      <c r="AK976" s="602"/>
      <c r="AL976" s="602"/>
      <c r="AM976" s="602"/>
      <c r="AN976" s="602"/>
      <c r="AO976" s="602"/>
      <c r="AP976" s="602"/>
      <c r="AQ976" s="602"/>
      <c r="AR976" s="602"/>
      <c r="AS976" s="602"/>
      <c r="AT976" s="602"/>
      <c r="AU976" s="602"/>
      <c r="AV976" s="602"/>
      <c r="AW976" s="602"/>
      <c r="AX976" s="602"/>
      <c r="AY976" s="602"/>
      <c r="AZ976" s="602"/>
      <c r="BA976" s="602"/>
      <c r="BB976" s="602"/>
      <c r="BC976" s="602"/>
      <c r="BD976" s="602"/>
      <c r="BE976" s="602"/>
      <c r="BF976" s="602"/>
      <c r="BG976" s="602"/>
      <c r="BH976" s="602"/>
      <c r="BI976" s="602"/>
      <c r="BJ976" s="602"/>
      <c r="BK976" s="602"/>
      <c r="BL976" s="602"/>
      <c r="BM976" s="602"/>
      <c r="BN976" s="602"/>
      <c r="BO976" s="602"/>
      <c r="BP976" s="602"/>
      <c r="BQ976" s="602"/>
      <c r="BR976" s="602"/>
      <c r="BS976" s="602"/>
      <c r="BT976" s="602"/>
      <c r="BU976" s="602"/>
      <c r="BV976" s="602"/>
      <c r="BW976" s="602"/>
      <c r="BX976" s="602"/>
      <c r="BY976" s="602"/>
      <c r="BZ976" s="602"/>
      <c r="CA976" s="602"/>
      <c r="CB976" s="602"/>
      <c r="CC976" s="602"/>
      <c r="CD976" s="602"/>
      <c r="CE976" s="602"/>
      <c r="CF976" s="602"/>
      <c r="CG976" s="602"/>
      <c r="CH976" s="602"/>
      <c r="CI976" s="602"/>
      <c r="CJ976" s="602"/>
      <c r="CK976" s="602"/>
      <c r="CL976" s="602"/>
      <c r="CM976" s="602"/>
      <c r="CN976" s="602"/>
      <c r="CO976" s="602"/>
      <c r="CP976" s="602"/>
      <c r="CQ976" s="602"/>
      <c r="CR976" s="602"/>
      <c r="CS976" s="602"/>
      <c r="CT976" s="602"/>
      <c r="CU976" s="602"/>
      <c r="CV976" s="602"/>
      <c r="CW976" s="602"/>
      <c r="CX976" s="602"/>
      <c r="CY976" s="602"/>
      <c r="CZ976" s="602"/>
      <c r="DA976" s="602"/>
      <c r="DB976" s="602"/>
      <c r="DC976" s="602"/>
      <c r="DD976" s="602"/>
      <c r="DE976" s="602"/>
      <c r="DF976" s="602"/>
      <c r="DG976" s="602"/>
      <c r="DH976" s="602"/>
      <c r="DI976" s="602"/>
      <c r="DJ976" s="602"/>
      <c r="DK976" s="602"/>
      <c r="DL976" s="602"/>
      <c r="DM976" s="602"/>
      <c r="DN976" s="602"/>
      <c r="DO976" s="602"/>
      <c r="DP976" s="602"/>
      <c r="DQ976" s="602"/>
      <c r="DR976" s="602"/>
      <c r="DS976" s="602"/>
      <c r="DT976" s="602"/>
      <c r="DU976" s="602"/>
      <c r="DV976" s="602"/>
      <c r="DW976" s="602"/>
      <c r="DX976" s="602"/>
      <c r="DY976" s="602"/>
      <c r="DZ976" s="602"/>
      <c r="EA976" s="602"/>
      <c r="EB976" s="602"/>
      <c r="EC976" s="602"/>
      <c r="ED976" s="602"/>
      <c r="EE976" s="602"/>
      <c r="EF976" s="602"/>
      <c r="EG976" s="602"/>
      <c r="EH976" s="602"/>
      <c r="EI976" s="602"/>
      <c r="EJ976" s="602"/>
      <c r="EK976" s="602"/>
      <c r="EL976" s="602"/>
      <c r="EM976" s="602"/>
      <c r="EN976" s="602"/>
      <c r="EO976" s="602"/>
      <c r="EP976" s="602"/>
      <c r="EQ976" s="602"/>
      <c r="ER976" s="602"/>
      <c r="ES976" s="602"/>
      <c r="ET976" s="602"/>
      <c r="EU976" s="602"/>
      <c r="EV976" s="602"/>
      <c r="EW976" s="602"/>
      <c r="EX976" s="602"/>
      <c r="EY976" s="602"/>
      <c r="EZ976" s="602"/>
      <c r="FA976" s="602"/>
      <c r="FB976" s="602"/>
      <c r="FC976" s="602"/>
      <c r="FD976" s="602"/>
      <c r="FE976" s="602"/>
      <c r="FF976" s="602"/>
      <c r="FG976" s="602"/>
      <c r="FH976" s="602"/>
      <c r="FI976" s="602"/>
      <c r="FJ976" s="602"/>
      <c r="FK976" s="602"/>
      <c r="FL976" s="602"/>
      <c r="FM976" s="602"/>
      <c r="FN976" s="602"/>
      <c r="FO976" s="602"/>
      <c r="FP976" s="602"/>
      <c r="FQ976" s="602"/>
      <c r="FR976" s="602"/>
      <c r="FS976" s="602"/>
      <c r="FT976" s="602"/>
      <c r="FU976" s="602"/>
      <c r="FV976" s="602"/>
      <c r="FW976" s="602"/>
      <c r="FX976" s="602"/>
      <c r="FY976" s="602"/>
      <c r="FZ976" s="602"/>
      <c r="GA976" s="602"/>
      <c r="GB976" s="602"/>
      <c r="GC976" s="602"/>
      <c r="GD976" s="602"/>
      <c r="GE976" s="602"/>
      <c r="GF976" s="602"/>
      <c r="GG976" s="602"/>
      <c r="GH976" s="602"/>
      <c r="GI976" s="602"/>
      <c r="GJ976" s="602"/>
      <c r="GK976" s="602"/>
      <c r="GL976" s="602"/>
      <c r="GM976" s="602"/>
      <c r="GN976" s="602"/>
      <c r="GO976" s="602"/>
      <c r="GP976" s="602"/>
      <c r="GQ976" s="602"/>
      <c r="GR976" s="602"/>
      <c r="GS976" s="602"/>
      <c r="GT976" s="602"/>
      <c r="GU976" s="602"/>
      <c r="GV976" s="602"/>
      <c r="GW976" s="602"/>
      <c r="GX976" s="602"/>
      <c r="GY976" s="602"/>
      <c r="GZ976" s="602"/>
      <c r="HA976" s="602"/>
      <c r="HB976" s="602"/>
      <c r="HC976" s="602"/>
      <c r="HD976" s="602"/>
      <c r="HE976" s="602"/>
      <c r="HF976" s="602"/>
      <c r="HG976" s="602"/>
      <c r="HH976" s="602"/>
      <c r="HI976" s="602"/>
      <c r="HJ976" s="602"/>
      <c r="HK976" s="602"/>
      <c r="HL976" s="602"/>
      <c r="HM976" s="602"/>
      <c r="HN976" s="602"/>
      <c r="HO976" s="602"/>
      <c r="HP976" s="602"/>
      <c r="HQ976" s="602"/>
      <c r="HR976" s="602"/>
      <c r="HS976" s="602"/>
      <c r="HT976" s="602"/>
      <c r="HU976" s="602"/>
      <c r="HV976" s="602"/>
      <c r="HW976" s="602"/>
      <c r="HX976" s="602"/>
      <c r="HY976" s="602"/>
      <c r="HZ976" s="602"/>
      <c r="IA976" s="602"/>
      <c r="IB976" s="602"/>
      <c r="IC976" s="602"/>
      <c r="ID976" s="602"/>
      <c r="IE976" s="602"/>
      <c r="IF976" s="602"/>
      <c r="IG976" s="602"/>
      <c r="IH976" s="602"/>
      <c r="II976" s="602"/>
      <c r="IJ976" s="602"/>
      <c r="IK976" s="602"/>
      <c r="IL976" s="602"/>
      <c r="IM976" s="602"/>
      <c r="IN976" s="602"/>
      <c r="IO976" s="602"/>
      <c r="IP976" s="602"/>
      <c r="IQ976" s="602"/>
      <c r="IR976" s="602"/>
      <c r="IS976" s="602"/>
      <c r="IT976" s="602"/>
      <c r="IU976" s="602"/>
      <c r="IV976" s="602"/>
    </row>
    <row r="977" spans="1:256" s="602" customFormat="1" thickBot="1">
      <c r="A977" s="611"/>
      <c r="B977" s="3"/>
      <c r="C977" s="3"/>
      <c r="D977" s="3"/>
      <c r="E977" s="3"/>
      <c r="F977" s="3"/>
      <c r="G977" s="3"/>
      <c r="H977" s="3"/>
      <c r="I977" s="3"/>
      <c r="J977" s="3"/>
      <c r="K977" s="3"/>
      <c r="L977" s="3"/>
      <c r="M977" s="3"/>
      <c r="N977" s="3"/>
      <c r="O977" s="158"/>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c r="DI977" s="3"/>
      <c r="DJ977" s="3"/>
      <c r="DK977" s="3"/>
      <c r="DL977" s="3"/>
      <c r="DM977" s="3"/>
      <c r="DN977" s="3"/>
      <c r="DO977" s="3"/>
      <c r="DP977" s="3"/>
      <c r="DQ977" s="3"/>
      <c r="DR977" s="3"/>
      <c r="DS977" s="3"/>
      <c r="DT977" s="3"/>
      <c r="DU977" s="3"/>
      <c r="DV977" s="3"/>
      <c r="DW977" s="3"/>
      <c r="DX977" s="3"/>
      <c r="DY977" s="3"/>
      <c r="DZ977" s="3"/>
      <c r="EA977" s="3"/>
      <c r="EB977" s="3"/>
      <c r="EC977" s="3"/>
      <c r="ED977" s="3"/>
      <c r="EE977" s="3"/>
      <c r="EF977" s="3"/>
      <c r="EG977" s="3"/>
      <c r="EH977" s="3"/>
      <c r="EI977" s="3"/>
      <c r="EJ977" s="3"/>
      <c r="EK977" s="3"/>
      <c r="EL977" s="3"/>
      <c r="EM977" s="3"/>
      <c r="EN977" s="3"/>
      <c r="EO977" s="3"/>
      <c r="EP977" s="3"/>
      <c r="EQ977" s="3"/>
      <c r="ER977" s="3"/>
      <c r="ES977" s="3"/>
      <c r="ET977" s="3"/>
      <c r="EU977" s="3"/>
      <c r="EV977" s="3"/>
      <c r="EW977" s="3"/>
      <c r="EX977" s="3"/>
      <c r="EY977" s="3"/>
      <c r="EZ977" s="3"/>
      <c r="FA977" s="3"/>
      <c r="FB977" s="3"/>
      <c r="FC977" s="3"/>
      <c r="FD977" s="3"/>
      <c r="FE977" s="3"/>
      <c r="FF977" s="3"/>
      <c r="FG977" s="3"/>
      <c r="FH977" s="3"/>
      <c r="FI977" s="3"/>
      <c r="FJ977" s="3"/>
      <c r="FK977" s="3"/>
      <c r="FL977" s="3"/>
      <c r="FM977" s="3"/>
      <c r="FN977" s="3"/>
      <c r="FO977" s="3"/>
      <c r="FP977" s="3"/>
      <c r="FQ977" s="3"/>
      <c r="FR977" s="3"/>
      <c r="FS977" s="3"/>
      <c r="FT977" s="3"/>
      <c r="FU977" s="3"/>
      <c r="FV977" s="3"/>
      <c r="FW977" s="3"/>
      <c r="FX977" s="3"/>
      <c r="FY977" s="3"/>
      <c r="FZ977" s="3"/>
      <c r="GA977" s="3"/>
      <c r="GB977" s="3"/>
      <c r="GC977" s="3"/>
      <c r="GD977" s="3"/>
      <c r="GE977" s="3"/>
      <c r="GF977" s="3"/>
      <c r="GG977" s="3"/>
      <c r="GH977" s="3"/>
      <c r="GI977" s="3"/>
      <c r="GJ977" s="3"/>
      <c r="GK977" s="3"/>
      <c r="GL977" s="3"/>
      <c r="GM977" s="3"/>
      <c r="GN977" s="3"/>
      <c r="GO977" s="3"/>
      <c r="GP977" s="3"/>
      <c r="GQ977" s="3"/>
      <c r="GR977" s="3"/>
      <c r="GS977" s="3"/>
      <c r="GT977" s="3"/>
      <c r="GU977" s="3"/>
      <c r="GV977" s="3"/>
      <c r="GW977" s="3"/>
      <c r="GX977" s="3"/>
      <c r="GY977" s="3"/>
      <c r="GZ977" s="3"/>
      <c r="HA977" s="3"/>
      <c r="HB977" s="3"/>
      <c r="HC977" s="3"/>
      <c r="HD977" s="3"/>
      <c r="HE977" s="3"/>
      <c r="HF977" s="3"/>
      <c r="HG977" s="3"/>
      <c r="HH977" s="3"/>
      <c r="HI977" s="3"/>
      <c r="HJ977" s="3"/>
      <c r="HK977" s="3"/>
      <c r="HL977" s="3"/>
      <c r="HM977" s="3"/>
      <c r="HN977" s="3"/>
      <c r="HO977" s="3"/>
      <c r="HP977" s="3"/>
      <c r="HQ977" s="3"/>
      <c r="HR977" s="3"/>
      <c r="HS977" s="3"/>
      <c r="HT977" s="3"/>
      <c r="HU977" s="3"/>
      <c r="HV977" s="3"/>
      <c r="HW977" s="3"/>
      <c r="HX977" s="3"/>
      <c r="HY977" s="3"/>
      <c r="HZ977" s="3"/>
      <c r="IA977" s="3"/>
      <c r="IB977" s="3"/>
      <c r="IC977" s="3"/>
      <c r="ID977" s="3"/>
      <c r="IE977" s="3"/>
      <c r="IF977" s="3"/>
      <c r="IG977" s="3"/>
      <c r="IH977" s="3"/>
      <c r="II977" s="3"/>
      <c r="IJ977" s="3"/>
      <c r="IK977" s="3"/>
      <c r="IL977" s="3"/>
      <c r="IM977" s="3"/>
      <c r="IN977" s="3"/>
      <c r="IO977" s="3"/>
      <c r="IP977" s="3"/>
      <c r="IQ977" s="3"/>
      <c r="IR977" s="3"/>
      <c r="IS977" s="3"/>
      <c r="IT977" s="3"/>
      <c r="IU977" s="3"/>
      <c r="IV977" s="3"/>
    </row>
    <row r="978" spans="1:256" s="602" customFormat="1" ht="12" customHeight="1" thickTop="1">
      <c r="A978" s="63"/>
      <c r="B978" s="41"/>
      <c r="C978" s="63"/>
      <c r="E978" s="42" t="s">
        <v>138</v>
      </c>
      <c r="F978" s="42" t="s">
        <v>139</v>
      </c>
      <c r="G978" s="63"/>
      <c r="H978" s="63"/>
      <c r="I978" s="63"/>
      <c r="J978" s="63"/>
      <c r="K978" s="63" t="s">
        <v>140</v>
      </c>
      <c r="L978" s="63"/>
      <c r="M978" s="63"/>
      <c r="N978" s="63"/>
      <c r="O978" s="64"/>
      <c r="P978" s="63"/>
      <c r="Q978" s="63"/>
      <c r="R978" s="63"/>
      <c r="S978" s="63"/>
      <c r="T978" s="41"/>
      <c r="AG978" s="667" t="s">
        <v>278</v>
      </c>
      <c r="AH978" s="667" t="s">
        <v>279</v>
      </c>
      <c r="AI978" s="667" t="s">
        <v>280</v>
      </c>
      <c r="AJ978" s="667" t="s">
        <v>281</v>
      </c>
      <c r="AK978" s="667" t="s">
        <v>282</v>
      </c>
      <c r="AM978" s="668" t="s">
        <v>291</v>
      </c>
      <c r="AN978" s="669" t="s">
        <v>292</v>
      </c>
      <c r="AO978" s="603" t="s">
        <v>288</v>
      </c>
    </row>
    <row r="979" spans="1:256" s="602" customFormat="1" ht="13.2">
      <c r="A979" s="670">
        <v>15</v>
      </c>
      <c r="B979" s="671" t="s">
        <v>326</v>
      </c>
      <c r="C979" s="672"/>
      <c r="D979" s="673" t="s">
        <v>539</v>
      </c>
      <c r="E979" s="674">
        <f ca="1">IF(AND($A979=0,$A$1="DIF"),0, ROUND(ROUND(($R986*$S$2+($T986*$T$2))/A979,2)*$C$2,2))</f>
        <v>0</v>
      </c>
      <c r="F979" s="675">
        <f ca="1">ROUND($A979*$E979,2)</f>
        <v>0</v>
      </c>
      <c r="G979" s="676" t="s">
        <v>142</v>
      </c>
      <c r="H979" s="664"/>
      <c r="I979" s="677"/>
      <c r="J979" s="664"/>
      <c r="K979" s="664" t="s">
        <v>3</v>
      </c>
      <c r="L979" s="678" t="s">
        <v>143</v>
      </c>
      <c r="M979" s="678"/>
      <c r="N979" s="678"/>
      <c r="O979" s="678"/>
      <c r="P979" s="678"/>
      <c r="Q979" s="63"/>
      <c r="T979" s="679" t="str">
        <f ca="1">IF(AND($R986=0,$T986=0),"0.00","mu :" &amp; ROUND($F979/$C$2/($R986+$T986*$D$9),2))</f>
        <v>0.00</v>
      </c>
      <c r="W979" s="604"/>
      <c r="AG979" s="549">
        <f ca="1">IF($E979=0,0,ROUND($R986*$S$2*$C$2/$A979,2))</f>
        <v>0</v>
      </c>
      <c r="AH979" s="549">
        <f ca="1">$AG979*$A979</f>
        <v>0</v>
      </c>
      <c r="AI979" s="605">
        <f ca="1">$E979-$AG979</f>
        <v>0</v>
      </c>
      <c r="AJ979" s="605">
        <f ca="1">$A979*$AI979</f>
        <v>0</v>
      </c>
      <c r="AK979" s="606">
        <f ca="1">ROUND(($AG979+$AI979)*$A979,2)</f>
        <v>0</v>
      </c>
      <c r="AM979" s="607">
        <f ca="1">ROUND(R986,2)</f>
        <v>0</v>
      </c>
      <c r="AN979" s="608">
        <f ca="1">ROUND(T986,2)</f>
        <v>0</v>
      </c>
      <c r="AO979" s="609">
        <f ca="1">ROUND(AM979+AN979,2)*A979</f>
        <v>0</v>
      </c>
    </row>
    <row r="980" spans="1:256" s="713" customFormat="1" ht="13.2">
      <c r="A980" s="672"/>
      <c r="B980"/>
      <c r="C980" s="672"/>
      <c r="D980" s="673" t="s">
        <v>345</v>
      </c>
      <c r="E980" s="602"/>
      <c r="F980" s="664"/>
      <c r="G980" s="3"/>
      <c r="H980" s="664"/>
      <c r="I980" s="677"/>
      <c r="J980" s="664"/>
      <c r="K980" s="664" t="s">
        <v>144</v>
      </c>
      <c r="L980" s="664"/>
      <c r="M980" s="664"/>
      <c r="N980" s="664"/>
      <c r="O980" s="664"/>
      <c r="P980" s="664"/>
      <c r="Q980" s="63"/>
      <c r="R980" s="610"/>
      <c r="S980" s="680"/>
      <c r="T980" s="664"/>
      <c r="U980" s="602"/>
      <c r="V980" s="602"/>
      <c r="W980" s="602"/>
      <c r="X980" s="602"/>
      <c r="Y980" s="602"/>
      <c r="Z980" s="602"/>
      <c r="AA980" s="602"/>
      <c r="AB980" s="602"/>
      <c r="AC980" s="602"/>
      <c r="AD980" s="602"/>
      <c r="AE980" s="602"/>
      <c r="AF980" s="602"/>
      <c r="AG980" s="602"/>
      <c r="AH980" s="602"/>
      <c r="AI980" s="602"/>
      <c r="AJ980" s="602"/>
      <c r="AK980" s="602"/>
      <c r="AL980" s="602"/>
      <c r="AM980" s="602"/>
      <c r="AN980" s="602"/>
      <c r="AO980" s="602"/>
      <c r="AP980" s="602"/>
      <c r="AQ980" s="602"/>
      <c r="AR980" s="602"/>
      <c r="AS980" s="602"/>
      <c r="AT980" s="602"/>
      <c r="AU980" s="602"/>
      <c r="AV980" s="602"/>
      <c r="AW980" s="602"/>
      <c r="AX980" s="602"/>
      <c r="AY980" s="602"/>
      <c r="AZ980" s="602"/>
      <c r="BA980" s="602"/>
      <c r="BB980" s="602"/>
      <c r="BC980" s="602"/>
      <c r="BD980" s="602"/>
      <c r="BE980" s="602"/>
      <c r="BF980" s="602"/>
      <c r="BG980" s="602"/>
      <c r="BH980" s="602"/>
      <c r="BI980" s="602"/>
      <c r="BJ980" s="602"/>
      <c r="BK980" s="602"/>
      <c r="BL980" s="602"/>
      <c r="BM980" s="602"/>
      <c r="BN980" s="602"/>
      <c r="BO980" s="602"/>
      <c r="BP980" s="602"/>
      <c r="BQ980" s="602"/>
      <c r="BR980" s="602"/>
      <c r="BS980" s="602"/>
      <c r="BT980" s="602"/>
      <c r="BU980" s="602"/>
      <c r="BV980" s="602"/>
      <c r="BW980" s="602"/>
      <c r="BX980" s="602"/>
      <c r="BY980" s="602"/>
      <c r="BZ980" s="602"/>
      <c r="CA980" s="602"/>
      <c r="CB980" s="602"/>
      <c r="CC980" s="602"/>
      <c r="CD980" s="602"/>
      <c r="CE980" s="602"/>
      <c r="CF980" s="602"/>
      <c r="CG980" s="602"/>
      <c r="CH980" s="602"/>
      <c r="CI980" s="602"/>
      <c r="CJ980" s="602"/>
      <c r="CK980" s="602"/>
      <c r="CL980" s="602"/>
      <c r="CM980" s="602"/>
      <c r="CN980" s="602"/>
      <c r="CO980" s="602"/>
      <c r="CP980" s="602"/>
      <c r="CQ980" s="602"/>
      <c r="CR980" s="602"/>
      <c r="CS980" s="602"/>
      <c r="CT980" s="602"/>
      <c r="CU980" s="602"/>
      <c r="CV980" s="602"/>
      <c r="CW980" s="602"/>
      <c r="CX980" s="602"/>
      <c r="CY980" s="602"/>
      <c r="CZ980" s="602"/>
      <c r="DA980" s="602"/>
      <c r="DB980" s="602"/>
      <c r="DC980" s="602"/>
      <c r="DD980" s="602"/>
      <c r="DE980" s="602"/>
      <c r="DF980" s="602"/>
      <c r="DG980" s="602"/>
      <c r="DH980" s="602"/>
      <c r="DI980" s="602"/>
      <c r="DJ980" s="602"/>
      <c r="DK980" s="602"/>
      <c r="DL980" s="602"/>
      <c r="DM980" s="602"/>
      <c r="DN980" s="602"/>
      <c r="DO980" s="602"/>
      <c r="DP980" s="602"/>
      <c r="DQ980" s="602"/>
      <c r="DR980" s="602"/>
      <c r="DS980" s="602"/>
      <c r="DT980" s="602"/>
      <c r="DU980" s="602"/>
      <c r="DV980" s="602"/>
      <c r="DW980" s="602"/>
      <c r="DX980" s="602"/>
      <c r="DY980" s="602"/>
      <c r="DZ980" s="602"/>
      <c r="EA980" s="602"/>
      <c r="EB980" s="602"/>
      <c r="EC980" s="602"/>
      <c r="ED980" s="602"/>
      <c r="EE980" s="602"/>
      <c r="EF980" s="602"/>
      <c r="EG980" s="602"/>
      <c r="EH980" s="602"/>
      <c r="EI980" s="602"/>
      <c r="EJ980" s="602"/>
      <c r="EK980" s="602"/>
      <c r="EL980" s="602"/>
      <c r="EM980" s="602"/>
      <c r="EN980" s="602"/>
      <c r="EO980" s="602"/>
      <c r="EP980" s="602"/>
      <c r="EQ980" s="602"/>
      <c r="ER980" s="602"/>
      <c r="ES980" s="602"/>
      <c r="ET980" s="602"/>
      <c r="EU980" s="602"/>
      <c r="EV980" s="602"/>
      <c r="EW980" s="602"/>
      <c r="EX980" s="602"/>
      <c r="EY980" s="602"/>
      <c r="EZ980" s="602"/>
      <c r="FA980" s="602"/>
      <c r="FB980" s="602"/>
      <c r="FC980" s="602"/>
      <c r="FD980" s="602"/>
      <c r="FE980" s="602"/>
      <c r="FF980" s="602"/>
      <c r="FG980" s="602"/>
      <c r="FH980" s="602"/>
      <c r="FI980" s="602"/>
      <c r="FJ980" s="602"/>
      <c r="FK980" s="602"/>
      <c r="FL980" s="602"/>
      <c r="FM980" s="602"/>
      <c r="FN980" s="602"/>
      <c r="FO980" s="602"/>
      <c r="FP980" s="602"/>
      <c r="FQ980" s="602"/>
      <c r="FR980" s="602"/>
      <c r="FS980" s="602"/>
      <c r="FT980" s="602"/>
      <c r="FU980" s="602"/>
      <c r="FV980" s="602"/>
      <c r="FW980" s="602"/>
      <c r="FX980" s="602"/>
      <c r="FY980" s="602"/>
      <c r="FZ980" s="602"/>
      <c r="GA980" s="602"/>
      <c r="GB980" s="602"/>
      <c r="GC980" s="602"/>
      <c r="GD980" s="602"/>
      <c r="GE980" s="602"/>
      <c r="GF980" s="602"/>
      <c r="GG980" s="602"/>
      <c r="GH980" s="602"/>
      <c r="GI980" s="602"/>
      <c r="GJ980" s="602"/>
      <c r="GK980" s="602"/>
      <c r="GL980" s="602"/>
      <c r="GM980" s="602"/>
      <c r="GN980" s="602"/>
      <c r="GO980" s="602"/>
      <c r="GP980" s="602"/>
      <c r="GQ980" s="602"/>
      <c r="GR980" s="602"/>
      <c r="GS980" s="602"/>
      <c r="GT980" s="602"/>
      <c r="GU980" s="602"/>
      <c r="GV980" s="602"/>
      <c r="GW980" s="602"/>
      <c r="GX980" s="602"/>
      <c r="GY980" s="602"/>
      <c r="GZ980" s="602"/>
      <c r="HA980" s="602"/>
      <c r="HB980" s="602"/>
      <c r="HC980" s="602"/>
      <c r="HD980" s="602"/>
      <c r="HE980" s="602"/>
      <c r="HF980" s="602"/>
      <c r="HG980" s="602"/>
      <c r="HH980" s="602"/>
      <c r="HI980" s="602"/>
      <c r="HJ980" s="602"/>
      <c r="HK980" s="602"/>
      <c r="HL980" s="602"/>
      <c r="HM980" s="602"/>
      <c r="HN980" s="602"/>
      <c r="HO980" s="602"/>
      <c r="HP980" s="602"/>
      <c r="HQ980" s="602"/>
      <c r="HR980" s="602"/>
      <c r="HS980" s="602"/>
      <c r="HT980" s="602"/>
      <c r="HU980" s="602"/>
      <c r="HV980" s="602"/>
      <c r="HW980" s="602"/>
      <c r="HX980" s="602"/>
      <c r="HY980" s="602"/>
      <c r="HZ980" s="602"/>
      <c r="IA980" s="602"/>
      <c r="IB980" s="602"/>
      <c r="IC980" s="602"/>
      <c r="ID980" s="602"/>
      <c r="IE980" s="602"/>
      <c r="IF980" s="602"/>
      <c r="IG980" s="602"/>
      <c r="IH980" s="602"/>
      <c r="II980" s="602"/>
      <c r="IJ980" s="602"/>
      <c r="IK980" s="602"/>
      <c r="IL980" s="602"/>
      <c r="IM980" s="602"/>
      <c r="IN980" s="602"/>
      <c r="IO980" s="602"/>
      <c r="IP980" s="602"/>
      <c r="IQ980" s="602"/>
      <c r="IR980" s="602"/>
      <c r="IS980" s="602"/>
      <c r="IT980" s="602"/>
      <c r="IU980" s="602"/>
      <c r="IV980" s="602"/>
    </row>
    <row r="981" spans="1:256" s="713" customFormat="1" ht="13.2">
      <c r="A981"/>
      <c r="B981" s="807"/>
      <c r="C981" s="807" t="s">
        <v>692</v>
      </c>
      <c r="D981" s="807" t="str">
        <f ca="1">CELL("Address",Elec_Rates!D$266)</f>
        <v>[E25_0477_IH_Retro_Elec_Est_Rev_A_AW.xlsx]Elec_Rates!$D$266</v>
      </c>
      <c r="E981" s="808"/>
      <c r="F981" s="808"/>
      <c r="G981" s="809" t="s">
        <v>693</v>
      </c>
      <c r="H981" s="809"/>
      <c r="I981" s="809"/>
      <c r="J981" s="809"/>
      <c r="K981" s="810"/>
      <c r="L981" s="808"/>
      <c r="M981" s="808"/>
      <c r="N981" s="808"/>
      <c r="O981" s="811"/>
      <c r="P981" s="808"/>
      <c r="Q981" s="812"/>
      <c r="R981" s="813"/>
      <c r="S981" s="812"/>
      <c r="T981" s="814"/>
      <c r="U981" s="815"/>
    </row>
    <row r="982" spans="1:256" s="713" customFormat="1" ht="11.4">
      <c r="A982" s="816">
        <v>15</v>
      </c>
      <c r="B982" s="817">
        <v>1</v>
      </c>
      <c r="C982" s="817">
        <f>$A982*$B982</f>
        <v>15</v>
      </c>
      <c r="D982" s="818" t="str">
        <f>Elec_Rates!$D$266</f>
        <v>014# 50mm galvanised steel cable tray</v>
      </c>
      <c r="E982" s="818"/>
      <c r="F982" s="818" t="s">
        <v>694</v>
      </c>
      <c r="G982" s="819" t="s">
        <v>696</v>
      </c>
      <c r="H982" s="819"/>
      <c r="I982" s="819"/>
      <c r="J982" s="819"/>
      <c r="K982" s="820"/>
      <c r="L982" s="815"/>
      <c r="M982" s="815"/>
      <c r="N982" s="815"/>
      <c r="O982" s="821"/>
      <c r="P982" s="818"/>
      <c r="Q982" s="822">
        <f ca="1">$B982*Elec_Rates!$R$266</f>
        <v>0</v>
      </c>
      <c r="R982" s="813">
        <f ca="1">$A982*Q982</f>
        <v>0</v>
      </c>
      <c r="S982" s="822">
        <f ca="1">$B982*Elec_Rates!$T$266</f>
        <v>0</v>
      </c>
      <c r="T982" s="814">
        <f ca="1">$A982*S982</f>
        <v>0</v>
      </c>
      <c r="U982" s="583"/>
    </row>
    <row r="983" spans="1:256" s="713" customFormat="1" ht="13.2">
      <c r="A983"/>
      <c r="B983" s="807"/>
      <c r="C983" s="807" t="s">
        <v>692</v>
      </c>
      <c r="D983" s="807" t="str">
        <f ca="1">CELL("Address",Elec_Rates!D$310)</f>
        <v>[E25_0477_IH_Retro_Elec_Est_Rev_A_AW.xlsx]Elec_Rates!$D$310</v>
      </c>
      <c r="E983" s="808"/>
      <c r="F983" s="808"/>
      <c r="G983" s="809" t="s">
        <v>693</v>
      </c>
      <c r="H983" s="809"/>
      <c r="I983" s="809"/>
      <c r="J983" s="809"/>
      <c r="K983" s="810"/>
      <c r="L983" s="808"/>
      <c r="M983" s="808"/>
      <c r="N983" s="808"/>
      <c r="O983" s="811"/>
      <c r="P983" s="808"/>
      <c r="Q983" s="812"/>
      <c r="R983" s="813"/>
      <c r="S983" s="812"/>
      <c r="T983" s="814"/>
      <c r="U983" s="815"/>
    </row>
    <row r="984" spans="1:256" s="602" customFormat="1" ht="11.4">
      <c r="A984" s="816">
        <v>5</v>
      </c>
      <c r="B984" s="817">
        <v>1</v>
      </c>
      <c r="C984" s="817">
        <f>$A984*$B984</f>
        <v>5</v>
      </c>
      <c r="D984" s="818" t="str">
        <f>Elec_Rates!$D$310</f>
        <v>025# Bracket for 50mm cable tray</v>
      </c>
      <c r="E984" s="818"/>
      <c r="F984" s="818" t="s">
        <v>694</v>
      </c>
      <c r="G984" s="819" t="s">
        <v>695</v>
      </c>
      <c r="H984" s="819"/>
      <c r="I984" s="819"/>
      <c r="J984" s="819"/>
      <c r="K984" s="820"/>
      <c r="L984" s="815"/>
      <c r="M984" s="815"/>
      <c r="N984" s="815"/>
      <c r="O984" s="821"/>
      <c r="P984" s="818"/>
      <c r="Q984" s="822">
        <f ca="1">$B984*Elec_Rates!$R$310</f>
        <v>0</v>
      </c>
      <c r="R984" s="813">
        <f ca="1">$A984*Q984</f>
        <v>0</v>
      </c>
      <c r="S984" s="822">
        <f ca="1">$B984*Elec_Rates!$T$310</f>
        <v>0</v>
      </c>
      <c r="T984" s="814">
        <f ca="1">$A984*S984</f>
        <v>0</v>
      </c>
      <c r="U984" s="583"/>
      <c r="V984" s="713"/>
      <c r="W984" s="713"/>
      <c r="X984" s="713"/>
      <c r="Y984" s="713"/>
      <c r="Z984" s="713"/>
      <c r="AA984" s="713"/>
      <c r="AB984" s="713"/>
      <c r="AC984" s="713"/>
      <c r="AD984" s="713"/>
      <c r="AE984" s="713"/>
      <c r="AF984" s="713"/>
      <c r="AG984" s="713"/>
      <c r="AH984" s="713"/>
      <c r="AI984" s="713"/>
      <c r="AJ984" s="713"/>
      <c r="AK984" s="713"/>
      <c r="AL984" s="713"/>
      <c r="AM984" s="713"/>
      <c r="AN984" s="713"/>
      <c r="AO984" s="713"/>
      <c r="AP984" s="713"/>
      <c r="AQ984" s="713"/>
      <c r="AR984" s="713"/>
      <c r="AS984" s="713"/>
      <c r="AT984" s="713"/>
      <c r="AU984" s="713"/>
      <c r="AV984" s="713"/>
      <c r="AW984" s="713"/>
      <c r="AX984" s="713"/>
      <c r="AY984" s="713"/>
      <c r="AZ984" s="713"/>
      <c r="BA984" s="713"/>
      <c r="BB984" s="713"/>
      <c r="BC984" s="713"/>
      <c r="BD984" s="713"/>
      <c r="BE984" s="713"/>
      <c r="BF984" s="713"/>
      <c r="BG984" s="713"/>
      <c r="BH984" s="713"/>
      <c r="BI984" s="713"/>
      <c r="BJ984" s="713"/>
      <c r="BK984" s="713"/>
      <c r="BL984" s="713"/>
      <c r="BM984" s="713"/>
      <c r="BN984" s="713"/>
      <c r="BO984" s="713"/>
      <c r="BP984" s="713"/>
      <c r="BQ984" s="713"/>
      <c r="BR984" s="713"/>
      <c r="BS984" s="713"/>
      <c r="BT984" s="713"/>
      <c r="BU984" s="713"/>
      <c r="BV984" s="713"/>
      <c r="BW984" s="713"/>
      <c r="BX984" s="713"/>
      <c r="BY984" s="713"/>
      <c r="BZ984" s="713"/>
      <c r="CA984" s="713"/>
      <c r="CB984" s="713"/>
      <c r="CC984" s="713"/>
      <c r="CD984" s="713"/>
      <c r="CE984" s="713"/>
      <c r="CF984" s="713"/>
      <c r="CG984" s="713"/>
      <c r="CH984" s="713"/>
      <c r="CI984" s="713"/>
      <c r="CJ984" s="713"/>
      <c r="CK984" s="713"/>
      <c r="CL984" s="713"/>
      <c r="CM984" s="713"/>
      <c r="CN984" s="713"/>
      <c r="CO984" s="713"/>
      <c r="CP984" s="713"/>
      <c r="CQ984" s="713"/>
      <c r="CR984" s="713"/>
      <c r="CS984" s="713"/>
      <c r="CT984" s="713"/>
      <c r="CU984" s="713"/>
      <c r="CV984" s="713"/>
      <c r="CW984" s="713"/>
      <c r="CX984" s="713"/>
      <c r="CY984" s="713"/>
      <c r="CZ984" s="713"/>
      <c r="DA984" s="713"/>
      <c r="DB984" s="713"/>
      <c r="DC984" s="713"/>
      <c r="DD984" s="713"/>
      <c r="DE984" s="713"/>
      <c r="DF984" s="713"/>
      <c r="DG984" s="713"/>
      <c r="DH984" s="713"/>
      <c r="DI984" s="713"/>
      <c r="DJ984" s="713"/>
      <c r="DK984" s="713"/>
      <c r="DL984" s="713"/>
      <c r="DM984" s="713"/>
      <c r="DN984" s="713"/>
      <c r="DO984" s="713"/>
      <c r="DP984" s="713"/>
      <c r="DQ984" s="713"/>
      <c r="DR984" s="713"/>
      <c r="DS984" s="713"/>
      <c r="DT984" s="713"/>
      <c r="DU984" s="713"/>
      <c r="DV984" s="713"/>
      <c r="DW984" s="713"/>
      <c r="DX984" s="713"/>
      <c r="DY984" s="713"/>
      <c r="DZ984" s="713"/>
      <c r="EA984" s="713"/>
      <c r="EB984" s="713"/>
      <c r="EC984" s="713"/>
      <c r="ED984" s="713"/>
      <c r="EE984" s="713"/>
      <c r="EF984" s="713"/>
      <c r="EG984" s="713"/>
      <c r="EH984" s="713"/>
      <c r="EI984" s="713"/>
      <c r="EJ984" s="713"/>
      <c r="EK984" s="713"/>
      <c r="EL984" s="713"/>
      <c r="EM984" s="713"/>
      <c r="EN984" s="713"/>
      <c r="EO984" s="713"/>
      <c r="EP984" s="713"/>
      <c r="EQ984" s="713"/>
      <c r="ER984" s="713"/>
      <c r="ES984" s="713"/>
      <c r="ET984" s="713"/>
      <c r="EU984" s="713"/>
      <c r="EV984" s="713"/>
      <c r="EW984" s="713"/>
      <c r="EX984" s="713"/>
      <c r="EY984" s="713"/>
      <c r="EZ984" s="713"/>
      <c r="FA984" s="713"/>
      <c r="FB984" s="713"/>
      <c r="FC984" s="713"/>
      <c r="FD984" s="713"/>
      <c r="FE984" s="713"/>
      <c r="FF984" s="713"/>
      <c r="FG984" s="713"/>
      <c r="FH984" s="713"/>
      <c r="FI984" s="713"/>
      <c r="FJ984" s="713"/>
      <c r="FK984" s="713"/>
      <c r="FL984" s="713"/>
      <c r="FM984" s="713"/>
      <c r="FN984" s="713"/>
      <c r="FO984" s="713"/>
      <c r="FP984" s="713"/>
      <c r="FQ984" s="713"/>
      <c r="FR984" s="713"/>
      <c r="FS984" s="713"/>
      <c r="FT984" s="713"/>
      <c r="FU984" s="713"/>
      <c r="FV984" s="713"/>
      <c r="FW984" s="713"/>
      <c r="FX984" s="713"/>
      <c r="FY984" s="713"/>
      <c r="FZ984" s="713"/>
      <c r="GA984" s="713"/>
      <c r="GB984" s="713"/>
      <c r="GC984" s="713"/>
      <c r="GD984" s="713"/>
      <c r="GE984" s="713"/>
      <c r="GF984" s="713"/>
      <c r="GG984" s="713"/>
      <c r="GH984" s="713"/>
      <c r="GI984" s="713"/>
      <c r="GJ984" s="713"/>
      <c r="GK984" s="713"/>
      <c r="GL984" s="713"/>
      <c r="GM984" s="713"/>
      <c r="GN984" s="713"/>
      <c r="GO984" s="713"/>
      <c r="GP984" s="713"/>
      <c r="GQ984" s="713"/>
      <c r="GR984" s="713"/>
      <c r="GS984" s="713"/>
      <c r="GT984" s="713"/>
      <c r="GU984" s="713"/>
      <c r="GV984" s="713"/>
      <c r="GW984" s="713"/>
      <c r="GX984" s="713"/>
      <c r="GY984" s="713"/>
      <c r="GZ984" s="713"/>
      <c r="HA984" s="713"/>
      <c r="HB984" s="713"/>
      <c r="HC984" s="713"/>
      <c r="HD984" s="713"/>
      <c r="HE984" s="713"/>
      <c r="HF984" s="713"/>
      <c r="HG984" s="713"/>
      <c r="HH984" s="713"/>
      <c r="HI984" s="713"/>
      <c r="HJ984" s="713"/>
      <c r="HK984" s="713"/>
      <c r="HL984" s="713"/>
      <c r="HM984" s="713"/>
      <c r="HN984" s="713"/>
      <c r="HO984" s="713"/>
      <c r="HP984" s="713"/>
      <c r="HQ984" s="713"/>
      <c r="HR984" s="713"/>
      <c r="HS984" s="713"/>
      <c r="HT984" s="713"/>
      <c r="HU984" s="713"/>
      <c r="HV984" s="713"/>
      <c r="HW984" s="713"/>
      <c r="HX984" s="713"/>
      <c r="HY984" s="713"/>
      <c r="HZ984" s="713"/>
      <c r="IA984" s="713"/>
      <c r="IB984" s="713"/>
      <c r="IC984" s="713"/>
      <c r="ID984" s="713"/>
      <c r="IE984" s="713"/>
      <c r="IF984" s="713"/>
      <c r="IG984" s="713"/>
      <c r="IH984" s="713"/>
      <c r="II984" s="713"/>
      <c r="IJ984" s="713"/>
      <c r="IK984" s="713"/>
      <c r="IL984" s="713"/>
      <c r="IM984" s="713"/>
      <c r="IN984" s="713"/>
      <c r="IO984" s="713"/>
      <c r="IP984" s="713"/>
      <c r="IQ984" s="713"/>
      <c r="IR984" s="713"/>
      <c r="IS984" s="713"/>
      <c r="IT984" s="713"/>
      <c r="IU984" s="713"/>
      <c r="IV984" s="713"/>
    </row>
    <row r="985" spans="1:256" s="602" customFormat="1" ht="12">
      <c r="A985" s="663"/>
      <c r="B985" s="663"/>
      <c r="C985" s="663"/>
      <c r="D985" s="663"/>
      <c r="E985" s="663"/>
      <c r="F985" s="664"/>
      <c r="G985" s="663"/>
      <c r="H985" s="663"/>
      <c r="I985" s="601"/>
      <c r="J985" s="663"/>
      <c r="K985" s="663"/>
      <c r="L985" s="663"/>
      <c r="M985" s="663"/>
      <c r="N985" s="663"/>
      <c r="O985" s="663"/>
      <c r="P985" s="663"/>
      <c r="Q985" s="601"/>
      <c r="R985" s="666">
        <f>$A985*Q985</f>
        <v>0</v>
      </c>
      <c r="S985" s="601"/>
      <c r="T985" s="681">
        <f>$A985*S985*$T$1</f>
        <v>0</v>
      </c>
    </row>
    <row r="986" spans="1:256" s="602" customFormat="1" ht="12.6" thickBot="1">
      <c r="A986" s="682" t="s">
        <v>145</v>
      </c>
      <c r="B986" s="683">
        <f>(R985+T985)</f>
        <v>0</v>
      </c>
      <c r="C986" s="684"/>
      <c r="D986" s="684"/>
      <c r="E986" s="684"/>
      <c r="F986" s="685"/>
      <c r="G986" s="684" t="s">
        <v>146</v>
      </c>
      <c r="H986" s="684"/>
      <c r="I986" s="686"/>
      <c r="J986" s="684"/>
      <c r="K986" s="684" t="s">
        <v>3</v>
      </c>
      <c r="L986" s="687" t="s">
        <v>143</v>
      </c>
      <c r="M986" s="687"/>
      <c r="N986" s="687"/>
      <c r="O986" s="687"/>
      <c r="P986" s="687"/>
      <c r="Q986" s="688"/>
      <c r="R986" s="689">
        <f ca="1">SUM(R980:R985)</f>
        <v>0</v>
      </c>
      <c r="S986" s="684"/>
      <c r="T986" s="689">
        <f ca="1">SUM(T980:T985)</f>
        <v>0</v>
      </c>
      <c r="U986" s="611"/>
      <c r="V986" s="611"/>
      <c r="W986" s="611"/>
      <c r="X986" s="611"/>
      <c r="Y986" s="611"/>
      <c r="Z986" s="611"/>
      <c r="AA986" s="611"/>
      <c r="AB986" s="611"/>
      <c r="AC986" s="611"/>
      <c r="AD986" s="611"/>
      <c r="AE986" s="611"/>
      <c r="AF986" s="611"/>
      <c r="AG986" s="611"/>
      <c r="AH986" s="611"/>
      <c r="AI986" s="611"/>
      <c r="AJ986" s="611"/>
      <c r="AK986" s="611"/>
      <c r="AL986" s="611"/>
      <c r="AM986" s="611"/>
      <c r="AN986" s="611"/>
      <c r="AO986" s="611"/>
    </row>
    <row r="987" spans="1:256" s="602" customFormat="1" ht="12" customHeight="1" thickTop="1">
      <c r="A987" s="63"/>
      <c r="B987" s="41"/>
      <c r="C987" s="63"/>
      <c r="E987" s="42" t="s">
        <v>138</v>
      </c>
      <c r="F987" s="42" t="s">
        <v>139</v>
      </c>
      <c r="G987" s="63"/>
      <c r="H987" s="63"/>
      <c r="I987" s="63"/>
      <c r="J987" s="63"/>
      <c r="K987" s="63" t="s">
        <v>140</v>
      </c>
      <c r="L987" s="63"/>
      <c r="M987" s="63"/>
      <c r="N987" s="63"/>
      <c r="O987" s="64"/>
      <c r="P987" s="63"/>
      <c r="Q987" s="63"/>
      <c r="R987" s="63"/>
      <c r="S987" s="63"/>
      <c r="T987" s="41"/>
      <c r="AG987" s="667" t="s">
        <v>278</v>
      </c>
      <c r="AH987" s="667" t="s">
        <v>279</v>
      </c>
      <c r="AI987" s="667" t="s">
        <v>280</v>
      </c>
      <c r="AJ987" s="667" t="s">
        <v>281</v>
      </c>
      <c r="AK987" s="667" t="s">
        <v>282</v>
      </c>
      <c r="AM987" s="668" t="s">
        <v>291</v>
      </c>
      <c r="AN987" s="669" t="s">
        <v>292</v>
      </c>
      <c r="AO987" s="603" t="s">
        <v>288</v>
      </c>
    </row>
    <row r="988" spans="1:256" s="602" customFormat="1" ht="13.2">
      <c r="A988" s="670">
        <v>35</v>
      </c>
      <c r="B988" s="671" t="s">
        <v>326</v>
      </c>
      <c r="C988" s="672"/>
      <c r="D988" s="673" t="s">
        <v>540</v>
      </c>
      <c r="E988" s="674">
        <f ca="1">IF(AND($A988=0,$A$1="DIF"),0, ROUND(ROUND(($R995*$S$2+($T995*$T$2))/A988,2)*$C$2,2))</f>
        <v>13.92</v>
      </c>
      <c r="F988" s="675">
        <f ca="1">ROUND($A988*$E988,2)</f>
        <v>487.2</v>
      </c>
      <c r="G988" s="676" t="s">
        <v>142</v>
      </c>
      <c r="H988" s="664"/>
      <c r="I988" s="677"/>
      <c r="J988" s="664"/>
      <c r="K988" s="664" t="s">
        <v>3</v>
      </c>
      <c r="L988" s="678" t="s">
        <v>143</v>
      </c>
      <c r="M988" s="678"/>
      <c r="N988" s="678"/>
      <c r="O988" s="678"/>
      <c r="P988" s="678"/>
      <c r="Q988" s="63"/>
      <c r="T988" s="679" t="str">
        <f ca="1">IF(AND($R995=0,$T995=0),"0.00","mu :" &amp; ROUND($F988/$C$2/($R995+$T995*$D$9),2))</f>
        <v>mu :1.35</v>
      </c>
      <c r="W988" s="604"/>
      <c r="AG988" s="549">
        <f ca="1">IF($E988=0,0,ROUND($R995*$S$2*$C$2/$A988,2))</f>
        <v>4.8899999999999997</v>
      </c>
      <c r="AH988" s="549">
        <f ca="1">$AG988*$A988</f>
        <v>171.14999999999998</v>
      </c>
      <c r="AI988" s="605">
        <f ca="1">$E988-$AG988</f>
        <v>9.0300000000000011</v>
      </c>
      <c r="AJ988" s="605">
        <f ca="1">$A988*$AI988</f>
        <v>316.05000000000007</v>
      </c>
      <c r="AK988" s="606">
        <f ca="1">ROUND(($AG988+$AI988)*$A988,2)</f>
        <v>487.2</v>
      </c>
      <c r="AM988" s="607">
        <f ca="1">ROUND(R995,2)</f>
        <v>130.19999999999999</v>
      </c>
      <c r="AN988" s="608">
        <f ca="1">ROUND(T995,2)</f>
        <v>8.75</v>
      </c>
      <c r="AO988" s="609">
        <f ca="1">ROUND(AM988+AN988,2)*A988</f>
        <v>4863.25</v>
      </c>
    </row>
    <row r="989" spans="1:256" s="713" customFormat="1" ht="13.2">
      <c r="A989" s="672"/>
      <c r="B989"/>
      <c r="C989" s="672"/>
      <c r="D989" s="673" t="s">
        <v>479</v>
      </c>
      <c r="E989" s="602"/>
      <c r="F989" s="664"/>
      <c r="G989" s="3"/>
      <c r="H989" s="664"/>
      <c r="I989" s="677"/>
      <c r="J989" s="664"/>
      <c r="K989" s="664" t="s">
        <v>144</v>
      </c>
      <c r="L989" s="664"/>
      <c r="M989" s="664"/>
      <c r="N989" s="664"/>
      <c r="O989" s="664"/>
      <c r="P989" s="664"/>
      <c r="Q989" s="63"/>
      <c r="R989" s="610"/>
      <c r="S989" s="680"/>
      <c r="T989" s="664"/>
      <c r="U989" s="602"/>
      <c r="V989" s="602"/>
      <c r="W989" s="602"/>
      <c r="X989" s="602"/>
      <c r="Y989" s="602"/>
      <c r="Z989" s="602"/>
      <c r="AA989" s="602"/>
      <c r="AB989" s="602"/>
      <c r="AC989" s="602"/>
      <c r="AD989" s="602"/>
      <c r="AE989" s="602"/>
      <c r="AF989" s="602"/>
      <c r="AG989" s="602"/>
      <c r="AH989" s="602"/>
      <c r="AI989" s="602"/>
      <c r="AJ989" s="602"/>
      <c r="AK989" s="602"/>
      <c r="AL989" s="602"/>
      <c r="AM989" s="602"/>
      <c r="AN989" s="602"/>
      <c r="AO989" s="602"/>
      <c r="AP989" s="602"/>
      <c r="AQ989" s="602"/>
      <c r="AR989" s="602"/>
      <c r="AS989" s="602"/>
      <c r="AT989" s="602"/>
      <c r="AU989" s="602"/>
      <c r="AV989" s="602"/>
      <c r="AW989" s="602"/>
      <c r="AX989" s="602"/>
      <c r="AY989" s="602"/>
      <c r="AZ989" s="602"/>
      <c r="BA989" s="602"/>
      <c r="BB989" s="602"/>
      <c r="BC989" s="602"/>
      <c r="BD989" s="602"/>
      <c r="BE989" s="602"/>
      <c r="BF989" s="602"/>
      <c r="BG989" s="602"/>
      <c r="BH989" s="602"/>
      <c r="BI989" s="602"/>
      <c r="BJ989" s="602"/>
      <c r="BK989" s="602"/>
      <c r="BL989" s="602"/>
      <c r="BM989" s="602"/>
      <c r="BN989" s="602"/>
      <c r="BO989" s="602"/>
      <c r="BP989" s="602"/>
      <c r="BQ989" s="602"/>
      <c r="BR989" s="602"/>
      <c r="BS989" s="602"/>
      <c r="BT989" s="602"/>
      <c r="BU989" s="602"/>
      <c r="BV989" s="602"/>
      <c r="BW989" s="602"/>
      <c r="BX989" s="602"/>
      <c r="BY989" s="602"/>
      <c r="BZ989" s="602"/>
      <c r="CA989" s="602"/>
      <c r="CB989" s="602"/>
      <c r="CC989" s="602"/>
      <c r="CD989" s="602"/>
      <c r="CE989" s="602"/>
      <c r="CF989" s="602"/>
      <c r="CG989" s="602"/>
      <c r="CH989" s="602"/>
      <c r="CI989" s="602"/>
      <c r="CJ989" s="602"/>
      <c r="CK989" s="602"/>
      <c r="CL989" s="602"/>
      <c r="CM989" s="602"/>
      <c r="CN989" s="602"/>
      <c r="CO989" s="602"/>
      <c r="CP989" s="602"/>
      <c r="CQ989" s="602"/>
      <c r="CR989" s="602"/>
      <c r="CS989" s="602"/>
      <c r="CT989" s="602"/>
      <c r="CU989" s="602"/>
      <c r="CV989" s="602"/>
      <c r="CW989" s="602"/>
      <c r="CX989" s="602"/>
      <c r="CY989" s="602"/>
      <c r="CZ989" s="602"/>
      <c r="DA989" s="602"/>
      <c r="DB989" s="602"/>
      <c r="DC989" s="602"/>
      <c r="DD989" s="602"/>
      <c r="DE989" s="602"/>
      <c r="DF989" s="602"/>
      <c r="DG989" s="602"/>
      <c r="DH989" s="602"/>
      <c r="DI989" s="602"/>
      <c r="DJ989" s="602"/>
      <c r="DK989" s="602"/>
      <c r="DL989" s="602"/>
      <c r="DM989" s="602"/>
      <c r="DN989" s="602"/>
      <c r="DO989" s="602"/>
      <c r="DP989" s="602"/>
      <c r="DQ989" s="602"/>
      <c r="DR989" s="602"/>
      <c r="DS989" s="602"/>
      <c r="DT989" s="602"/>
      <c r="DU989" s="602"/>
      <c r="DV989" s="602"/>
      <c r="DW989" s="602"/>
      <c r="DX989" s="602"/>
      <c r="DY989" s="602"/>
      <c r="DZ989" s="602"/>
      <c r="EA989" s="602"/>
      <c r="EB989" s="602"/>
      <c r="EC989" s="602"/>
      <c r="ED989" s="602"/>
      <c r="EE989" s="602"/>
      <c r="EF989" s="602"/>
      <c r="EG989" s="602"/>
      <c r="EH989" s="602"/>
      <c r="EI989" s="602"/>
      <c r="EJ989" s="602"/>
      <c r="EK989" s="602"/>
      <c r="EL989" s="602"/>
      <c r="EM989" s="602"/>
      <c r="EN989" s="602"/>
      <c r="EO989" s="602"/>
      <c r="EP989" s="602"/>
      <c r="EQ989" s="602"/>
      <c r="ER989" s="602"/>
      <c r="ES989" s="602"/>
      <c r="ET989" s="602"/>
      <c r="EU989" s="602"/>
      <c r="EV989" s="602"/>
      <c r="EW989" s="602"/>
      <c r="EX989" s="602"/>
      <c r="EY989" s="602"/>
      <c r="EZ989" s="602"/>
      <c r="FA989" s="602"/>
      <c r="FB989" s="602"/>
      <c r="FC989" s="602"/>
      <c r="FD989" s="602"/>
      <c r="FE989" s="602"/>
      <c r="FF989" s="602"/>
      <c r="FG989" s="602"/>
      <c r="FH989" s="602"/>
      <c r="FI989" s="602"/>
      <c r="FJ989" s="602"/>
      <c r="FK989" s="602"/>
      <c r="FL989" s="602"/>
      <c r="FM989" s="602"/>
      <c r="FN989" s="602"/>
      <c r="FO989" s="602"/>
      <c r="FP989" s="602"/>
      <c r="FQ989" s="602"/>
      <c r="FR989" s="602"/>
      <c r="FS989" s="602"/>
      <c r="FT989" s="602"/>
      <c r="FU989" s="602"/>
      <c r="FV989" s="602"/>
      <c r="FW989" s="602"/>
      <c r="FX989" s="602"/>
      <c r="FY989" s="602"/>
      <c r="FZ989" s="602"/>
      <c r="GA989" s="602"/>
      <c r="GB989" s="602"/>
      <c r="GC989" s="602"/>
      <c r="GD989" s="602"/>
      <c r="GE989" s="602"/>
      <c r="GF989" s="602"/>
      <c r="GG989" s="602"/>
      <c r="GH989" s="602"/>
      <c r="GI989" s="602"/>
      <c r="GJ989" s="602"/>
      <c r="GK989" s="602"/>
      <c r="GL989" s="602"/>
      <c r="GM989" s="602"/>
      <c r="GN989" s="602"/>
      <c r="GO989" s="602"/>
      <c r="GP989" s="602"/>
      <c r="GQ989" s="602"/>
      <c r="GR989" s="602"/>
      <c r="GS989" s="602"/>
      <c r="GT989" s="602"/>
      <c r="GU989" s="602"/>
      <c r="GV989" s="602"/>
      <c r="GW989" s="602"/>
      <c r="GX989" s="602"/>
      <c r="GY989" s="602"/>
      <c r="GZ989" s="602"/>
      <c r="HA989" s="602"/>
      <c r="HB989" s="602"/>
      <c r="HC989" s="602"/>
      <c r="HD989" s="602"/>
      <c r="HE989" s="602"/>
      <c r="HF989" s="602"/>
      <c r="HG989" s="602"/>
      <c r="HH989" s="602"/>
      <c r="HI989" s="602"/>
      <c r="HJ989" s="602"/>
      <c r="HK989" s="602"/>
      <c r="HL989" s="602"/>
      <c r="HM989" s="602"/>
      <c r="HN989" s="602"/>
      <c r="HO989" s="602"/>
      <c r="HP989" s="602"/>
      <c r="HQ989" s="602"/>
      <c r="HR989" s="602"/>
      <c r="HS989" s="602"/>
      <c r="HT989" s="602"/>
      <c r="HU989" s="602"/>
      <c r="HV989" s="602"/>
      <c r="HW989" s="602"/>
      <c r="HX989" s="602"/>
      <c r="HY989" s="602"/>
      <c r="HZ989" s="602"/>
      <c r="IA989" s="602"/>
      <c r="IB989" s="602"/>
      <c r="IC989" s="602"/>
      <c r="ID989" s="602"/>
      <c r="IE989" s="602"/>
      <c r="IF989" s="602"/>
      <c r="IG989" s="602"/>
      <c r="IH989" s="602"/>
      <c r="II989" s="602"/>
      <c r="IJ989" s="602"/>
      <c r="IK989" s="602"/>
      <c r="IL989" s="602"/>
      <c r="IM989" s="602"/>
      <c r="IN989" s="602"/>
      <c r="IO989" s="602"/>
      <c r="IP989" s="602"/>
      <c r="IQ989" s="602"/>
      <c r="IR989" s="602"/>
      <c r="IS989" s="602"/>
      <c r="IT989" s="602"/>
      <c r="IU989" s="602"/>
      <c r="IV989" s="602"/>
    </row>
    <row r="990" spans="1:256" s="713" customFormat="1" ht="13.2">
      <c r="A990"/>
      <c r="B990" s="807"/>
      <c r="C990" s="807" t="s">
        <v>692</v>
      </c>
      <c r="D990" s="807" t="str">
        <f ca="1">CELL("Address",Elec_Rates!D$277)</f>
        <v>[E25_0477_IH_Retro_Elec_Est_Rev_A_AW.xlsx]Elec_Rates!$D$277</v>
      </c>
      <c r="E990" s="808"/>
      <c r="F990" s="808"/>
      <c r="G990" s="809" t="s">
        <v>693</v>
      </c>
      <c r="H990" s="809"/>
      <c r="I990" s="809"/>
      <c r="J990" s="809"/>
      <c r="K990" s="810"/>
      <c r="L990" s="808"/>
      <c r="M990" s="808"/>
      <c r="N990" s="808"/>
      <c r="O990" s="811"/>
      <c r="P990" s="808"/>
      <c r="Q990" s="812"/>
      <c r="R990" s="813"/>
      <c r="S990" s="812"/>
      <c r="T990" s="814"/>
      <c r="U990" s="815"/>
    </row>
    <row r="991" spans="1:256" s="713" customFormat="1" ht="11.4">
      <c r="A991" s="816">
        <v>35</v>
      </c>
      <c r="B991" s="817">
        <v>1</v>
      </c>
      <c r="C991" s="817">
        <f>$A991*$B991</f>
        <v>35</v>
      </c>
      <c r="D991" s="818" t="str">
        <f>Elec_Rates!$D$277</f>
        <v>015# 200mm galvanised steel cable tray</v>
      </c>
      <c r="E991" s="818"/>
      <c r="F991" s="818" t="s">
        <v>694</v>
      </c>
      <c r="G991" s="819" t="s">
        <v>695</v>
      </c>
      <c r="H991" s="819"/>
      <c r="I991" s="819"/>
      <c r="J991" s="819"/>
      <c r="K991" s="820"/>
      <c r="L991" s="815"/>
      <c r="M991" s="815"/>
      <c r="N991" s="815"/>
      <c r="O991" s="821"/>
      <c r="P991" s="818"/>
      <c r="Q991" s="822">
        <f ca="1">$B991*Elec_Rates!$R$277</f>
        <v>0</v>
      </c>
      <c r="R991" s="813">
        <f ca="1">$A991*Q991</f>
        <v>0</v>
      </c>
      <c r="S991" s="822">
        <f ca="1">$B991*Elec_Rates!$T$277</f>
        <v>0</v>
      </c>
      <c r="T991" s="814">
        <f ca="1">$A991*S991</f>
        <v>0</v>
      </c>
      <c r="U991" s="583"/>
    </row>
    <row r="992" spans="1:256" s="713" customFormat="1" ht="13.2">
      <c r="A992"/>
      <c r="B992" s="807"/>
      <c r="C992" s="807" t="s">
        <v>692</v>
      </c>
      <c r="D992" s="807" t="str">
        <f ca="1">CELL("Address",Elec_Rates!D$321)</f>
        <v>[E25_0477_IH_Retro_Elec_Est_Rev_A_AW.xlsx]Elec_Rates!$D$321</v>
      </c>
      <c r="E992" s="808"/>
      <c r="F992" s="808"/>
      <c r="G992" s="809" t="s">
        <v>693</v>
      </c>
      <c r="H992" s="809"/>
      <c r="I992" s="809"/>
      <c r="J992" s="809"/>
      <c r="K992" s="810"/>
      <c r="L992" s="808"/>
      <c r="M992" s="808"/>
      <c r="N992" s="808"/>
      <c r="O992" s="811"/>
      <c r="P992" s="808"/>
      <c r="Q992" s="812"/>
      <c r="R992" s="813"/>
      <c r="S992" s="812"/>
      <c r="T992" s="814"/>
      <c r="U992" s="815"/>
    </row>
    <row r="993" spans="1:256" s="602" customFormat="1" ht="11.4">
      <c r="A993" s="816">
        <v>35</v>
      </c>
      <c r="B993" s="817">
        <v>1</v>
      </c>
      <c r="C993" s="817">
        <f>$A993*$B993</f>
        <v>35</v>
      </c>
      <c r="D993" s="818" t="str">
        <f>Elec_Rates!$D$321</f>
        <v>026# Bracket for 200-300mm cable tray</v>
      </c>
      <c r="E993" s="818"/>
      <c r="F993" s="818" t="s">
        <v>694</v>
      </c>
      <c r="G993" s="819" t="s">
        <v>695</v>
      </c>
      <c r="H993" s="819"/>
      <c r="I993" s="819"/>
      <c r="J993" s="819"/>
      <c r="K993" s="820"/>
      <c r="L993" s="815"/>
      <c r="M993" s="815"/>
      <c r="N993" s="815"/>
      <c r="O993" s="821"/>
      <c r="P993" s="818"/>
      <c r="Q993" s="822">
        <f ca="1">$B993*Elec_Rates!$R$321</f>
        <v>3.72</v>
      </c>
      <c r="R993" s="813">
        <f ca="1">$A993*Q993</f>
        <v>130.20000000000002</v>
      </c>
      <c r="S993" s="822">
        <f ca="1">$B993*Elec_Rates!$T$321</f>
        <v>0.25</v>
      </c>
      <c r="T993" s="814">
        <f ca="1">$A993*S993</f>
        <v>8.75</v>
      </c>
      <c r="U993" s="583"/>
      <c r="V993" s="713"/>
      <c r="W993" s="713"/>
      <c r="X993" s="713"/>
      <c r="Y993" s="713"/>
      <c r="Z993" s="713"/>
      <c r="AA993" s="713"/>
      <c r="AB993" s="713"/>
      <c r="AC993" s="713"/>
      <c r="AD993" s="713"/>
      <c r="AE993" s="713"/>
      <c r="AF993" s="713"/>
      <c r="AG993" s="713"/>
      <c r="AH993" s="713"/>
      <c r="AI993" s="713"/>
      <c r="AJ993" s="713"/>
      <c r="AK993" s="713"/>
      <c r="AL993" s="713"/>
      <c r="AM993" s="713"/>
      <c r="AN993" s="713"/>
      <c r="AO993" s="713"/>
      <c r="AP993" s="713"/>
      <c r="AQ993" s="713"/>
      <c r="AR993" s="713"/>
      <c r="AS993" s="713"/>
      <c r="AT993" s="713"/>
      <c r="AU993" s="713"/>
      <c r="AV993" s="713"/>
      <c r="AW993" s="713"/>
      <c r="AX993" s="713"/>
      <c r="AY993" s="713"/>
      <c r="AZ993" s="713"/>
      <c r="BA993" s="713"/>
      <c r="BB993" s="713"/>
      <c r="BC993" s="713"/>
      <c r="BD993" s="713"/>
      <c r="BE993" s="713"/>
      <c r="BF993" s="713"/>
      <c r="BG993" s="713"/>
      <c r="BH993" s="713"/>
      <c r="BI993" s="713"/>
      <c r="BJ993" s="713"/>
      <c r="BK993" s="713"/>
      <c r="BL993" s="713"/>
      <c r="BM993" s="713"/>
      <c r="BN993" s="713"/>
      <c r="BO993" s="713"/>
      <c r="BP993" s="713"/>
      <c r="BQ993" s="713"/>
      <c r="BR993" s="713"/>
      <c r="BS993" s="713"/>
      <c r="BT993" s="713"/>
      <c r="BU993" s="713"/>
      <c r="BV993" s="713"/>
      <c r="BW993" s="713"/>
      <c r="BX993" s="713"/>
      <c r="BY993" s="713"/>
      <c r="BZ993" s="713"/>
      <c r="CA993" s="713"/>
      <c r="CB993" s="713"/>
      <c r="CC993" s="713"/>
      <c r="CD993" s="713"/>
      <c r="CE993" s="713"/>
      <c r="CF993" s="713"/>
      <c r="CG993" s="713"/>
      <c r="CH993" s="713"/>
      <c r="CI993" s="713"/>
      <c r="CJ993" s="713"/>
      <c r="CK993" s="713"/>
      <c r="CL993" s="713"/>
      <c r="CM993" s="713"/>
      <c r="CN993" s="713"/>
      <c r="CO993" s="713"/>
      <c r="CP993" s="713"/>
      <c r="CQ993" s="713"/>
      <c r="CR993" s="713"/>
      <c r="CS993" s="713"/>
      <c r="CT993" s="713"/>
      <c r="CU993" s="713"/>
      <c r="CV993" s="713"/>
      <c r="CW993" s="713"/>
      <c r="CX993" s="713"/>
      <c r="CY993" s="713"/>
      <c r="CZ993" s="713"/>
      <c r="DA993" s="713"/>
      <c r="DB993" s="713"/>
      <c r="DC993" s="713"/>
      <c r="DD993" s="713"/>
      <c r="DE993" s="713"/>
      <c r="DF993" s="713"/>
      <c r="DG993" s="713"/>
      <c r="DH993" s="713"/>
      <c r="DI993" s="713"/>
      <c r="DJ993" s="713"/>
      <c r="DK993" s="713"/>
      <c r="DL993" s="713"/>
      <c r="DM993" s="713"/>
      <c r="DN993" s="713"/>
      <c r="DO993" s="713"/>
      <c r="DP993" s="713"/>
      <c r="DQ993" s="713"/>
      <c r="DR993" s="713"/>
      <c r="DS993" s="713"/>
      <c r="DT993" s="713"/>
      <c r="DU993" s="713"/>
      <c r="DV993" s="713"/>
      <c r="DW993" s="713"/>
      <c r="DX993" s="713"/>
      <c r="DY993" s="713"/>
      <c r="DZ993" s="713"/>
      <c r="EA993" s="713"/>
      <c r="EB993" s="713"/>
      <c r="EC993" s="713"/>
      <c r="ED993" s="713"/>
      <c r="EE993" s="713"/>
      <c r="EF993" s="713"/>
      <c r="EG993" s="713"/>
      <c r="EH993" s="713"/>
      <c r="EI993" s="713"/>
      <c r="EJ993" s="713"/>
      <c r="EK993" s="713"/>
      <c r="EL993" s="713"/>
      <c r="EM993" s="713"/>
      <c r="EN993" s="713"/>
      <c r="EO993" s="713"/>
      <c r="EP993" s="713"/>
      <c r="EQ993" s="713"/>
      <c r="ER993" s="713"/>
      <c r="ES993" s="713"/>
      <c r="ET993" s="713"/>
      <c r="EU993" s="713"/>
      <c r="EV993" s="713"/>
      <c r="EW993" s="713"/>
      <c r="EX993" s="713"/>
      <c r="EY993" s="713"/>
      <c r="EZ993" s="713"/>
      <c r="FA993" s="713"/>
      <c r="FB993" s="713"/>
      <c r="FC993" s="713"/>
      <c r="FD993" s="713"/>
      <c r="FE993" s="713"/>
      <c r="FF993" s="713"/>
      <c r="FG993" s="713"/>
      <c r="FH993" s="713"/>
      <c r="FI993" s="713"/>
      <c r="FJ993" s="713"/>
      <c r="FK993" s="713"/>
      <c r="FL993" s="713"/>
      <c r="FM993" s="713"/>
      <c r="FN993" s="713"/>
      <c r="FO993" s="713"/>
      <c r="FP993" s="713"/>
      <c r="FQ993" s="713"/>
      <c r="FR993" s="713"/>
      <c r="FS993" s="713"/>
      <c r="FT993" s="713"/>
      <c r="FU993" s="713"/>
      <c r="FV993" s="713"/>
      <c r="FW993" s="713"/>
      <c r="FX993" s="713"/>
      <c r="FY993" s="713"/>
      <c r="FZ993" s="713"/>
      <c r="GA993" s="713"/>
      <c r="GB993" s="713"/>
      <c r="GC993" s="713"/>
      <c r="GD993" s="713"/>
      <c r="GE993" s="713"/>
      <c r="GF993" s="713"/>
      <c r="GG993" s="713"/>
      <c r="GH993" s="713"/>
      <c r="GI993" s="713"/>
      <c r="GJ993" s="713"/>
      <c r="GK993" s="713"/>
      <c r="GL993" s="713"/>
      <c r="GM993" s="713"/>
      <c r="GN993" s="713"/>
      <c r="GO993" s="713"/>
      <c r="GP993" s="713"/>
      <c r="GQ993" s="713"/>
      <c r="GR993" s="713"/>
      <c r="GS993" s="713"/>
      <c r="GT993" s="713"/>
      <c r="GU993" s="713"/>
      <c r="GV993" s="713"/>
      <c r="GW993" s="713"/>
      <c r="GX993" s="713"/>
      <c r="GY993" s="713"/>
      <c r="GZ993" s="713"/>
      <c r="HA993" s="713"/>
      <c r="HB993" s="713"/>
      <c r="HC993" s="713"/>
      <c r="HD993" s="713"/>
      <c r="HE993" s="713"/>
      <c r="HF993" s="713"/>
      <c r="HG993" s="713"/>
      <c r="HH993" s="713"/>
      <c r="HI993" s="713"/>
      <c r="HJ993" s="713"/>
      <c r="HK993" s="713"/>
      <c r="HL993" s="713"/>
      <c r="HM993" s="713"/>
      <c r="HN993" s="713"/>
      <c r="HO993" s="713"/>
      <c r="HP993" s="713"/>
      <c r="HQ993" s="713"/>
      <c r="HR993" s="713"/>
      <c r="HS993" s="713"/>
      <c r="HT993" s="713"/>
      <c r="HU993" s="713"/>
      <c r="HV993" s="713"/>
      <c r="HW993" s="713"/>
      <c r="HX993" s="713"/>
      <c r="HY993" s="713"/>
      <c r="HZ993" s="713"/>
      <c r="IA993" s="713"/>
      <c r="IB993" s="713"/>
      <c r="IC993" s="713"/>
      <c r="ID993" s="713"/>
      <c r="IE993" s="713"/>
      <c r="IF993" s="713"/>
      <c r="IG993" s="713"/>
      <c r="IH993" s="713"/>
      <c r="II993" s="713"/>
      <c r="IJ993" s="713"/>
      <c r="IK993" s="713"/>
      <c r="IL993" s="713"/>
      <c r="IM993" s="713"/>
      <c r="IN993" s="713"/>
      <c r="IO993" s="713"/>
      <c r="IP993" s="713"/>
      <c r="IQ993" s="713"/>
      <c r="IR993" s="713"/>
      <c r="IS993" s="713"/>
      <c r="IT993" s="713"/>
      <c r="IU993" s="713"/>
      <c r="IV993" s="713"/>
    </row>
    <row r="994" spans="1:256" s="602" customFormat="1" ht="12">
      <c r="A994" s="663"/>
      <c r="B994" s="663"/>
      <c r="C994" s="663"/>
      <c r="D994" s="663"/>
      <c r="E994" s="663"/>
      <c r="F994" s="664"/>
      <c r="G994" s="663"/>
      <c r="H994" s="663"/>
      <c r="I994" s="601"/>
      <c r="J994" s="663"/>
      <c r="K994" s="663"/>
      <c r="L994" s="663"/>
      <c r="M994" s="663"/>
      <c r="N994" s="663"/>
      <c r="O994" s="663"/>
      <c r="P994" s="663"/>
      <c r="Q994" s="601"/>
      <c r="R994" s="666">
        <f>$A994*Q994</f>
        <v>0</v>
      </c>
      <c r="S994" s="601"/>
      <c r="T994" s="681">
        <f>$A994*S994*$T$1</f>
        <v>0</v>
      </c>
    </row>
    <row r="995" spans="1:256" s="602" customFormat="1" ht="12.6" thickBot="1">
      <c r="A995" s="682" t="s">
        <v>145</v>
      </c>
      <c r="B995" s="683">
        <f>(R994+T994)</f>
        <v>0</v>
      </c>
      <c r="C995" s="684"/>
      <c r="D995" s="684"/>
      <c r="E995" s="684"/>
      <c r="F995" s="685"/>
      <c r="G995" s="684" t="s">
        <v>146</v>
      </c>
      <c r="H995" s="684"/>
      <c r="I995" s="686"/>
      <c r="J995" s="684"/>
      <c r="K995" s="684" t="s">
        <v>3</v>
      </c>
      <c r="L995" s="687" t="s">
        <v>143</v>
      </c>
      <c r="M995" s="687"/>
      <c r="N995" s="687"/>
      <c r="O995" s="687"/>
      <c r="P995" s="687"/>
      <c r="Q995" s="688"/>
      <c r="R995" s="689">
        <f ca="1">SUM(R989:R994)</f>
        <v>130.20000000000002</v>
      </c>
      <c r="S995" s="684"/>
      <c r="T995" s="689">
        <f ca="1">SUM(T989:T994)</f>
        <v>8.75</v>
      </c>
      <c r="U995" s="611"/>
      <c r="V995" s="611"/>
      <c r="W995" s="611"/>
      <c r="X995" s="611"/>
      <c r="Y995" s="611"/>
      <c r="Z995" s="611"/>
      <c r="AA995" s="611"/>
      <c r="AB995" s="611"/>
      <c r="AC995" s="611"/>
      <c r="AD995" s="611"/>
      <c r="AE995" s="611"/>
      <c r="AF995" s="611"/>
      <c r="AG995" s="611"/>
      <c r="AH995" s="611"/>
      <c r="AI995" s="611"/>
      <c r="AJ995" s="611"/>
      <c r="AK995" s="611"/>
      <c r="AL995" s="611"/>
      <c r="AM995" s="611"/>
      <c r="AN995" s="611"/>
      <c r="AO995" s="611"/>
    </row>
    <row r="996" spans="1:256" s="602" customFormat="1" ht="12" customHeight="1" thickTop="1">
      <c r="A996" s="63"/>
      <c r="B996" s="41"/>
      <c r="C996" s="63"/>
      <c r="E996" s="42" t="s">
        <v>138</v>
      </c>
      <c r="F996" s="42" t="s">
        <v>139</v>
      </c>
      <c r="G996" s="63"/>
      <c r="H996" s="63"/>
      <c r="I996" s="63"/>
      <c r="J996" s="63"/>
      <c r="K996" s="63" t="s">
        <v>140</v>
      </c>
      <c r="L996" s="63"/>
      <c r="M996" s="63"/>
      <c r="N996" s="63"/>
      <c r="O996" s="64"/>
      <c r="P996" s="63"/>
      <c r="Q996" s="63"/>
      <c r="R996" s="63"/>
      <c r="S996" s="63"/>
      <c r="T996" s="41"/>
      <c r="AG996" s="667" t="s">
        <v>278</v>
      </c>
      <c r="AH996" s="667" t="s">
        <v>279</v>
      </c>
      <c r="AI996" s="667" t="s">
        <v>280</v>
      </c>
      <c r="AJ996" s="667" t="s">
        <v>281</v>
      </c>
      <c r="AK996" s="667" t="s">
        <v>282</v>
      </c>
      <c r="AM996" s="668" t="s">
        <v>291</v>
      </c>
      <c r="AN996" s="669" t="s">
        <v>292</v>
      </c>
      <c r="AO996" s="603" t="s">
        <v>288</v>
      </c>
    </row>
    <row r="997" spans="1:256" s="602" customFormat="1" ht="13.2">
      <c r="A997" s="670">
        <v>45</v>
      </c>
      <c r="B997" s="671" t="s">
        <v>326</v>
      </c>
      <c r="C997" s="672"/>
      <c r="D997" s="673" t="s">
        <v>541</v>
      </c>
      <c r="E997" s="674">
        <f ca="1">IF(AND($A997=0,$A$1="DIF"),0, ROUND(ROUND(($R1004*$S$2+($T1004*$T$2))/A997,2)*$C$2,2))</f>
        <v>37.409999999999997</v>
      </c>
      <c r="F997" s="675">
        <f ca="1">ROUND($A997*$E997,2)</f>
        <v>1683.45</v>
      </c>
      <c r="G997" s="676" t="s">
        <v>142</v>
      </c>
      <c r="H997" s="664"/>
      <c r="I997" s="677"/>
      <c r="J997" s="664"/>
      <c r="K997" s="664" t="s">
        <v>3</v>
      </c>
      <c r="L997" s="678" t="s">
        <v>143</v>
      </c>
      <c r="M997" s="678"/>
      <c r="N997" s="678"/>
      <c r="O997" s="678"/>
      <c r="P997" s="678"/>
      <c r="Q997" s="63"/>
      <c r="T997" s="679" t="str">
        <f ca="1">IF(AND($R1004=0,$T1004=0),"0.00","mu :" &amp; ROUND($F997/$C$2/($R1004+$T1004*$D$9),2))</f>
        <v>mu :1.35</v>
      </c>
      <c r="W997" s="604"/>
      <c r="AG997" s="549">
        <f ca="1">IF($E997=0,0,ROUND($R1004*$S$2*$C$2/$A997,2))</f>
        <v>15.75</v>
      </c>
      <c r="AH997" s="549">
        <f ca="1">$AG997*$A997</f>
        <v>708.75</v>
      </c>
      <c r="AI997" s="605">
        <f ca="1">$E997-$AG997</f>
        <v>21.659999999999997</v>
      </c>
      <c r="AJ997" s="605">
        <f ca="1">$A997*$AI997</f>
        <v>974.69999999999982</v>
      </c>
      <c r="AK997" s="606">
        <f ca="1">ROUND(($AG997+$AI997)*$A997,2)</f>
        <v>1683.45</v>
      </c>
      <c r="AM997" s="607">
        <f ca="1">ROUND(R1004,2)</f>
        <v>539.1</v>
      </c>
      <c r="AN997" s="608">
        <f ca="1">ROUND(T1004,2)</f>
        <v>27</v>
      </c>
      <c r="AO997" s="609">
        <f ca="1">ROUND(AM997+AN997,2)*A997</f>
        <v>25474.5</v>
      </c>
    </row>
    <row r="998" spans="1:256" s="713" customFormat="1" ht="13.2">
      <c r="A998" s="672"/>
      <c r="B998"/>
      <c r="C998" s="672"/>
      <c r="D998" s="673" t="s">
        <v>481</v>
      </c>
      <c r="E998" s="602"/>
      <c r="F998" s="664"/>
      <c r="G998" s="3"/>
      <c r="H998" s="664"/>
      <c r="I998" s="677"/>
      <c r="J998" s="664"/>
      <c r="K998" s="664" t="s">
        <v>144</v>
      </c>
      <c r="L998" s="664"/>
      <c r="M998" s="664"/>
      <c r="N998" s="664"/>
      <c r="O998" s="664"/>
      <c r="P998" s="664"/>
      <c r="Q998" s="63"/>
      <c r="R998" s="610"/>
      <c r="S998" s="680"/>
      <c r="T998" s="664"/>
      <c r="U998" s="602"/>
      <c r="V998" s="602"/>
      <c r="W998" s="602"/>
      <c r="X998" s="602"/>
      <c r="Y998" s="602"/>
      <c r="Z998" s="602"/>
      <c r="AA998" s="602"/>
      <c r="AB998" s="602"/>
      <c r="AC998" s="602"/>
      <c r="AD998" s="602"/>
      <c r="AE998" s="602"/>
      <c r="AF998" s="602"/>
      <c r="AG998" s="602"/>
      <c r="AH998" s="602"/>
      <c r="AI998" s="602"/>
      <c r="AJ998" s="602"/>
      <c r="AK998" s="602"/>
      <c r="AL998" s="602"/>
      <c r="AM998" s="602"/>
      <c r="AN998" s="602"/>
      <c r="AO998" s="602"/>
      <c r="AP998" s="602"/>
      <c r="AQ998" s="602"/>
      <c r="AR998" s="602"/>
      <c r="AS998" s="602"/>
      <c r="AT998" s="602"/>
      <c r="AU998" s="602"/>
      <c r="AV998" s="602"/>
      <c r="AW998" s="602"/>
      <c r="AX998" s="602"/>
      <c r="AY998" s="602"/>
      <c r="AZ998" s="602"/>
      <c r="BA998" s="602"/>
      <c r="BB998" s="602"/>
      <c r="BC998" s="602"/>
      <c r="BD998" s="602"/>
      <c r="BE998" s="602"/>
      <c r="BF998" s="602"/>
      <c r="BG998" s="602"/>
      <c r="BH998" s="602"/>
      <c r="BI998" s="602"/>
      <c r="BJ998" s="602"/>
      <c r="BK998" s="602"/>
      <c r="BL998" s="602"/>
      <c r="BM998" s="602"/>
      <c r="BN998" s="602"/>
      <c r="BO998" s="602"/>
      <c r="BP998" s="602"/>
      <c r="BQ998" s="602"/>
      <c r="BR998" s="602"/>
      <c r="BS998" s="602"/>
      <c r="BT998" s="602"/>
      <c r="BU998" s="602"/>
      <c r="BV998" s="602"/>
      <c r="BW998" s="602"/>
      <c r="BX998" s="602"/>
      <c r="BY998" s="602"/>
      <c r="BZ998" s="602"/>
      <c r="CA998" s="602"/>
      <c r="CB998" s="602"/>
      <c r="CC998" s="602"/>
      <c r="CD998" s="602"/>
      <c r="CE998" s="602"/>
      <c r="CF998" s="602"/>
      <c r="CG998" s="602"/>
      <c r="CH998" s="602"/>
      <c r="CI998" s="602"/>
      <c r="CJ998" s="602"/>
      <c r="CK998" s="602"/>
      <c r="CL998" s="602"/>
      <c r="CM998" s="602"/>
      <c r="CN998" s="602"/>
      <c r="CO998" s="602"/>
      <c r="CP998" s="602"/>
      <c r="CQ998" s="602"/>
      <c r="CR998" s="602"/>
      <c r="CS998" s="602"/>
      <c r="CT998" s="602"/>
      <c r="CU998" s="602"/>
      <c r="CV998" s="602"/>
      <c r="CW998" s="602"/>
      <c r="CX998" s="602"/>
      <c r="CY998" s="602"/>
      <c r="CZ998" s="602"/>
      <c r="DA998" s="602"/>
      <c r="DB998" s="602"/>
      <c r="DC998" s="602"/>
      <c r="DD998" s="602"/>
      <c r="DE998" s="602"/>
      <c r="DF998" s="602"/>
      <c r="DG998" s="602"/>
      <c r="DH998" s="602"/>
      <c r="DI998" s="602"/>
      <c r="DJ998" s="602"/>
      <c r="DK998" s="602"/>
      <c r="DL998" s="602"/>
      <c r="DM998" s="602"/>
      <c r="DN998" s="602"/>
      <c r="DO998" s="602"/>
      <c r="DP998" s="602"/>
      <c r="DQ998" s="602"/>
      <c r="DR998" s="602"/>
      <c r="DS998" s="602"/>
      <c r="DT998" s="602"/>
      <c r="DU998" s="602"/>
      <c r="DV998" s="602"/>
      <c r="DW998" s="602"/>
      <c r="DX998" s="602"/>
      <c r="DY998" s="602"/>
      <c r="DZ998" s="602"/>
      <c r="EA998" s="602"/>
      <c r="EB998" s="602"/>
      <c r="EC998" s="602"/>
      <c r="ED998" s="602"/>
      <c r="EE998" s="602"/>
      <c r="EF998" s="602"/>
      <c r="EG998" s="602"/>
      <c r="EH998" s="602"/>
      <c r="EI998" s="602"/>
      <c r="EJ998" s="602"/>
      <c r="EK998" s="602"/>
      <c r="EL998" s="602"/>
      <c r="EM998" s="602"/>
      <c r="EN998" s="602"/>
      <c r="EO998" s="602"/>
      <c r="EP998" s="602"/>
      <c r="EQ998" s="602"/>
      <c r="ER998" s="602"/>
      <c r="ES998" s="602"/>
      <c r="ET998" s="602"/>
      <c r="EU998" s="602"/>
      <c r="EV998" s="602"/>
      <c r="EW998" s="602"/>
      <c r="EX998" s="602"/>
      <c r="EY998" s="602"/>
      <c r="EZ998" s="602"/>
      <c r="FA998" s="602"/>
      <c r="FB998" s="602"/>
      <c r="FC998" s="602"/>
      <c r="FD998" s="602"/>
      <c r="FE998" s="602"/>
      <c r="FF998" s="602"/>
      <c r="FG998" s="602"/>
      <c r="FH998" s="602"/>
      <c r="FI998" s="602"/>
      <c r="FJ998" s="602"/>
      <c r="FK998" s="602"/>
      <c r="FL998" s="602"/>
      <c r="FM998" s="602"/>
      <c r="FN998" s="602"/>
      <c r="FO998" s="602"/>
      <c r="FP998" s="602"/>
      <c r="FQ998" s="602"/>
      <c r="FR998" s="602"/>
      <c r="FS998" s="602"/>
      <c r="FT998" s="602"/>
      <c r="FU998" s="602"/>
      <c r="FV998" s="602"/>
      <c r="FW998" s="602"/>
      <c r="FX998" s="602"/>
      <c r="FY998" s="602"/>
      <c r="FZ998" s="602"/>
      <c r="GA998" s="602"/>
      <c r="GB998" s="602"/>
      <c r="GC998" s="602"/>
      <c r="GD998" s="602"/>
      <c r="GE998" s="602"/>
      <c r="GF998" s="602"/>
      <c r="GG998" s="602"/>
      <c r="GH998" s="602"/>
      <c r="GI998" s="602"/>
      <c r="GJ998" s="602"/>
      <c r="GK998" s="602"/>
      <c r="GL998" s="602"/>
      <c r="GM998" s="602"/>
      <c r="GN998" s="602"/>
      <c r="GO998" s="602"/>
      <c r="GP998" s="602"/>
      <c r="GQ998" s="602"/>
      <c r="GR998" s="602"/>
      <c r="GS998" s="602"/>
      <c r="GT998" s="602"/>
      <c r="GU998" s="602"/>
      <c r="GV998" s="602"/>
      <c r="GW998" s="602"/>
      <c r="GX998" s="602"/>
      <c r="GY998" s="602"/>
      <c r="GZ998" s="602"/>
      <c r="HA998" s="602"/>
      <c r="HB998" s="602"/>
      <c r="HC998" s="602"/>
      <c r="HD998" s="602"/>
      <c r="HE998" s="602"/>
      <c r="HF998" s="602"/>
      <c r="HG998" s="602"/>
      <c r="HH998" s="602"/>
      <c r="HI998" s="602"/>
      <c r="HJ998" s="602"/>
      <c r="HK998" s="602"/>
      <c r="HL998" s="602"/>
      <c r="HM998" s="602"/>
      <c r="HN998" s="602"/>
      <c r="HO998" s="602"/>
      <c r="HP998" s="602"/>
      <c r="HQ998" s="602"/>
      <c r="HR998" s="602"/>
      <c r="HS998" s="602"/>
      <c r="HT998" s="602"/>
      <c r="HU998" s="602"/>
      <c r="HV998" s="602"/>
      <c r="HW998" s="602"/>
      <c r="HX998" s="602"/>
      <c r="HY998" s="602"/>
      <c r="HZ998" s="602"/>
      <c r="IA998" s="602"/>
      <c r="IB998" s="602"/>
      <c r="IC998" s="602"/>
      <c r="ID998" s="602"/>
      <c r="IE998" s="602"/>
      <c r="IF998" s="602"/>
      <c r="IG998" s="602"/>
      <c r="IH998" s="602"/>
      <c r="II998" s="602"/>
      <c r="IJ998" s="602"/>
      <c r="IK998" s="602"/>
      <c r="IL998" s="602"/>
      <c r="IM998" s="602"/>
      <c r="IN998" s="602"/>
      <c r="IO998" s="602"/>
      <c r="IP998" s="602"/>
      <c r="IQ998" s="602"/>
      <c r="IR998" s="602"/>
      <c r="IS998" s="602"/>
      <c r="IT998" s="602"/>
      <c r="IU998" s="602"/>
      <c r="IV998" s="602"/>
    </row>
    <row r="999" spans="1:256" s="713" customFormat="1" ht="13.2">
      <c r="A999"/>
      <c r="B999" s="807"/>
      <c r="C999" s="807" t="s">
        <v>692</v>
      </c>
      <c r="D999" s="807" t="str">
        <f ca="1">CELL("Address",Elec_Rates!D$288)</f>
        <v>[E25_0477_IH_Retro_Elec_Est_Rev_A_AW.xlsx]Elec_Rates!$D$288</v>
      </c>
      <c r="E999" s="808"/>
      <c r="F999" s="808"/>
      <c r="G999" s="809" t="s">
        <v>693</v>
      </c>
      <c r="H999" s="809"/>
      <c r="I999" s="809"/>
      <c r="J999" s="809"/>
      <c r="K999" s="810"/>
      <c r="L999" s="808"/>
      <c r="M999" s="808"/>
      <c r="N999" s="808"/>
      <c r="O999" s="811"/>
      <c r="P999" s="808"/>
      <c r="Q999" s="812"/>
      <c r="R999" s="813"/>
      <c r="S999" s="812"/>
      <c r="T999" s="814"/>
      <c r="U999" s="815"/>
    </row>
    <row r="1000" spans="1:256" s="713" customFormat="1" ht="11.4">
      <c r="A1000" s="816">
        <v>45</v>
      </c>
      <c r="B1000" s="817">
        <v>1</v>
      </c>
      <c r="C1000" s="817">
        <f>$A1000*$B1000</f>
        <v>45</v>
      </c>
      <c r="D1000" s="818" t="str">
        <f>Elec_Rates!$D$288</f>
        <v>016# 250mm galvanised steel cable tray</v>
      </c>
      <c r="E1000" s="818"/>
      <c r="F1000" s="818" t="s">
        <v>694</v>
      </c>
      <c r="G1000" s="819" t="s">
        <v>696</v>
      </c>
      <c r="H1000" s="819"/>
      <c r="I1000" s="819"/>
      <c r="J1000" s="819"/>
      <c r="K1000" s="820"/>
      <c r="L1000" s="815"/>
      <c r="M1000" s="815"/>
      <c r="N1000" s="815"/>
      <c r="O1000" s="821"/>
      <c r="P1000" s="818"/>
      <c r="Q1000" s="822">
        <f ca="1">$B1000*Elec_Rates!$R$288</f>
        <v>8.26</v>
      </c>
      <c r="R1000" s="813">
        <f ca="1">$A1000*Q1000</f>
        <v>371.7</v>
      </c>
      <c r="S1000" s="822">
        <f ca="1">$B1000*Elec_Rates!$T$288</f>
        <v>0.35</v>
      </c>
      <c r="T1000" s="814">
        <f ca="1">$A1000*S1000</f>
        <v>15.749999999999998</v>
      </c>
      <c r="U1000" s="583"/>
    </row>
    <row r="1001" spans="1:256" s="713" customFormat="1" ht="13.2">
      <c r="A1001"/>
      <c r="B1001" s="807"/>
      <c r="C1001" s="807" t="s">
        <v>692</v>
      </c>
      <c r="D1001" s="807" t="str">
        <f ca="1">CELL("Address",Elec_Rates!D$321)</f>
        <v>[E25_0477_IH_Retro_Elec_Est_Rev_A_AW.xlsx]Elec_Rates!$D$321</v>
      </c>
      <c r="E1001" s="808"/>
      <c r="F1001" s="808"/>
      <c r="G1001" s="809" t="s">
        <v>693</v>
      </c>
      <c r="H1001" s="809"/>
      <c r="I1001" s="809"/>
      <c r="J1001" s="809"/>
      <c r="K1001" s="810"/>
      <c r="L1001" s="808"/>
      <c r="M1001" s="808"/>
      <c r="N1001" s="808"/>
      <c r="O1001" s="811"/>
      <c r="P1001" s="808"/>
      <c r="Q1001" s="812"/>
      <c r="R1001" s="813"/>
      <c r="S1001" s="812"/>
      <c r="T1001" s="814"/>
      <c r="U1001" s="815"/>
    </row>
    <row r="1002" spans="1:256" s="602" customFormat="1" ht="11.4">
      <c r="A1002" s="816">
        <v>45</v>
      </c>
      <c r="B1002" s="817">
        <v>1</v>
      </c>
      <c r="C1002" s="817">
        <f>$A1002*$B1002</f>
        <v>45</v>
      </c>
      <c r="D1002" s="818" t="str">
        <f>Elec_Rates!$D$321</f>
        <v>026# Bracket for 200-300mm cable tray</v>
      </c>
      <c r="E1002" s="818"/>
      <c r="F1002" s="818" t="s">
        <v>694</v>
      </c>
      <c r="G1002" s="819" t="s">
        <v>695</v>
      </c>
      <c r="H1002" s="819"/>
      <c r="I1002" s="819"/>
      <c r="J1002" s="819"/>
      <c r="K1002" s="820"/>
      <c r="L1002" s="815"/>
      <c r="M1002" s="815"/>
      <c r="N1002" s="815"/>
      <c r="O1002" s="821"/>
      <c r="P1002" s="818"/>
      <c r="Q1002" s="822">
        <f ca="1">$B1002*Elec_Rates!$R$321</f>
        <v>3.72</v>
      </c>
      <c r="R1002" s="813">
        <f ca="1">$A1002*Q1002</f>
        <v>167.4</v>
      </c>
      <c r="S1002" s="822">
        <f ca="1">$B1002*Elec_Rates!$T$321</f>
        <v>0.25</v>
      </c>
      <c r="T1002" s="814">
        <f ca="1">$A1002*S1002</f>
        <v>11.25</v>
      </c>
      <c r="U1002" s="583"/>
      <c r="V1002" s="713"/>
      <c r="W1002" s="713"/>
      <c r="X1002" s="713"/>
      <c r="Y1002" s="713"/>
      <c r="Z1002" s="713"/>
      <c r="AA1002" s="713"/>
      <c r="AB1002" s="713"/>
      <c r="AC1002" s="713"/>
      <c r="AD1002" s="713"/>
      <c r="AE1002" s="713"/>
      <c r="AF1002" s="713"/>
      <c r="AG1002" s="713"/>
      <c r="AH1002" s="713"/>
      <c r="AI1002" s="713"/>
      <c r="AJ1002" s="713"/>
      <c r="AK1002" s="713"/>
      <c r="AL1002" s="713"/>
      <c r="AM1002" s="713"/>
      <c r="AN1002" s="713"/>
      <c r="AO1002" s="713"/>
      <c r="AP1002" s="713"/>
      <c r="AQ1002" s="713"/>
      <c r="AR1002" s="713"/>
      <c r="AS1002" s="713"/>
      <c r="AT1002" s="713"/>
      <c r="AU1002" s="713"/>
      <c r="AV1002" s="713"/>
      <c r="AW1002" s="713"/>
      <c r="AX1002" s="713"/>
      <c r="AY1002" s="713"/>
      <c r="AZ1002" s="713"/>
      <c r="BA1002" s="713"/>
      <c r="BB1002" s="713"/>
      <c r="BC1002" s="713"/>
      <c r="BD1002" s="713"/>
      <c r="BE1002" s="713"/>
      <c r="BF1002" s="713"/>
      <c r="BG1002" s="713"/>
      <c r="BH1002" s="713"/>
      <c r="BI1002" s="713"/>
      <c r="BJ1002" s="713"/>
      <c r="BK1002" s="713"/>
      <c r="BL1002" s="713"/>
      <c r="BM1002" s="713"/>
      <c r="BN1002" s="713"/>
      <c r="BO1002" s="713"/>
      <c r="BP1002" s="713"/>
      <c r="BQ1002" s="713"/>
      <c r="BR1002" s="713"/>
      <c r="BS1002" s="713"/>
      <c r="BT1002" s="713"/>
      <c r="BU1002" s="713"/>
      <c r="BV1002" s="713"/>
      <c r="BW1002" s="713"/>
      <c r="BX1002" s="713"/>
      <c r="BY1002" s="713"/>
      <c r="BZ1002" s="713"/>
      <c r="CA1002" s="713"/>
      <c r="CB1002" s="713"/>
      <c r="CC1002" s="713"/>
      <c r="CD1002" s="713"/>
      <c r="CE1002" s="713"/>
      <c r="CF1002" s="713"/>
      <c r="CG1002" s="713"/>
      <c r="CH1002" s="713"/>
      <c r="CI1002" s="713"/>
      <c r="CJ1002" s="713"/>
      <c r="CK1002" s="713"/>
      <c r="CL1002" s="713"/>
      <c r="CM1002" s="713"/>
      <c r="CN1002" s="713"/>
      <c r="CO1002" s="713"/>
      <c r="CP1002" s="713"/>
      <c r="CQ1002" s="713"/>
      <c r="CR1002" s="713"/>
      <c r="CS1002" s="713"/>
      <c r="CT1002" s="713"/>
      <c r="CU1002" s="713"/>
      <c r="CV1002" s="713"/>
      <c r="CW1002" s="713"/>
      <c r="CX1002" s="713"/>
      <c r="CY1002" s="713"/>
      <c r="CZ1002" s="713"/>
      <c r="DA1002" s="713"/>
      <c r="DB1002" s="713"/>
      <c r="DC1002" s="713"/>
      <c r="DD1002" s="713"/>
      <c r="DE1002" s="713"/>
      <c r="DF1002" s="713"/>
      <c r="DG1002" s="713"/>
      <c r="DH1002" s="713"/>
      <c r="DI1002" s="713"/>
      <c r="DJ1002" s="713"/>
      <c r="DK1002" s="713"/>
      <c r="DL1002" s="713"/>
      <c r="DM1002" s="713"/>
      <c r="DN1002" s="713"/>
      <c r="DO1002" s="713"/>
      <c r="DP1002" s="713"/>
      <c r="DQ1002" s="713"/>
      <c r="DR1002" s="713"/>
      <c r="DS1002" s="713"/>
      <c r="DT1002" s="713"/>
      <c r="DU1002" s="713"/>
      <c r="DV1002" s="713"/>
      <c r="DW1002" s="713"/>
      <c r="DX1002" s="713"/>
      <c r="DY1002" s="713"/>
      <c r="DZ1002" s="713"/>
      <c r="EA1002" s="713"/>
      <c r="EB1002" s="713"/>
      <c r="EC1002" s="713"/>
      <c r="ED1002" s="713"/>
      <c r="EE1002" s="713"/>
      <c r="EF1002" s="713"/>
      <c r="EG1002" s="713"/>
      <c r="EH1002" s="713"/>
      <c r="EI1002" s="713"/>
      <c r="EJ1002" s="713"/>
      <c r="EK1002" s="713"/>
      <c r="EL1002" s="713"/>
      <c r="EM1002" s="713"/>
      <c r="EN1002" s="713"/>
      <c r="EO1002" s="713"/>
      <c r="EP1002" s="713"/>
      <c r="EQ1002" s="713"/>
      <c r="ER1002" s="713"/>
      <c r="ES1002" s="713"/>
      <c r="ET1002" s="713"/>
      <c r="EU1002" s="713"/>
      <c r="EV1002" s="713"/>
      <c r="EW1002" s="713"/>
      <c r="EX1002" s="713"/>
      <c r="EY1002" s="713"/>
      <c r="EZ1002" s="713"/>
      <c r="FA1002" s="713"/>
      <c r="FB1002" s="713"/>
      <c r="FC1002" s="713"/>
      <c r="FD1002" s="713"/>
      <c r="FE1002" s="713"/>
      <c r="FF1002" s="713"/>
      <c r="FG1002" s="713"/>
      <c r="FH1002" s="713"/>
      <c r="FI1002" s="713"/>
      <c r="FJ1002" s="713"/>
      <c r="FK1002" s="713"/>
      <c r="FL1002" s="713"/>
      <c r="FM1002" s="713"/>
      <c r="FN1002" s="713"/>
      <c r="FO1002" s="713"/>
      <c r="FP1002" s="713"/>
      <c r="FQ1002" s="713"/>
      <c r="FR1002" s="713"/>
      <c r="FS1002" s="713"/>
      <c r="FT1002" s="713"/>
      <c r="FU1002" s="713"/>
      <c r="FV1002" s="713"/>
      <c r="FW1002" s="713"/>
      <c r="FX1002" s="713"/>
      <c r="FY1002" s="713"/>
      <c r="FZ1002" s="713"/>
      <c r="GA1002" s="713"/>
      <c r="GB1002" s="713"/>
      <c r="GC1002" s="713"/>
      <c r="GD1002" s="713"/>
      <c r="GE1002" s="713"/>
      <c r="GF1002" s="713"/>
      <c r="GG1002" s="713"/>
      <c r="GH1002" s="713"/>
      <c r="GI1002" s="713"/>
      <c r="GJ1002" s="713"/>
      <c r="GK1002" s="713"/>
      <c r="GL1002" s="713"/>
      <c r="GM1002" s="713"/>
      <c r="GN1002" s="713"/>
      <c r="GO1002" s="713"/>
      <c r="GP1002" s="713"/>
      <c r="GQ1002" s="713"/>
      <c r="GR1002" s="713"/>
      <c r="GS1002" s="713"/>
      <c r="GT1002" s="713"/>
      <c r="GU1002" s="713"/>
      <c r="GV1002" s="713"/>
      <c r="GW1002" s="713"/>
      <c r="GX1002" s="713"/>
      <c r="GY1002" s="713"/>
      <c r="GZ1002" s="713"/>
      <c r="HA1002" s="713"/>
      <c r="HB1002" s="713"/>
      <c r="HC1002" s="713"/>
      <c r="HD1002" s="713"/>
      <c r="HE1002" s="713"/>
      <c r="HF1002" s="713"/>
      <c r="HG1002" s="713"/>
      <c r="HH1002" s="713"/>
      <c r="HI1002" s="713"/>
      <c r="HJ1002" s="713"/>
      <c r="HK1002" s="713"/>
      <c r="HL1002" s="713"/>
      <c r="HM1002" s="713"/>
      <c r="HN1002" s="713"/>
      <c r="HO1002" s="713"/>
      <c r="HP1002" s="713"/>
      <c r="HQ1002" s="713"/>
      <c r="HR1002" s="713"/>
      <c r="HS1002" s="713"/>
      <c r="HT1002" s="713"/>
      <c r="HU1002" s="713"/>
      <c r="HV1002" s="713"/>
      <c r="HW1002" s="713"/>
      <c r="HX1002" s="713"/>
      <c r="HY1002" s="713"/>
      <c r="HZ1002" s="713"/>
      <c r="IA1002" s="713"/>
      <c r="IB1002" s="713"/>
      <c r="IC1002" s="713"/>
      <c r="ID1002" s="713"/>
      <c r="IE1002" s="713"/>
      <c r="IF1002" s="713"/>
      <c r="IG1002" s="713"/>
      <c r="IH1002" s="713"/>
      <c r="II1002" s="713"/>
      <c r="IJ1002" s="713"/>
      <c r="IK1002" s="713"/>
      <c r="IL1002" s="713"/>
      <c r="IM1002" s="713"/>
      <c r="IN1002" s="713"/>
      <c r="IO1002" s="713"/>
      <c r="IP1002" s="713"/>
      <c r="IQ1002" s="713"/>
      <c r="IR1002" s="713"/>
      <c r="IS1002" s="713"/>
      <c r="IT1002" s="713"/>
      <c r="IU1002" s="713"/>
      <c r="IV1002" s="713"/>
    </row>
    <row r="1003" spans="1:256" s="602" customFormat="1" ht="12">
      <c r="A1003" s="663"/>
      <c r="B1003" s="663"/>
      <c r="C1003" s="663"/>
      <c r="D1003" s="663"/>
      <c r="E1003" s="663"/>
      <c r="F1003" s="664"/>
      <c r="G1003" s="663"/>
      <c r="H1003" s="663"/>
      <c r="I1003" s="601"/>
      <c r="J1003" s="663"/>
      <c r="K1003" s="663"/>
      <c r="L1003" s="663"/>
      <c r="M1003" s="663"/>
      <c r="N1003" s="663"/>
      <c r="O1003" s="663"/>
      <c r="P1003" s="663"/>
      <c r="Q1003" s="601"/>
      <c r="R1003" s="666">
        <f>$A1003*Q1003</f>
        <v>0</v>
      </c>
      <c r="S1003" s="601"/>
      <c r="T1003" s="681">
        <f>$A1003*S1003*$T$1</f>
        <v>0</v>
      </c>
    </row>
    <row r="1004" spans="1:256" s="602" customFormat="1" ht="12.6" thickBot="1">
      <c r="A1004" s="682" t="s">
        <v>145</v>
      </c>
      <c r="B1004" s="683">
        <f>(R1003+T1003)</f>
        <v>0</v>
      </c>
      <c r="C1004" s="684"/>
      <c r="D1004" s="684"/>
      <c r="E1004" s="684"/>
      <c r="F1004" s="685"/>
      <c r="G1004" s="684" t="s">
        <v>146</v>
      </c>
      <c r="H1004" s="684"/>
      <c r="I1004" s="686"/>
      <c r="J1004" s="684"/>
      <c r="K1004" s="684" t="s">
        <v>3</v>
      </c>
      <c r="L1004" s="687" t="s">
        <v>143</v>
      </c>
      <c r="M1004" s="687"/>
      <c r="N1004" s="687"/>
      <c r="O1004" s="687"/>
      <c r="P1004" s="687"/>
      <c r="Q1004" s="688"/>
      <c r="R1004" s="689">
        <f ca="1">SUM(R998:R1003)</f>
        <v>539.1</v>
      </c>
      <c r="S1004" s="684"/>
      <c r="T1004" s="689">
        <f ca="1">SUM(T998:T1003)</f>
        <v>27</v>
      </c>
      <c r="U1004" s="611"/>
      <c r="V1004" s="611"/>
      <c r="W1004" s="611"/>
      <c r="X1004" s="611"/>
      <c r="Y1004" s="611"/>
      <c r="Z1004" s="611"/>
      <c r="AA1004" s="611"/>
      <c r="AB1004" s="611"/>
      <c r="AC1004" s="611"/>
      <c r="AD1004" s="611"/>
      <c r="AE1004" s="611"/>
      <c r="AF1004" s="611"/>
      <c r="AG1004" s="611"/>
      <c r="AH1004" s="611"/>
      <c r="AI1004" s="611"/>
      <c r="AJ1004" s="611"/>
      <c r="AK1004" s="611"/>
      <c r="AL1004" s="611"/>
      <c r="AM1004" s="611"/>
      <c r="AN1004" s="611"/>
      <c r="AO1004" s="611"/>
    </row>
    <row r="1005" spans="1:256" s="602" customFormat="1" thickTop="1">
      <c r="A1005" s="63"/>
      <c r="B1005" s="63"/>
      <c r="C1005" s="3"/>
      <c r="D1005" s="3"/>
      <c r="E1005" s="63"/>
      <c r="F1005" s="63"/>
      <c r="G1005" s="63"/>
      <c r="H1005" s="63"/>
      <c r="I1005" s="63"/>
      <c r="J1005" s="63"/>
      <c r="K1005" s="63" t="s">
        <v>134</v>
      </c>
      <c r="L1005" s="63"/>
      <c r="M1005" s="63"/>
      <c r="N1005" s="63"/>
      <c r="O1005" s="64"/>
      <c r="P1005" s="63"/>
      <c r="Q1005" s="63"/>
      <c r="R1005" s="63"/>
      <c r="S1005" s="63"/>
      <c r="T1005" s="63"/>
    </row>
    <row r="1006" spans="1:256" s="602" customFormat="1" ht="12">
      <c r="A1006" s="63"/>
      <c r="B1006" s="63"/>
      <c r="C1006" s="63" t="s">
        <v>135</v>
      </c>
      <c r="D1006" s="37"/>
      <c r="E1006" s="63"/>
      <c r="F1006" s="63"/>
      <c r="G1006" s="63"/>
      <c r="H1006" s="63"/>
      <c r="I1006" s="63"/>
      <c r="J1006" s="63"/>
      <c r="K1006" s="63"/>
      <c r="L1006" s="63"/>
      <c r="M1006" s="63"/>
      <c r="N1006" s="63"/>
      <c r="O1006" s="64"/>
      <c r="P1006" s="63"/>
      <c r="Q1006" s="63"/>
      <c r="R1006" s="63"/>
      <c r="S1006" s="63"/>
      <c r="T1006" s="63"/>
    </row>
    <row r="1007" spans="1:256" s="3" customFormat="1" ht="13.2">
      <c r="A1007" s="63"/>
      <c r="B1007" s="63"/>
      <c r="C1007" s="63"/>
      <c r="D1007" s="37" t="s">
        <v>451</v>
      </c>
      <c r="E1007" s="63"/>
      <c r="F1007" s="63"/>
      <c r="G1007" s="63"/>
      <c r="H1007" s="63"/>
      <c r="I1007" s="63"/>
      <c r="J1007" s="63"/>
      <c r="K1007" s="63"/>
      <c r="L1007" s="63"/>
      <c r="M1007" s="63"/>
      <c r="N1007" s="63"/>
      <c r="O1007" s="64"/>
      <c r="P1007" s="63"/>
      <c r="Q1007" s="63"/>
      <c r="R1007" s="63"/>
      <c r="S1007" s="38"/>
      <c r="T1007" s="38"/>
      <c r="U1007" s="602"/>
      <c r="V1007" s="602"/>
      <c r="W1007" s="602"/>
      <c r="X1007" s="602"/>
      <c r="Y1007" s="602"/>
      <c r="Z1007" s="602"/>
      <c r="AA1007" s="602"/>
      <c r="AB1007" s="602"/>
      <c r="AC1007" s="602"/>
      <c r="AD1007" s="602"/>
      <c r="AE1007" s="602"/>
      <c r="AF1007" s="602"/>
      <c r="AG1007" s="602"/>
      <c r="AH1007" s="602"/>
      <c r="AI1007" s="602"/>
      <c r="AJ1007" s="602"/>
      <c r="AK1007" s="602"/>
      <c r="AL1007" s="602"/>
      <c r="AM1007" s="602"/>
      <c r="AN1007" s="602"/>
      <c r="AO1007" s="602"/>
      <c r="AP1007" s="602"/>
      <c r="AQ1007" s="602"/>
      <c r="AR1007" s="602"/>
      <c r="AS1007" s="602"/>
      <c r="AT1007" s="602"/>
      <c r="AU1007" s="602"/>
      <c r="AV1007" s="602"/>
      <c r="AW1007" s="602"/>
      <c r="AX1007" s="602"/>
      <c r="AY1007" s="602"/>
      <c r="AZ1007" s="602"/>
      <c r="BA1007" s="602"/>
      <c r="BB1007" s="602"/>
      <c r="BC1007" s="602"/>
      <c r="BD1007" s="602"/>
      <c r="BE1007" s="602"/>
      <c r="BF1007" s="602"/>
      <c r="BG1007" s="602"/>
      <c r="BH1007" s="602"/>
      <c r="BI1007" s="602"/>
      <c r="BJ1007" s="602"/>
      <c r="BK1007" s="602"/>
      <c r="BL1007" s="602"/>
      <c r="BM1007" s="602"/>
      <c r="BN1007" s="602"/>
      <c r="BO1007" s="602"/>
      <c r="BP1007" s="602"/>
      <c r="BQ1007" s="602"/>
      <c r="BR1007" s="602"/>
      <c r="BS1007" s="602"/>
      <c r="BT1007" s="602"/>
      <c r="BU1007" s="602"/>
      <c r="BV1007" s="602"/>
      <c r="BW1007" s="602"/>
      <c r="BX1007" s="602"/>
      <c r="BY1007" s="602"/>
      <c r="BZ1007" s="602"/>
      <c r="CA1007" s="602"/>
      <c r="CB1007" s="602"/>
      <c r="CC1007" s="602"/>
      <c r="CD1007" s="602"/>
      <c r="CE1007" s="602"/>
      <c r="CF1007" s="602"/>
      <c r="CG1007" s="602"/>
      <c r="CH1007" s="602"/>
      <c r="CI1007" s="602"/>
      <c r="CJ1007" s="602"/>
      <c r="CK1007" s="602"/>
      <c r="CL1007" s="602"/>
      <c r="CM1007" s="602"/>
      <c r="CN1007" s="602"/>
      <c r="CO1007" s="602"/>
      <c r="CP1007" s="602"/>
      <c r="CQ1007" s="602"/>
      <c r="CR1007" s="602"/>
      <c r="CS1007" s="602"/>
      <c r="CT1007" s="602"/>
      <c r="CU1007" s="602"/>
      <c r="CV1007" s="602"/>
      <c r="CW1007" s="602"/>
      <c r="CX1007" s="602"/>
      <c r="CY1007" s="602"/>
      <c r="CZ1007" s="602"/>
      <c r="DA1007" s="602"/>
      <c r="DB1007" s="602"/>
      <c r="DC1007" s="602"/>
      <c r="DD1007" s="602"/>
      <c r="DE1007" s="602"/>
      <c r="DF1007" s="602"/>
      <c r="DG1007" s="602"/>
      <c r="DH1007" s="602"/>
      <c r="DI1007" s="602"/>
      <c r="DJ1007" s="602"/>
      <c r="DK1007" s="602"/>
      <c r="DL1007" s="602"/>
      <c r="DM1007" s="602"/>
      <c r="DN1007" s="602"/>
      <c r="DO1007" s="602"/>
      <c r="DP1007" s="602"/>
      <c r="DQ1007" s="602"/>
      <c r="DR1007" s="602"/>
      <c r="DS1007" s="602"/>
      <c r="DT1007" s="602"/>
      <c r="DU1007" s="602"/>
      <c r="DV1007" s="602"/>
      <c r="DW1007" s="602"/>
      <c r="DX1007" s="602"/>
      <c r="DY1007" s="602"/>
      <c r="DZ1007" s="602"/>
      <c r="EA1007" s="602"/>
      <c r="EB1007" s="602"/>
      <c r="EC1007" s="602"/>
      <c r="ED1007" s="602"/>
      <c r="EE1007" s="602"/>
      <c r="EF1007" s="602"/>
      <c r="EG1007" s="602"/>
      <c r="EH1007" s="602"/>
      <c r="EI1007" s="602"/>
      <c r="EJ1007" s="602"/>
      <c r="EK1007" s="602"/>
      <c r="EL1007" s="602"/>
      <c r="EM1007" s="602"/>
      <c r="EN1007" s="602"/>
      <c r="EO1007" s="602"/>
      <c r="EP1007" s="602"/>
      <c r="EQ1007" s="602"/>
      <c r="ER1007" s="602"/>
      <c r="ES1007" s="602"/>
      <c r="ET1007" s="602"/>
      <c r="EU1007" s="602"/>
      <c r="EV1007" s="602"/>
      <c r="EW1007" s="602"/>
      <c r="EX1007" s="602"/>
      <c r="EY1007" s="602"/>
      <c r="EZ1007" s="602"/>
      <c r="FA1007" s="602"/>
      <c r="FB1007" s="602"/>
      <c r="FC1007" s="602"/>
      <c r="FD1007" s="602"/>
      <c r="FE1007" s="602"/>
      <c r="FF1007" s="602"/>
      <c r="FG1007" s="602"/>
      <c r="FH1007" s="602"/>
      <c r="FI1007" s="602"/>
      <c r="FJ1007" s="602"/>
      <c r="FK1007" s="602"/>
      <c r="FL1007" s="602"/>
      <c r="FM1007" s="602"/>
      <c r="FN1007" s="602"/>
      <c r="FO1007" s="602"/>
      <c r="FP1007" s="602"/>
      <c r="FQ1007" s="602"/>
      <c r="FR1007" s="602"/>
      <c r="FS1007" s="602"/>
      <c r="FT1007" s="602"/>
      <c r="FU1007" s="602"/>
      <c r="FV1007" s="602"/>
      <c r="FW1007" s="602"/>
      <c r="FX1007" s="602"/>
      <c r="FY1007" s="602"/>
      <c r="FZ1007" s="602"/>
      <c r="GA1007" s="602"/>
      <c r="GB1007" s="602"/>
      <c r="GC1007" s="602"/>
      <c r="GD1007" s="602"/>
      <c r="GE1007" s="602"/>
      <c r="GF1007" s="602"/>
      <c r="GG1007" s="602"/>
      <c r="GH1007" s="602"/>
      <c r="GI1007" s="602"/>
      <c r="GJ1007" s="602"/>
      <c r="GK1007" s="602"/>
      <c r="GL1007" s="602"/>
      <c r="GM1007" s="602"/>
      <c r="GN1007" s="602"/>
      <c r="GO1007" s="602"/>
      <c r="GP1007" s="602"/>
      <c r="GQ1007" s="602"/>
      <c r="GR1007" s="602"/>
      <c r="GS1007" s="602"/>
      <c r="GT1007" s="602"/>
      <c r="GU1007" s="602"/>
      <c r="GV1007" s="602"/>
      <c r="GW1007" s="602"/>
      <c r="GX1007" s="602"/>
      <c r="GY1007" s="602"/>
      <c r="GZ1007" s="602"/>
      <c r="HA1007" s="602"/>
      <c r="HB1007" s="602"/>
      <c r="HC1007" s="602"/>
      <c r="HD1007" s="602"/>
      <c r="HE1007" s="602"/>
      <c r="HF1007" s="602"/>
      <c r="HG1007" s="602"/>
      <c r="HH1007" s="602"/>
      <c r="HI1007" s="602"/>
      <c r="HJ1007" s="602"/>
      <c r="HK1007" s="602"/>
      <c r="HL1007" s="602"/>
      <c r="HM1007" s="602"/>
      <c r="HN1007" s="602"/>
      <c r="HO1007" s="602"/>
      <c r="HP1007" s="602"/>
      <c r="HQ1007" s="602"/>
      <c r="HR1007" s="602"/>
      <c r="HS1007" s="602"/>
      <c r="HT1007" s="602"/>
      <c r="HU1007" s="602"/>
      <c r="HV1007" s="602"/>
      <c r="HW1007" s="602"/>
      <c r="HX1007" s="602"/>
      <c r="HY1007" s="602"/>
      <c r="HZ1007" s="602"/>
      <c r="IA1007" s="602"/>
      <c r="IB1007" s="602"/>
      <c r="IC1007" s="602"/>
      <c r="ID1007" s="602"/>
      <c r="IE1007" s="602"/>
      <c r="IF1007" s="602"/>
      <c r="IG1007" s="602"/>
      <c r="IH1007" s="602"/>
      <c r="II1007" s="602"/>
      <c r="IJ1007" s="602"/>
      <c r="IK1007" s="602"/>
      <c r="IL1007" s="602"/>
      <c r="IM1007" s="602"/>
      <c r="IN1007" s="602"/>
      <c r="IO1007" s="602"/>
      <c r="IP1007" s="602"/>
      <c r="IQ1007" s="602"/>
      <c r="IR1007" s="602"/>
      <c r="IS1007" s="602"/>
      <c r="IT1007" s="602"/>
      <c r="IU1007" s="602"/>
      <c r="IV1007" s="602"/>
    </row>
    <row r="1008" spans="1:256" s="602" customFormat="1" thickBot="1">
      <c r="A1008" s="611"/>
      <c r="B1008" s="3"/>
      <c r="C1008" s="3"/>
      <c r="D1008" s="3"/>
      <c r="E1008" s="3"/>
      <c r="F1008" s="3"/>
      <c r="G1008" s="3"/>
      <c r="H1008" s="3"/>
      <c r="I1008" s="3"/>
      <c r="J1008" s="3"/>
      <c r="K1008" s="3"/>
      <c r="L1008" s="3"/>
      <c r="M1008" s="3"/>
      <c r="N1008" s="3"/>
      <c r="O1008" s="158"/>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c r="CO1008" s="3"/>
      <c r="CP1008" s="3"/>
      <c r="CQ1008" s="3"/>
      <c r="CR1008" s="3"/>
      <c r="CS1008" s="3"/>
      <c r="CT1008" s="3"/>
      <c r="CU1008" s="3"/>
      <c r="CV1008" s="3"/>
      <c r="CW1008" s="3"/>
      <c r="CX1008" s="3"/>
      <c r="CY1008" s="3"/>
      <c r="CZ1008" s="3"/>
      <c r="DA1008" s="3"/>
      <c r="DB1008" s="3"/>
      <c r="DC1008" s="3"/>
      <c r="DD1008" s="3"/>
      <c r="DE1008" s="3"/>
      <c r="DF1008" s="3"/>
      <c r="DG1008" s="3"/>
      <c r="DH1008" s="3"/>
      <c r="DI1008" s="3"/>
      <c r="DJ1008" s="3"/>
      <c r="DK1008" s="3"/>
      <c r="DL1008" s="3"/>
      <c r="DM1008" s="3"/>
      <c r="DN1008" s="3"/>
      <c r="DO1008" s="3"/>
      <c r="DP1008" s="3"/>
      <c r="DQ1008" s="3"/>
      <c r="DR1008" s="3"/>
      <c r="DS1008" s="3"/>
      <c r="DT1008" s="3"/>
      <c r="DU1008" s="3"/>
      <c r="DV1008" s="3"/>
      <c r="DW1008" s="3"/>
      <c r="DX1008" s="3"/>
      <c r="DY1008" s="3"/>
      <c r="DZ1008" s="3"/>
      <c r="EA1008" s="3"/>
      <c r="EB1008" s="3"/>
      <c r="EC1008" s="3"/>
      <c r="ED1008" s="3"/>
      <c r="EE1008" s="3"/>
      <c r="EF1008" s="3"/>
      <c r="EG1008" s="3"/>
      <c r="EH1008" s="3"/>
      <c r="EI1008" s="3"/>
      <c r="EJ1008" s="3"/>
      <c r="EK1008" s="3"/>
      <c r="EL1008" s="3"/>
      <c r="EM1008" s="3"/>
      <c r="EN1008" s="3"/>
      <c r="EO1008" s="3"/>
      <c r="EP1008" s="3"/>
      <c r="EQ1008" s="3"/>
      <c r="ER1008" s="3"/>
      <c r="ES1008" s="3"/>
      <c r="ET1008" s="3"/>
      <c r="EU1008" s="3"/>
      <c r="EV1008" s="3"/>
      <c r="EW1008" s="3"/>
      <c r="EX1008" s="3"/>
      <c r="EY1008" s="3"/>
      <c r="EZ1008" s="3"/>
      <c r="FA1008" s="3"/>
      <c r="FB1008" s="3"/>
      <c r="FC1008" s="3"/>
      <c r="FD1008" s="3"/>
      <c r="FE1008" s="3"/>
      <c r="FF1008" s="3"/>
      <c r="FG1008" s="3"/>
      <c r="FH1008" s="3"/>
      <c r="FI1008" s="3"/>
      <c r="FJ1008" s="3"/>
      <c r="FK1008" s="3"/>
      <c r="FL1008" s="3"/>
      <c r="FM1008" s="3"/>
      <c r="FN1008" s="3"/>
      <c r="FO1008" s="3"/>
      <c r="FP1008" s="3"/>
      <c r="FQ1008" s="3"/>
      <c r="FR1008" s="3"/>
      <c r="FS1008" s="3"/>
      <c r="FT1008" s="3"/>
      <c r="FU1008" s="3"/>
      <c r="FV1008" s="3"/>
      <c r="FW1008" s="3"/>
      <c r="FX1008" s="3"/>
      <c r="FY1008" s="3"/>
      <c r="FZ1008" s="3"/>
      <c r="GA1008" s="3"/>
      <c r="GB1008" s="3"/>
      <c r="GC1008" s="3"/>
      <c r="GD1008" s="3"/>
      <c r="GE1008" s="3"/>
      <c r="GF1008" s="3"/>
      <c r="GG1008" s="3"/>
      <c r="GH1008" s="3"/>
      <c r="GI1008" s="3"/>
      <c r="GJ1008" s="3"/>
      <c r="GK1008" s="3"/>
      <c r="GL1008" s="3"/>
      <c r="GM1008" s="3"/>
      <c r="GN1008" s="3"/>
      <c r="GO1008" s="3"/>
      <c r="GP1008" s="3"/>
      <c r="GQ1008" s="3"/>
      <c r="GR1008" s="3"/>
      <c r="GS1008" s="3"/>
      <c r="GT1008" s="3"/>
      <c r="GU1008" s="3"/>
      <c r="GV1008" s="3"/>
      <c r="GW1008" s="3"/>
      <c r="GX1008" s="3"/>
      <c r="GY1008" s="3"/>
      <c r="GZ1008" s="3"/>
      <c r="HA1008" s="3"/>
      <c r="HB1008" s="3"/>
      <c r="HC1008" s="3"/>
      <c r="HD1008" s="3"/>
      <c r="HE1008" s="3"/>
      <c r="HF1008" s="3"/>
      <c r="HG1008" s="3"/>
      <c r="HH1008" s="3"/>
      <c r="HI1008" s="3"/>
      <c r="HJ1008" s="3"/>
      <c r="HK1008" s="3"/>
      <c r="HL1008" s="3"/>
      <c r="HM1008" s="3"/>
      <c r="HN1008" s="3"/>
      <c r="HO1008" s="3"/>
      <c r="HP1008" s="3"/>
      <c r="HQ1008" s="3"/>
      <c r="HR1008" s="3"/>
      <c r="HS1008" s="3"/>
      <c r="HT1008" s="3"/>
      <c r="HU1008" s="3"/>
      <c r="HV1008" s="3"/>
      <c r="HW1008" s="3"/>
      <c r="HX1008" s="3"/>
      <c r="HY1008" s="3"/>
      <c r="HZ1008" s="3"/>
      <c r="IA1008" s="3"/>
      <c r="IB1008" s="3"/>
      <c r="IC1008" s="3"/>
      <c r="ID1008" s="3"/>
      <c r="IE1008" s="3"/>
      <c r="IF1008" s="3"/>
      <c r="IG1008" s="3"/>
      <c r="IH1008" s="3"/>
      <c r="II1008" s="3"/>
      <c r="IJ1008" s="3"/>
      <c r="IK1008" s="3"/>
      <c r="IL1008" s="3"/>
      <c r="IM1008" s="3"/>
      <c r="IN1008" s="3"/>
      <c r="IO1008" s="3"/>
      <c r="IP1008" s="3"/>
      <c r="IQ1008" s="3"/>
      <c r="IR1008" s="3"/>
      <c r="IS1008" s="3"/>
      <c r="IT1008" s="3"/>
      <c r="IU1008" s="3"/>
      <c r="IV1008" s="3"/>
    </row>
    <row r="1009" spans="1:256" s="602" customFormat="1" thickTop="1">
      <c r="A1009" s="63"/>
      <c r="B1009" s="63"/>
      <c r="C1009" s="3"/>
      <c r="D1009" s="3"/>
      <c r="E1009" s="63"/>
      <c r="F1009" s="63"/>
      <c r="G1009" s="63"/>
      <c r="H1009" s="63"/>
      <c r="I1009" s="63"/>
      <c r="J1009" s="63"/>
      <c r="K1009" s="63" t="s">
        <v>134</v>
      </c>
      <c r="L1009" s="63"/>
      <c r="M1009" s="63"/>
      <c r="N1009" s="63"/>
      <c r="O1009" s="64"/>
      <c r="P1009" s="63"/>
      <c r="Q1009" s="63"/>
      <c r="R1009" s="63"/>
      <c r="S1009" s="63"/>
      <c r="T1009" s="63"/>
    </row>
    <row r="1010" spans="1:256" s="602" customFormat="1" ht="39.9" customHeight="1">
      <c r="A1010" s="63"/>
      <c r="B1010" s="63"/>
      <c r="C1010" s="63" t="s">
        <v>135</v>
      </c>
      <c r="D1010" s="37" t="s">
        <v>542</v>
      </c>
      <c r="E1010" s="63"/>
      <c r="F1010" s="63"/>
      <c r="G1010" s="63"/>
      <c r="H1010" s="63"/>
      <c r="I1010" s="63"/>
      <c r="J1010" s="63"/>
      <c r="K1010" s="63"/>
      <c r="L1010" s="63"/>
      <c r="M1010" s="63"/>
      <c r="N1010" s="63"/>
      <c r="O1010" s="64"/>
      <c r="P1010" s="63"/>
      <c r="Q1010" s="63"/>
      <c r="R1010" s="63"/>
      <c r="S1010" s="63"/>
      <c r="T1010" s="63"/>
    </row>
    <row r="1011" spans="1:256" s="3" customFormat="1" ht="13.2">
      <c r="A1011" s="63"/>
      <c r="B1011" s="63"/>
      <c r="C1011" s="63"/>
      <c r="D1011" s="1371" t="s">
        <v>356</v>
      </c>
      <c r="E1011" s="1369"/>
      <c r="F1011" s="1369"/>
      <c r="G1011" s="1369"/>
      <c r="H1011" s="1369"/>
      <c r="I1011" s="1369"/>
      <c r="J1011" s="1369"/>
      <c r="K1011" s="1369"/>
      <c r="L1011" s="1369"/>
      <c r="M1011" s="1369"/>
      <c r="N1011" s="1369"/>
      <c r="O1011" s="1369"/>
      <c r="P1011" s="1369"/>
      <c r="Q1011" s="1369"/>
      <c r="R1011" s="1369"/>
      <c r="S1011" s="1369"/>
      <c r="T1011" s="1369"/>
      <c r="U1011" s="602"/>
      <c r="V1011" s="602"/>
      <c r="W1011" s="602"/>
      <c r="X1011" s="602"/>
      <c r="Y1011" s="602"/>
      <c r="Z1011" s="602"/>
      <c r="AA1011" s="602"/>
      <c r="AB1011" s="602"/>
      <c r="AC1011" s="602"/>
      <c r="AD1011" s="602"/>
      <c r="AE1011" s="602"/>
      <c r="AF1011" s="602"/>
      <c r="AG1011" s="602"/>
      <c r="AH1011" s="602"/>
      <c r="AI1011" s="602"/>
      <c r="AJ1011" s="602"/>
      <c r="AK1011" s="602"/>
      <c r="AL1011" s="602"/>
      <c r="AM1011" s="602"/>
      <c r="AN1011" s="602"/>
      <c r="AO1011" s="602"/>
      <c r="AP1011" s="602"/>
      <c r="AQ1011" s="602"/>
      <c r="AR1011" s="602"/>
      <c r="AS1011" s="602"/>
      <c r="AT1011" s="602"/>
      <c r="AU1011" s="602"/>
      <c r="AV1011" s="602"/>
      <c r="AW1011" s="602"/>
      <c r="AX1011" s="602"/>
      <c r="AY1011" s="602"/>
      <c r="AZ1011" s="602"/>
      <c r="BA1011" s="602"/>
      <c r="BB1011" s="602"/>
      <c r="BC1011" s="602"/>
      <c r="BD1011" s="602"/>
      <c r="BE1011" s="602"/>
      <c r="BF1011" s="602"/>
      <c r="BG1011" s="602"/>
      <c r="BH1011" s="602"/>
      <c r="BI1011" s="602"/>
      <c r="BJ1011" s="602"/>
      <c r="BK1011" s="602"/>
      <c r="BL1011" s="602"/>
      <c r="BM1011" s="602"/>
      <c r="BN1011" s="602"/>
      <c r="BO1011" s="602"/>
      <c r="BP1011" s="602"/>
      <c r="BQ1011" s="602"/>
      <c r="BR1011" s="602"/>
      <c r="BS1011" s="602"/>
      <c r="BT1011" s="602"/>
      <c r="BU1011" s="602"/>
      <c r="BV1011" s="602"/>
      <c r="BW1011" s="602"/>
      <c r="BX1011" s="602"/>
      <c r="BY1011" s="602"/>
      <c r="BZ1011" s="602"/>
      <c r="CA1011" s="602"/>
      <c r="CB1011" s="602"/>
      <c r="CC1011" s="602"/>
      <c r="CD1011" s="602"/>
      <c r="CE1011" s="602"/>
      <c r="CF1011" s="602"/>
      <c r="CG1011" s="602"/>
      <c r="CH1011" s="602"/>
      <c r="CI1011" s="602"/>
      <c r="CJ1011" s="602"/>
      <c r="CK1011" s="602"/>
      <c r="CL1011" s="602"/>
      <c r="CM1011" s="602"/>
      <c r="CN1011" s="602"/>
      <c r="CO1011" s="602"/>
      <c r="CP1011" s="602"/>
      <c r="CQ1011" s="602"/>
      <c r="CR1011" s="602"/>
      <c r="CS1011" s="602"/>
      <c r="CT1011" s="602"/>
      <c r="CU1011" s="602"/>
      <c r="CV1011" s="602"/>
      <c r="CW1011" s="602"/>
      <c r="CX1011" s="602"/>
      <c r="CY1011" s="602"/>
      <c r="CZ1011" s="602"/>
      <c r="DA1011" s="602"/>
      <c r="DB1011" s="602"/>
      <c r="DC1011" s="602"/>
      <c r="DD1011" s="602"/>
      <c r="DE1011" s="602"/>
      <c r="DF1011" s="602"/>
      <c r="DG1011" s="602"/>
      <c r="DH1011" s="602"/>
      <c r="DI1011" s="602"/>
      <c r="DJ1011" s="602"/>
      <c r="DK1011" s="602"/>
      <c r="DL1011" s="602"/>
      <c r="DM1011" s="602"/>
      <c r="DN1011" s="602"/>
      <c r="DO1011" s="602"/>
      <c r="DP1011" s="602"/>
      <c r="DQ1011" s="602"/>
      <c r="DR1011" s="602"/>
      <c r="DS1011" s="602"/>
      <c r="DT1011" s="602"/>
      <c r="DU1011" s="602"/>
      <c r="DV1011" s="602"/>
      <c r="DW1011" s="602"/>
      <c r="DX1011" s="602"/>
      <c r="DY1011" s="602"/>
      <c r="DZ1011" s="602"/>
      <c r="EA1011" s="602"/>
      <c r="EB1011" s="602"/>
      <c r="EC1011" s="602"/>
      <c r="ED1011" s="602"/>
      <c r="EE1011" s="602"/>
      <c r="EF1011" s="602"/>
      <c r="EG1011" s="602"/>
      <c r="EH1011" s="602"/>
      <c r="EI1011" s="602"/>
      <c r="EJ1011" s="602"/>
      <c r="EK1011" s="602"/>
      <c r="EL1011" s="602"/>
      <c r="EM1011" s="602"/>
      <c r="EN1011" s="602"/>
      <c r="EO1011" s="602"/>
      <c r="EP1011" s="602"/>
      <c r="EQ1011" s="602"/>
      <c r="ER1011" s="602"/>
      <c r="ES1011" s="602"/>
      <c r="ET1011" s="602"/>
      <c r="EU1011" s="602"/>
      <c r="EV1011" s="602"/>
      <c r="EW1011" s="602"/>
      <c r="EX1011" s="602"/>
      <c r="EY1011" s="602"/>
      <c r="EZ1011" s="602"/>
      <c r="FA1011" s="602"/>
      <c r="FB1011" s="602"/>
      <c r="FC1011" s="602"/>
      <c r="FD1011" s="602"/>
      <c r="FE1011" s="602"/>
      <c r="FF1011" s="602"/>
      <c r="FG1011" s="602"/>
      <c r="FH1011" s="602"/>
      <c r="FI1011" s="602"/>
      <c r="FJ1011" s="602"/>
      <c r="FK1011" s="602"/>
      <c r="FL1011" s="602"/>
      <c r="FM1011" s="602"/>
      <c r="FN1011" s="602"/>
      <c r="FO1011" s="602"/>
      <c r="FP1011" s="602"/>
      <c r="FQ1011" s="602"/>
      <c r="FR1011" s="602"/>
      <c r="FS1011" s="602"/>
      <c r="FT1011" s="602"/>
      <c r="FU1011" s="602"/>
      <c r="FV1011" s="602"/>
      <c r="FW1011" s="602"/>
      <c r="FX1011" s="602"/>
      <c r="FY1011" s="602"/>
      <c r="FZ1011" s="602"/>
      <c r="GA1011" s="602"/>
      <c r="GB1011" s="602"/>
      <c r="GC1011" s="602"/>
      <c r="GD1011" s="602"/>
      <c r="GE1011" s="602"/>
      <c r="GF1011" s="602"/>
      <c r="GG1011" s="602"/>
      <c r="GH1011" s="602"/>
      <c r="GI1011" s="602"/>
      <c r="GJ1011" s="602"/>
      <c r="GK1011" s="602"/>
      <c r="GL1011" s="602"/>
      <c r="GM1011" s="602"/>
      <c r="GN1011" s="602"/>
      <c r="GO1011" s="602"/>
      <c r="GP1011" s="602"/>
      <c r="GQ1011" s="602"/>
      <c r="GR1011" s="602"/>
      <c r="GS1011" s="602"/>
      <c r="GT1011" s="602"/>
      <c r="GU1011" s="602"/>
      <c r="GV1011" s="602"/>
      <c r="GW1011" s="602"/>
      <c r="GX1011" s="602"/>
      <c r="GY1011" s="602"/>
      <c r="GZ1011" s="602"/>
      <c r="HA1011" s="602"/>
      <c r="HB1011" s="602"/>
      <c r="HC1011" s="602"/>
      <c r="HD1011" s="602"/>
      <c r="HE1011" s="602"/>
      <c r="HF1011" s="602"/>
      <c r="HG1011" s="602"/>
      <c r="HH1011" s="602"/>
      <c r="HI1011" s="602"/>
      <c r="HJ1011" s="602"/>
      <c r="HK1011" s="602"/>
      <c r="HL1011" s="602"/>
      <c r="HM1011" s="602"/>
      <c r="HN1011" s="602"/>
      <c r="HO1011" s="602"/>
      <c r="HP1011" s="602"/>
      <c r="HQ1011" s="602"/>
      <c r="HR1011" s="602"/>
      <c r="HS1011" s="602"/>
      <c r="HT1011" s="602"/>
      <c r="HU1011" s="602"/>
      <c r="HV1011" s="602"/>
      <c r="HW1011" s="602"/>
      <c r="HX1011" s="602"/>
      <c r="HY1011" s="602"/>
      <c r="HZ1011" s="602"/>
      <c r="IA1011" s="602"/>
      <c r="IB1011" s="602"/>
      <c r="IC1011" s="602"/>
      <c r="ID1011" s="602"/>
      <c r="IE1011" s="602"/>
      <c r="IF1011" s="602"/>
      <c r="IG1011" s="602"/>
      <c r="IH1011" s="602"/>
      <c r="II1011" s="602"/>
      <c r="IJ1011" s="602"/>
      <c r="IK1011" s="602"/>
      <c r="IL1011" s="602"/>
      <c r="IM1011" s="602"/>
      <c r="IN1011" s="602"/>
      <c r="IO1011" s="602"/>
      <c r="IP1011" s="602"/>
      <c r="IQ1011" s="602"/>
      <c r="IR1011" s="602"/>
      <c r="IS1011" s="602"/>
      <c r="IT1011" s="602"/>
      <c r="IU1011" s="602"/>
      <c r="IV1011" s="602"/>
    </row>
    <row r="1012" spans="1:256" s="602" customFormat="1" thickBot="1">
      <c r="A1012" s="611"/>
      <c r="B1012" s="3"/>
      <c r="C1012" s="3"/>
      <c r="D1012" s="3"/>
      <c r="E1012" s="3"/>
      <c r="F1012" s="3"/>
      <c r="G1012" s="3"/>
      <c r="H1012" s="3"/>
      <c r="I1012" s="3"/>
      <c r="J1012" s="3"/>
      <c r="K1012" s="3"/>
      <c r="L1012" s="3"/>
      <c r="M1012" s="3"/>
      <c r="N1012" s="3"/>
      <c r="O1012" s="158"/>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c r="CO1012" s="3"/>
      <c r="CP1012" s="3"/>
      <c r="CQ1012" s="3"/>
      <c r="CR1012" s="3"/>
      <c r="CS1012" s="3"/>
      <c r="CT1012" s="3"/>
      <c r="CU1012" s="3"/>
      <c r="CV1012" s="3"/>
      <c r="CW1012" s="3"/>
      <c r="CX1012" s="3"/>
      <c r="CY1012" s="3"/>
      <c r="CZ1012" s="3"/>
      <c r="DA1012" s="3"/>
      <c r="DB1012" s="3"/>
      <c r="DC1012" s="3"/>
      <c r="DD1012" s="3"/>
      <c r="DE1012" s="3"/>
      <c r="DF1012" s="3"/>
      <c r="DG1012" s="3"/>
      <c r="DH1012" s="3"/>
      <c r="DI1012" s="3"/>
      <c r="DJ1012" s="3"/>
      <c r="DK1012" s="3"/>
      <c r="DL1012" s="3"/>
      <c r="DM1012" s="3"/>
      <c r="DN1012" s="3"/>
      <c r="DO1012" s="3"/>
      <c r="DP1012" s="3"/>
      <c r="DQ1012" s="3"/>
      <c r="DR1012" s="3"/>
      <c r="DS1012" s="3"/>
      <c r="DT1012" s="3"/>
      <c r="DU1012" s="3"/>
      <c r="DV1012" s="3"/>
      <c r="DW1012" s="3"/>
      <c r="DX1012" s="3"/>
      <c r="DY1012" s="3"/>
      <c r="DZ1012" s="3"/>
      <c r="EA1012" s="3"/>
      <c r="EB1012" s="3"/>
      <c r="EC1012" s="3"/>
      <c r="ED1012" s="3"/>
      <c r="EE1012" s="3"/>
      <c r="EF1012" s="3"/>
      <c r="EG1012" s="3"/>
      <c r="EH1012" s="3"/>
      <c r="EI1012" s="3"/>
      <c r="EJ1012" s="3"/>
      <c r="EK1012" s="3"/>
      <c r="EL1012" s="3"/>
      <c r="EM1012" s="3"/>
      <c r="EN1012" s="3"/>
      <c r="EO1012" s="3"/>
      <c r="EP1012" s="3"/>
      <c r="EQ1012" s="3"/>
      <c r="ER1012" s="3"/>
      <c r="ES1012" s="3"/>
      <c r="ET1012" s="3"/>
      <c r="EU1012" s="3"/>
      <c r="EV1012" s="3"/>
      <c r="EW1012" s="3"/>
      <c r="EX1012" s="3"/>
      <c r="EY1012" s="3"/>
      <c r="EZ1012" s="3"/>
      <c r="FA1012" s="3"/>
      <c r="FB1012" s="3"/>
      <c r="FC1012" s="3"/>
      <c r="FD1012" s="3"/>
      <c r="FE1012" s="3"/>
      <c r="FF1012" s="3"/>
      <c r="FG1012" s="3"/>
      <c r="FH1012" s="3"/>
      <c r="FI1012" s="3"/>
      <c r="FJ1012" s="3"/>
      <c r="FK1012" s="3"/>
      <c r="FL1012" s="3"/>
      <c r="FM1012" s="3"/>
      <c r="FN1012" s="3"/>
      <c r="FO1012" s="3"/>
      <c r="FP1012" s="3"/>
      <c r="FQ1012" s="3"/>
      <c r="FR1012" s="3"/>
      <c r="FS1012" s="3"/>
      <c r="FT1012" s="3"/>
      <c r="FU1012" s="3"/>
      <c r="FV1012" s="3"/>
      <c r="FW1012" s="3"/>
      <c r="FX1012" s="3"/>
      <c r="FY1012" s="3"/>
      <c r="FZ1012" s="3"/>
      <c r="GA1012" s="3"/>
      <c r="GB1012" s="3"/>
      <c r="GC1012" s="3"/>
      <c r="GD1012" s="3"/>
      <c r="GE1012" s="3"/>
      <c r="GF1012" s="3"/>
      <c r="GG1012" s="3"/>
      <c r="GH1012" s="3"/>
      <c r="GI1012" s="3"/>
      <c r="GJ1012" s="3"/>
      <c r="GK1012" s="3"/>
      <c r="GL1012" s="3"/>
      <c r="GM1012" s="3"/>
      <c r="GN1012" s="3"/>
      <c r="GO1012" s="3"/>
      <c r="GP1012" s="3"/>
      <c r="GQ1012" s="3"/>
      <c r="GR1012" s="3"/>
      <c r="GS1012" s="3"/>
      <c r="GT1012" s="3"/>
      <c r="GU1012" s="3"/>
      <c r="GV1012" s="3"/>
      <c r="GW1012" s="3"/>
      <c r="GX1012" s="3"/>
      <c r="GY1012" s="3"/>
      <c r="GZ1012" s="3"/>
      <c r="HA1012" s="3"/>
      <c r="HB1012" s="3"/>
      <c r="HC1012" s="3"/>
      <c r="HD1012" s="3"/>
      <c r="HE1012" s="3"/>
      <c r="HF1012" s="3"/>
      <c r="HG1012" s="3"/>
      <c r="HH1012" s="3"/>
      <c r="HI1012" s="3"/>
      <c r="HJ1012" s="3"/>
      <c r="HK1012" s="3"/>
      <c r="HL1012" s="3"/>
      <c r="HM1012" s="3"/>
      <c r="HN1012" s="3"/>
      <c r="HO1012" s="3"/>
      <c r="HP1012" s="3"/>
      <c r="HQ1012" s="3"/>
      <c r="HR1012" s="3"/>
      <c r="HS1012" s="3"/>
      <c r="HT1012" s="3"/>
      <c r="HU1012" s="3"/>
      <c r="HV1012" s="3"/>
      <c r="HW1012" s="3"/>
      <c r="HX1012" s="3"/>
      <c r="HY1012" s="3"/>
      <c r="HZ1012" s="3"/>
      <c r="IA1012" s="3"/>
      <c r="IB1012" s="3"/>
      <c r="IC1012" s="3"/>
      <c r="ID1012" s="3"/>
      <c r="IE1012" s="3"/>
      <c r="IF1012" s="3"/>
      <c r="IG1012" s="3"/>
      <c r="IH1012" s="3"/>
      <c r="II1012" s="3"/>
      <c r="IJ1012" s="3"/>
      <c r="IK1012" s="3"/>
      <c r="IL1012" s="3"/>
      <c r="IM1012" s="3"/>
      <c r="IN1012" s="3"/>
      <c r="IO1012" s="3"/>
      <c r="IP1012" s="3"/>
      <c r="IQ1012" s="3"/>
      <c r="IR1012" s="3"/>
      <c r="IS1012" s="3"/>
      <c r="IT1012" s="3"/>
      <c r="IU1012" s="3"/>
      <c r="IV1012" s="3"/>
    </row>
    <row r="1013" spans="1:256" s="602" customFormat="1" ht="12" customHeight="1" thickTop="1">
      <c r="A1013" s="63"/>
      <c r="B1013" s="41"/>
      <c r="C1013" s="63"/>
      <c r="E1013" s="42" t="s">
        <v>138</v>
      </c>
      <c r="F1013" s="42" t="s">
        <v>139</v>
      </c>
      <c r="G1013" s="63"/>
      <c r="H1013" s="63"/>
      <c r="I1013" s="63"/>
      <c r="J1013" s="63"/>
      <c r="K1013" s="63" t="s">
        <v>140</v>
      </c>
      <c r="L1013" s="63"/>
      <c r="M1013" s="63"/>
      <c r="N1013" s="63"/>
      <c r="O1013" s="64"/>
      <c r="P1013" s="63"/>
      <c r="Q1013" s="63"/>
      <c r="R1013" s="63"/>
      <c r="S1013" s="63"/>
      <c r="T1013" s="41"/>
      <c r="AG1013" s="667" t="s">
        <v>278</v>
      </c>
      <c r="AH1013" s="667" t="s">
        <v>279</v>
      </c>
      <c r="AI1013" s="667" t="s">
        <v>280</v>
      </c>
      <c r="AJ1013" s="667" t="s">
        <v>281</v>
      </c>
      <c r="AK1013" s="667" t="s">
        <v>282</v>
      </c>
      <c r="AM1013" s="668" t="s">
        <v>291</v>
      </c>
      <c r="AN1013" s="669" t="s">
        <v>292</v>
      </c>
      <c r="AO1013" s="603" t="s">
        <v>288</v>
      </c>
    </row>
    <row r="1014" spans="1:256" s="602" customFormat="1" ht="39.9" customHeight="1">
      <c r="A1014" s="670">
        <v>52</v>
      </c>
      <c r="B1014" s="671" t="s">
        <v>330</v>
      </c>
      <c r="C1014" s="672"/>
      <c r="D1014" s="673" t="s">
        <v>543</v>
      </c>
      <c r="E1014" s="674">
        <f ca="1">IF(AND($A1014=0,$A$1="DIF"),0, ROUND(ROUND(($R1019*$S$2+($T1019*$T$2))/A1014,2)*$C$2,2))</f>
        <v>0</v>
      </c>
      <c r="F1014" s="675">
        <f ca="1">ROUND($A1014*$E1014,2)</f>
        <v>0</v>
      </c>
      <c r="G1014" s="676" t="s">
        <v>142</v>
      </c>
      <c r="H1014" s="664"/>
      <c r="I1014" s="677"/>
      <c r="J1014" s="664"/>
      <c r="K1014" s="664" t="s">
        <v>3</v>
      </c>
      <c r="L1014" s="678" t="s">
        <v>143</v>
      </c>
      <c r="M1014" s="678"/>
      <c r="N1014" s="678"/>
      <c r="O1014" s="678"/>
      <c r="P1014" s="678"/>
      <c r="Q1014" s="63"/>
      <c r="T1014" s="679" t="str">
        <f ca="1">IF(AND($R1019=0,$T1019=0),"0.00","mu :" &amp; ROUND($F1014/$C$2/($R1019+$T1019*$D$9),2))</f>
        <v>0.00</v>
      </c>
      <c r="W1014" s="604"/>
      <c r="AG1014" s="549">
        <f ca="1">IF($E1014=0,0,ROUND($R1019*$S$2*$C$2/$A1014,2))</f>
        <v>0</v>
      </c>
      <c r="AH1014" s="549">
        <f ca="1">$AG1014*$A1014</f>
        <v>0</v>
      </c>
      <c r="AI1014" s="605">
        <f ca="1">$E1014-$AG1014</f>
        <v>0</v>
      </c>
      <c r="AJ1014" s="605">
        <f ca="1">$A1014*$AI1014</f>
        <v>0</v>
      </c>
      <c r="AK1014" s="606">
        <f ca="1">ROUND(($AG1014+$AI1014)*$A1014,2)</f>
        <v>0</v>
      </c>
      <c r="AM1014" s="607">
        <f ca="1">ROUND(R1019,2)</f>
        <v>0</v>
      </c>
      <c r="AN1014" s="608">
        <f ca="1">ROUND(T1019,2)</f>
        <v>0</v>
      </c>
      <c r="AO1014" s="609">
        <f ca="1">ROUND(AM1014+AN1014,2)*A1014</f>
        <v>0</v>
      </c>
    </row>
    <row r="1015" spans="1:256" s="713" customFormat="1" ht="13.2">
      <c r="A1015" s="672"/>
      <c r="B1015"/>
      <c r="C1015" s="672"/>
      <c r="D1015" s="1368" t="s">
        <v>399</v>
      </c>
      <c r="E1015" s="1369"/>
      <c r="F1015" s="1369"/>
      <c r="G1015" s="1369"/>
      <c r="H1015" s="1369"/>
      <c r="I1015" s="1369"/>
      <c r="J1015" s="1369"/>
      <c r="K1015" s="1369"/>
      <c r="L1015" s="1369"/>
      <c r="M1015" s="1369"/>
      <c r="N1015" s="1369"/>
      <c r="O1015" s="1369"/>
      <c r="P1015" s="1369"/>
      <c r="Q1015" s="1369"/>
      <c r="R1015" s="1369"/>
      <c r="S1015" s="1369"/>
      <c r="T1015" s="1369"/>
      <c r="U1015" s="602"/>
      <c r="V1015" s="602"/>
      <c r="W1015" s="602"/>
      <c r="X1015" s="602"/>
      <c r="Y1015" s="602"/>
      <c r="Z1015" s="602"/>
      <c r="AA1015" s="602"/>
      <c r="AB1015" s="602"/>
      <c r="AC1015" s="602"/>
      <c r="AD1015" s="602"/>
      <c r="AE1015" s="602"/>
      <c r="AF1015" s="602"/>
      <c r="AG1015" s="602"/>
      <c r="AH1015" s="602"/>
      <c r="AI1015" s="602"/>
      <c r="AJ1015" s="602"/>
      <c r="AK1015" s="602"/>
      <c r="AL1015" s="602"/>
      <c r="AM1015" s="602"/>
      <c r="AN1015" s="602"/>
      <c r="AO1015" s="602"/>
      <c r="AP1015" s="602"/>
      <c r="AQ1015" s="602"/>
      <c r="AR1015" s="602"/>
      <c r="AS1015" s="602"/>
      <c r="AT1015" s="602"/>
      <c r="AU1015" s="602"/>
      <c r="AV1015" s="602"/>
      <c r="AW1015" s="602"/>
      <c r="AX1015" s="602"/>
      <c r="AY1015" s="602"/>
      <c r="AZ1015" s="602"/>
      <c r="BA1015" s="602"/>
      <c r="BB1015" s="602"/>
      <c r="BC1015" s="602"/>
      <c r="BD1015" s="602"/>
      <c r="BE1015" s="602"/>
      <c r="BF1015" s="602"/>
      <c r="BG1015" s="602"/>
      <c r="BH1015" s="602"/>
      <c r="BI1015" s="602"/>
      <c r="BJ1015" s="602"/>
      <c r="BK1015" s="602"/>
      <c r="BL1015" s="602"/>
      <c r="BM1015" s="602"/>
      <c r="BN1015" s="602"/>
      <c r="BO1015" s="602"/>
      <c r="BP1015" s="602"/>
      <c r="BQ1015" s="602"/>
      <c r="BR1015" s="602"/>
      <c r="BS1015" s="602"/>
      <c r="BT1015" s="602"/>
      <c r="BU1015" s="602"/>
      <c r="BV1015" s="602"/>
      <c r="BW1015" s="602"/>
      <c r="BX1015" s="602"/>
      <c r="BY1015" s="602"/>
      <c r="BZ1015" s="602"/>
      <c r="CA1015" s="602"/>
      <c r="CB1015" s="602"/>
      <c r="CC1015" s="602"/>
      <c r="CD1015" s="602"/>
      <c r="CE1015" s="602"/>
      <c r="CF1015" s="602"/>
      <c r="CG1015" s="602"/>
      <c r="CH1015" s="602"/>
      <c r="CI1015" s="602"/>
      <c r="CJ1015" s="602"/>
      <c r="CK1015" s="602"/>
      <c r="CL1015" s="602"/>
      <c r="CM1015" s="602"/>
      <c r="CN1015" s="602"/>
      <c r="CO1015" s="602"/>
      <c r="CP1015" s="602"/>
      <c r="CQ1015" s="602"/>
      <c r="CR1015" s="602"/>
      <c r="CS1015" s="602"/>
      <c r="CT1015" s="602"/>
      <c r="CU1015" s="602"/>
      <c r="CV1015" s="602"/>
      <c r="CW1015" s="602"/>
      <c r="CX1015" s="602"/>
      <c r="CY1015" s="602"/>
      <c r="CZ1015" s="602"/>
      <c r="DA1015" s="602"/>
      <c r="DB1015" s="602"/>
      <c r="DC1015" s="602"/>
      <c r="DD1015" s="602"/>
      <c r="DE1015" s="602"/>
      <c r="DF1015" s="602"/>
      <c r="DG1015" s="602"/>
      <c r="DH1015" s="602"/>
      <c r="DI1015" s="602"/>
      <c r="DJ1015" s="602"/>
      <c r="DK1015" s="602"/>
      <c r="DL1015" s="602"/>
      <c r="DM1015" s="602"/>
      <c r="DN1015" s="602"/>
      <c r="DO1015" s="602"/>
      <c r="DP1015" s="602"/>
      <c r="DQ1015" s="602"/>
      <c r="DR1015" s="602"/>
      <c r="DS1015" s="602"/>
      <c r="DT1015" s="602"/>
      <c r="DU1015" s="602"/>
      <c r="DV1015" s="602"/>
      <c r="DW1015" s="602"/>
      <c r="DX1015" s="602"/>
      <c r="DY1015" s="602"/>
      <c r="DZ1015" s="602"/>
      <c r="EA1015" s="602"/>
      <c r="EB1015" s="602"/>
      <c r="EC1015" s="602"/>
      <c r="ED1015" s="602"/>
      <c r="EE1015" s="602"/>
      <c r="EF1015" s="602"/>
      <c r="EG1015" s="602"/>
      <c r="EH1015" s="602"/>
      <c r="EI1015" s="602"/>
      <c r="EJ1015" s="602"/>
      <c r="EK1015" s="602"/>
      <c r="EL1015" s="602"/>
      <c r="EM1015" s="602"/>
      <c r="EN1015" s="602"/>
      <c r="EO1015" s="602"/>
      <c r="EP1015" s="602"/>
      <c r="EQ1015" s="602"/>
      <c r="ER1015" s="602"/>
      <c r="ES1015" s="602"/>
      <c r="ET1015" s="602"/>
      <c r="EU1015" s="602"/>
      <c r="EV1015" s="602"/>
      <c r="EW1015" s="602"/>
      <c r="EX1015" s="602"/>
      <c r="EY1015" s="602"/>
      <c r="EZ1015" s="602"/>
      <c r="FA1015" s="602"/>
      <c r="FB1015" s="602"/>
      <c r="FC1015" s="602"/>
      <c r="FD1015" s="602"/>
      <c r="FE1015" s="602"/>
      <c r="FF1015" s="602"/>
      <c r="FG1015" s="602"/>
      <c r="FH1015" s="602"/>
      <c r="FI1015" s="602"/>
      <c r="FJ1015" s="602"/>
      <c r="FK1015" s="602"/>
      <c r="FL1015" s="602"/>
      <c r="FM1015" s="602"/>
      <c r="FN1015" s="602"/>
      <c r="FO1015" s="602"/>
      <c r="FP1015" s="602"/>
      <c r="FQ1015" s="602"/>
      <c r="FR1015" s="602"/>
      <c r="FS1015" s="602"/>
      <c r="FT1015" s="602"/>
      <c r="FU1015" s="602"/>
      <c r="FV1015" s="602"/>
      <c r="FW1015" s="602"/>
      <c r="FX1015" s="602"/>
      <c r="FY1015" s="602"/>
      <c r="FZ1015" s="602"/>
      <c r="GA1015" s="602"/>
      <c r="GB1015" s="602"/>
      <c r="GC1015" s="602"/>
      <c r="GD1015" s="602"/>
      <c r="GE1015" s="602"/>
      <c r="GF1015" s="602"/>
      <c r="GG1015" s="602"/>
      <c r="GH1015" s="602"/>
      <c r="GI1015" s="602"/>
      <c r="GJ1015" s="602"/>
      <c r="GK1015" s="602"/>
      <c r="GL1015" s="602"/>
      <c r="GM1015" s="602"/>
      <c r="GN1015" s="602"/>
      <c r="GO1015" s="602"/>
      <c r="GP1015" s="602"/>
      <c r="GQ1015" s="602"/>
      <c r="GR1015" s="602"/>
      <c r="GS1015" s="602"/>
      <c r="GT1015" s="602"/>
      <c r="GU1015" s="602"/>
      <c r="GV1015" s="602"/>
      <c r="GW1015" s="602"/>
      <c r="GX1015" s="602"/>
      <c r="GY1015" s="602"/>
      <c r="GZ1015" s="602"/>
      <c r="HA1015" s="602"/>
      <c r="HB1015" s="602"/>
      <c r="HC1015" s="602"/>
      <c r="HD1015" s="602"/>
      <c r="HE1015" s="602"/>
      <c r="HF1015" s="602"/>
      <c r="HG1015" s="602"/>
      <c r="HH1015" s="602"/>
      <c r="HI1015" s="602"/>
      <c r="HJ1015" s="602"/>
      <c r="HK1015" s="602"/>
      <c r="HL1015" s="602"/>
      <c r="HM1015" s="602"/>
      <c r="HN1015" s="602"/>
      <c r="HO1015" s="602"/>
      <c r="HP1015" s="602"/>
      <c r="HQ1015" s="602"/>
      <c r="HR1015" s="602"/>
      <c r="HS1015" s="602"/>
      <c r="HT1015" s="602"/>
      <c r="HU1015" s="602"/>
      <c r="HV1015" s="602"/>
      <c r="HW1015" s="602"/>
      <c r="HX1015" s="602"/>
      <c r="HY1015" s="602"/>
      <c r="HZ1015" s="602"/>
      <c r="IA1015" s="602"/>
      <c r="IB1015" s="602"/>
      <c r="IC1015" s="602"/>
      <c r="ID1015" s="602"/>
      <c r="IE1015" s="602"/>
      <c r="IF1015" s="602"/>
      <c r="IG1015" s="602"/>
      <c r="IH1015" s="602"/>
      <c r="II1015" s="602"/>
      <c r="IJ1015" s="602"/>
      <c r="IK1015" s="602"/>
      <c r="IL1015" s="602"/>
      <c r="IM1015" s="602"/>
      <c r="IN1015" s="602"/>
      <c r="IO1015" s="602"/>
      <c r="IP1015" s="602"/>
      <c r="IQ1015" s="602"/>
      <c r="IR1015" s="602"/>
      <c r="IS1015" s="602"/>
      <c r="IT1015" s="602"/>
      <c r="IU1015" s="602"/>
      <c r="IV1015" s="602"/>
    </row>
    <row r="1016" spans="1:256" s="713" customFormat="1" ht="13.2">
      <c r="A1016"/>
      <c r="B1016" s="807"/>
      <c r="C1016" s="807" t="s">
        <v>692</v>
      </c>
      <c r="D1016" s="807" t="str">
        <f ca="1">CELL("Address",Elec_Rates!D$230)</f>
        <v>[E25_0477_IH_Retro_Elec_Est_Rev_A_AW.xlsx]Elec_Rates!$D$230</v>
      </c>
      <c r="E1016" s="808"/>
      <c r="F1016" s="808"/>
      <c r="G1016" s="809" t="s">
        <v>693</v>
      </c>
      <c r="H1016" s="809"/>
      <c r="I1016" s="809"/>
      <c r="J1016" s="809"/>
      <c r="K1016" s="810"/>
      <c r="L1016" s="808"/>
      <c r="M1016" s="808"/>
      <c r="N1016" s="808"/>
      <c r="O1016" s="811"/>
      <c r="P1016" s="808"/>
      <c r="Q1016" s="812"/>
      <c r="R1016" s="813"/>
      <c r="S1016" s="812"/>
      <c r="T1016" s="814"/>
      <c r="U1016" s="815"/>
    </row>
    <row r="1017" spans="1:256" s="602" customFormat="1" ht="11.4">
      <c r="A1017" s="816">
        <v>52</v>
      </c>
      <c r="B1017" s="817">
        <v>1</v>
      </c>
      <c r="C1017" s="817">
        <f>$A1017*$B1017</f>
        <v>52</v>
      </c>
      <c r="D1017" s="818" t="str">
        <f>Elec_Rates!$D$230</f>
        <v>010# 5core x 10sqmm XLPE/LSZH/SWA/LSZH cable</v>
      </c>
      <c r="E1017" s="818"/>
      <c r="F1017" s="818" t="s">
        <v>694</v>
      </c>
      <c r="G1017" s="819" t="s">
        <v>695</v>
      </c>
      <c r="H1017" s="819"/>
      <c r="I1017" s="819"/>
      <c r="J1017" s="819"/>
      <c r="K1017" s="820"/>
      <c r="L1017" s="815"/>
      <c r="M1017" s="815"/>
      <c r="N1017" s="815"/>
      <c r="O1017" s="821"/>
      <c r="P1017" s="818"/>
      <c r="Q1017" s="822">
        <f ca="1">$B1017*Elec_Rates!$R$230</f>
        <v>0</v>
      </c>
      <c r="R1017" s="813">
        <f ca="1">$A1017*Q1017</f>
        <v>0</v>
      </c>
      <c r="S1017" s="822">
        <f ca="1">$B1017*Elec_Rates!$T$230</f>
        <v>0</v>
      </c>
      <c r="T1017" s="814">
        <f ca="1">$A1017*S1017</f>
        <v>0</v>
      </c>
      <c r="U1017" s="583"/>
      <c r="V1017" s="713"/>
      <c r="W1017" s="713"/>
      <c r="X1017" s="713"/>
      <c r="Y1017" s="713"/>
      <c r="Z1017" s="713"/>
      <c r="AA1017" s="713"/>
      <c r="AB1017" s="713"/>
      <c r="AC1017" s="713"/>
      <c r="AD1017" s="713"/>
      <c r="AE1017" s="713"/>
      <c r="AF1017" s="713"/>
      <c r="AG1017" s="713"/>
      <c r="AH1017" s="713"/>
      <c r="AI1017" s="713"/>
      <c r="AJ1017" s="713"/>
      <c r="AK1017" s="713"/>
      <c r="AL1017" s="713"/>
      <c r="AM1017" s="713"/>
      <c r="AN1017" s="713"/>
      <c r="AO1017" s="713"/>
      <c r="AP1017" s="713"/>
      <c r="AQ1017" s="713"/>
      <c r="AR1017" s="713"/>
      <c r="AS1017" s="713"/>
      <c r="AT1017" s="713"/>
      <c r="AU1017" s="713"/>
      <c r="AV1017" s="713"/>
      <c r="AW1017" s="713"/>
      <c r="AX1017" s="713"/>
      <c r="AY1017" s="713"/>
      <c r="AZ1017" s="713"/>
      <c r="BA1017" s="713"/>
      <c r="BB1017" s="713"/>
      <c r="BC1017" s="713"/>
      <c r="BD1017" s="713"/>
      <c r="BE1017" s="713"/>
      <c r="BF1017" s="713"/>
      <c r="BG1017" s="713"/>
      <c r="BH1017" s="713"/>
      <c r="BI1017" s="713"/>
      <c r="BJ1017" s="713"/>
      <c r="BK1017" s="713"/>
      <c r="BL1017" s="713"/>
      <c r="BM1017" s="713"/>
      <c r="BN1017" s="713"/>
      <c r="BO1017" s="713"/>
      <c r="BP1017" s="713"/>
      <c r="BQ1017" s="713"/>
      <c r="BR1017" s="713"/>
      <c r="BS1017" s="713"/>
      <c r="BT1017" s="713"/>
      <c r="BU1017" s="713"/>
      <c r="BV1017" s="713"/>
      <c r="BW1017" s="713"/>
      <c r="BX1017" s="713"/>
      <c r="BY1017" s="713"/>
      <c r="BZ1017" s="713"/>
      <c r="CA1017" s="713"/>
      <c r="CB1017" s="713"/>
      <c r="CC1017" s="713"/>
      <c r="CD1017" s="713"/>
      <c r="CE1017" s="713"/>
      <c r="CF1017" s="713"/>
      <c r="CG1017" s="713"/>
      <c r="CH1017" s="713"/>
      <c r="CI1017" s="713"/>
      <c r="CJ1017" s="713"/>
      <c r="CK1017" s="713"/>
      <c r="CL1017" s="713"/>
      <c r="CM1017" s="713"/>
      <c r="CN1017" s="713"/>
      <c r="CO1017" s="713"/>
      <c r="CP1017" s="713"/>
      <c r="CQ1017" s="713"/>
      <c r="CR1017" s="713"/>
      <c r="CS1017" s="713"/>
      <c r="CT1017" s="713"/>
      <c r="CU1017" s="713"/>
      <c r="CV1017" s="713"/>
      <c r="CW1017" s="713"/>
      <c r="CX1017" s="713"/>
      <c r="CY1017" s="713"/>
      <c r="CZ1017" s="713"/>
      <c r="DA1017" s="713"/>
      <c r="DB1017" s="713"/>
      <c r="DC1017" s="713"/>
      <c r="DD1017" s="713"/>
      <c r="DE1017" s="713"/>
      <c r="DF1017" s="713"/>
      <c r="DG1017" s="713"/>
      <c r="DH1017" s="713"/>
      <c r="DI1017" s="713"/>
      <c r="DJ1017" s="713"/>
      <c r="DK1017" s="713"/>
      <c r="DL1017" s="713"/>
      <c r="DM1017" s="713"/>
      <c r="DN1017" s="713"/>
      <c r="DO1017" s="713"/>
      <c r="DP1017" s="713"/>
      <c r="DQ1017" s="713"/>
      <c r="DR1017" s="713"/>
      <c r="DS1017" s="713"/>
      <c r="DT1017" s="713"/>
      <c r="DU1017" s="713"/>
      <c r="DV1017" s="713"/>
      <c r="DW1017" s="713"/>
      <c r="DX1017" s="713"/>
      <c r="DY1017" s="713"/>
      <c r="DZ1017" s="713"/>
      <c r="EA1017" s="713"/>
      <c r="EB1017" s="713"/>
      <c r="EC1017" s="713"/>
      <c r="ED1017" s="713"/>
      <c r="EE1017" s="713"/>
      <c r="EF1017" s="713"/>
      <c r="EG1017" s="713"/>
      <c r="EH1017" s="713"/>
      <c r="EI1017" s="713"/>
      <c r="EJ1017" s="713"/>
      <c r="EK1017" s="713"/>
      <c r="EL1017" s="713"/>
      <c r="EM1017" s="713"/>
      <c r="EN1017" s="713"/>
      <c r="EO1017" s="713"/>
      <c r="EP1017" s="713"/>
      <c r="EQ1017" s="713"/>
      <c r="ER1017" s="713"/>
      <c r="ES1017" s="713"/>
      <c r="ET1017" s="713"/>
      <c r="EU1017" s="713"/>
      <c r="EV1017" s="713"/>
      <c r="EW1017" s="713"/>
      <c r="EX1017" s="713"/>
      <c r="EY1017" s="713"/>
      <c r="EZ1017" s="713"/>
      <c r="FA1017" s="713"/>
      <c r="FB1017" s="713"/>
      <c r="FC1017" s="713"/>
      <c r="FD1017" s="713"/>
      <c r="FE1017" s="713"/>
      <c r="FF1017" s="713"/>
      <c r="FG1017" s="713"/>
      <c r="FH1017" s="713"/>
      <c r="FI1017" s="713"/>
      <c r="FJ1017" s="713"/>
      <c r="FK1017" s="713"/>
      <c r="FL1017" s="713"/>
      <c r="FM1017" s="713"/>
      <c r="FN1017" s="713"/>
      <c r="FO1017" s="713"/>
      <c r="FP1017" s="713"/>
      <c r="FQ1017" s="713"/>
      <c r="FR1017" s="713"/>
      <c r="FS1017" s="713"/>
      <c r="FT1017" s="713"/>
      <c r="FU1017" s="713"/>
      <c r="FV1017" s="713"/>
      <c r="FW1017" s="713"/>
      <c r="FX1017" s="713"/>
      <c r="FY1017" s="713"/>
      <c r="FZ1017" s="713"/>
      <c r="GA1017" s="713"/>
      <c r="GB1017" s="713"/>
      <c r="GC1017" s="713"/>
      <c r="GD1017" s="713"/>
      <c r="GE1017" s="713"/>
      <c r="GF1017" s="713"/>
      <c r="GG1017" s="713"/>
      <c r="GH1017" s="713"/>
      <c r="GI1017" s="713"/>
      <c r="GJ1017" s="713"/>
      <c r="GK1017" s="713"/>
      <c r="GL1017" s="713"/>
      <c r="GM1017" s="713"/>
      <c r="GN1017" s="713"/>
      <c r="GO1017" s="713"/>
      <c r="GP1017" s="713"/>
      <c r="GQ1017" s="713"/>
      <c r="GR1017" s="713"/>
      <c r="GS1017" s="713"/>
      <c r="GT1017" s="713"/>
      <c r="GU1017" s="713"/>
      <c r="GV1017" s="713"/>
      <c r="GW1017" s="713"/>
      <c r="GX1017" s="713"/>
      <c r="GY1017" s="713"/>
      <c r="GZ1017" s="713"/>
      <c r="HA1017" s="713"/>
      <c r="HB1017" s="713"/>
      <c r="HC1017" s="713"/>
      <c r="HD1017" s="713"/>
      <c r="HE1017" s="713"/>
      <c r="HF1017" s="713"/>
      <c r="HG1017" s="713"/>
      <c r="HH1017" s="713"/>
      <c r="HI1017" s="713"/>
      <c r="HJ1017" s="713"/>
      <c r="HK1017" s="713"/>
      <c r="HL1017" s="713"/>
      <c r="HM1017" s="713"/>
      <c r="HN1017" s="713"/>
      <c r="HO1017" s="713"/>
      <c r="HP1017" s="713"/>
      <c r="HQ1017" s="713"/>
      <c r="HR1017" s="713"/>
      <c r="HS1017" s="713"/>
      <c r="HT1017" s="713"/>
      <c r="HU1017" s="713"/>
      <c r="HV1017" s="713"/>
      <c r="HW1017" s="713"/>
      <c r="HX1017" s="713"/>
      <c r="HY1017" s="713"/>
      <c r="HZ1017" s="713"/>
      <c r="IA1017" s="713"/>
      <c r="IB1017" s="713"/>
      <c r="IC1017" s="713"/>
      <c r="ID1017" s="713"/>
      <c r="IE1017" s="713"/>
      <c r="IF1017" s="713"/>
      <c r="IG1017" s="713"/>
      <c r="IH1017" s="713"/>
      <c r="II1017" s="713"/>
      <c r="IJ1017" s="713"/>
      <c r="IK1017" s="713"/>
      <c r="IL1017" s="713"/>
      <c r="IM1017" s="713"/>
      <c r="IN1017" s="713"/>
      <c r="IO1017" s="713"/>
      <c r="IP1017" s="713"/>
      <c r="IQ1017" s="713"/>
      <c r="IR1017" s="713"/>
      <c r="IS1017" s="713"/>
      <c r="IT1017" s="713"/>
      <c r="IU1017" s="713"/>
      <c r="IV1017" s="713"/>
    </row>
    <row r="1018" spans="1:256" s="602" customFormat="1" ht="12">
      <c r="A1018" s="663"/>
      <c r="B1018" s="663"/>
      <c r="C1018" s="663"/>
      <c r="D1018" s="663"/>
      <c r="E1018" s="663"/>
      <c r="F1018" s="664"/>
      <c r="G1018" s="663"/>
      <c r="H1018" s="663"/>
      <c r="I1018" s="601"/>
      <c r="J1018" s="663"/>
      <c r="K1018" s="663"/>
      <c r="L1018" s="663"/>
      <c r="M1018" s="663"/>
      <c r="N1018" s="663"/>
      <c r="O1018" s="663"/>
      <c r="P1018" s="663"/>
      <c r="Q1018" s="601"/>
      <c r="R1018" s="666">
        <f>$A1018*Q1018</f>
        <v>0</v>
      </c>
      <c r="S1018" s="601"/>
      <c r="T1018" s="681">
        <f>$A1018*S1018*$T$1</f>
        <v>0</v>
      </c>
    </row>
    <row r="1019" spans="1:256" s="602" customFormat="1" ht="12.6" thickBot="1">
      <c r="A1019" s="682" t="s">
        <v>145</v>
      </c>
      <c r="B1019" s="683">
        <f>(R1018+T1018)</f>
        <v>0</v>
      </c>
      <c r="C1019" s="684"/>
      <c r="D1019" s="684"/>
      <c r="E1019" s="684"/>
      <c r="F1019" s="685"/>
      <c r="G1019" s="684" t="s">
        <v>146</v>
      </c>
      <c r="H1019" s="684"/>
      <c r="I1019" s="686"/>
      <c r="J1019" s="684"/>
      <c r="K1019" s="684" t="s">
        <v>3</v>
      </c>
      <c r="L1019" s="687" t="s">
        <v>143</v>
      </c>
      <c r="M1019" s="687"/>
      <c r="N1019" s="687"/>
      <c r="O1019" s="687"/>
      <c r="P1019" s="687"/>
      <c r="Q1019" s="688"/>
      <c r="R1019" s="689">
        <f ca="1">SUM(R1015:R1018)</f>
        <v>0</v>
      </c>
      <c r="S1019" s="684"/>
      <c r="T1019" s="689">
        <f ca="1">SUM(T1015:T1018)</f>
        <v>0</v>
      </c>
      <c r="U1019" s="611"/>
      <c r="V1019" s="611"/>
      <c r="W1019" s="611"/>
      <c r="X1019" s="611"/>
      <c r="Y1019" s="611"/>
      <c r="Z1019" s="611"/>
      <c r="AA1019" s="611"/>
      <c r="AB1019" s="611"/>
      <c r="AC1019" s="611"/>
      <c r="AD1019" s="611"/>
      <c r="AE1019" s="611"/>
      <c r="AF1019" s="611"/>
      <c r="AG1019" s="611"/>
      <c r="AH1019" s="611"/>
      <c r="AI1019" s="611"/>
      <c r="AJ1019" s="611"/>
      <c r="AK1019" s="611"/>
      <c r="AL1019" s="611"/>
      <c r="AM1019" s="611"/>
      <c r="AN1019" s="611"/>
      <c r="AO1019" s="611"/>
    </row>
    <row r="1020" spans="1:256" s="602" customFormat="1" ht="12" customHeight="1" thickTop="1">
      <c r="A1020" s="63"/>
      <c r="B1020" s="41"/>
      <c r="C1020" s="63"/>
      <c r="E1020" s="42" t="s">
        <v>138</v>
      </c>
      <c r="F1020" s="42" t="s">
        <v>139</v>
      </c>
      <c r="G1020" s="63"/>
      <c r="H1020" s="63"/>
      <c r="I1020" s="63"/>
      <c r="J1020" s="63"/>
      <c r="K1020" s="63" t="s">
        <v>140</v>
      </c>
      <c r="L1020" s="63"/>
      <c r="M1020" s="63"/>
      <c r="N1020" s="63"/>
      <c r="O1020" s="64"/>
      <c r="P1020" s="63"/>
      <c r="Q1020" s="63"/>
      <c r="R1020" s="63"/>
      <c r="S1020" s="63"/>
      <c r="T1020" s="41"/>
      <c r="AG1020" s="667" t="s">
        <v>278</v>
      </c>
      <c r="AH1020" s="667" t="s">
        <v>279</v>
      </c>
      <c r="AI1020" s="667" t="s">
        <v>280</v>
      </c>
      <c r="AJ1020" s="667" t="s">
        <v>281</v>
      </c>
      <c r="AK1020" s="667" t="s">
        <v>282</v>
      </c>
      <c r="AM1020" s="668" t="s">
        <v>291</v>
      </c>
      <c r="AN1020" s="669" t="s">
        <v>292</v>
      </c>
      <c r="AO1020" s="603" t="s">
        <v>288</v>
      </c>
    </row>
    <row r="1021" spans="1:256" s="602" customFormat="1" ht="39.9" customHeight="1">
      <c r="A1021" s="670">
        <v>5</v>
      </c>
      <c r="B1021" s="671" t="s">
        <v>330</v>
      </c>
      <c r="C1021" s="672"/>
      <c r="D1021" s="673" t="s">
        <v>544</v>
      </c>
      <c r="E1021" s="674">
        <f ca="1">IF(AND($A1021=0,$A$1="DIF"),0, ROUND(ROUND(($R1026*$S$2+($T1026*$T$2))/A1021,2)*$C$2,2))</f>
        <v>0</v>
      </c>
      <c r="F1021" s="675">
        <f ca="1">ROUND($A1021*$E1021,2)</f>
        <v>0</v>
      </c>
      <c r="G1021" s="676" t="s">
        <v>142</v>
      </c>
      <c r="H1021" s="664"/>
      <c r="I1021" s="677"/>
      <c r="J1021" s="664"/>
      <c r="K1021" s="664" t="s">
        <v>3</v>
      </c>
      <c r="L1021" s="678" t="s">
        <v>143</v>
      </c>
      <c r="M1021" s="678"/>
      <c r="N1021" s="678"/>
      <c r="O1021" s="678"/>
      <c r="P1021" s="678"/>
      <c r="Q1021" s="63"/>
      <c r="T1021" s="679" t="str">
        <f ca="1">IF(AND($R1026=0,$T1026=0),"0.00","mu :" &amp; ROUND($F1021/$C$2/($R1026+$T1026*$D$9),2))</f>
        <v>0.00</v>
      </c>
      <c r="W1021" s="604"/>
      <c r="AG1021" s="549">
        <f ca="1">IF($E1021=0,0,ROUND($R1026*$S$2*$C$2/$A1021,2))</f>
        <v>0</v>
      </c>
      <c r="AH1021" s="549">
        <f ca="1">$AG1021*$A1021</f>
        <v>0</v>
      </c>
      <c r="AI1021" s="605">
        <f ca="1">$E1021-$AG1021</f>
        <v>0</v>
      </c>
      <c r="AJ1021" s="605">
        <f ca="1">$A1021*$AI1021</f>
        <v>0</v>
      </c>
      <c r="AK1021" s="606">
        <f ca="1">ROUND(($AG1021+$AI1021)*$A1021,2)</f>
        <v>0</v>
      </c>
      <c r="AM1021" s="607">
        <f ca="1">ROUND(R1026,2)</f>
        <v>0</v>
      </c>
      <c r="AN1021" s="608">
        <f ca="1">ROUND(T1026,2)</f>
        <v>0</v>
      </c>
      <c r="AO1021" s="609">
        <f ca="1">ROUND(AM1021+AN1021,2)*A1021</f>
        <v>0</v>
      </c>
    </row>
    <row r="1022" spans="1:256" s="713" customFormat="1" ht="13.2">
      <c r="A1022" s="672"/>
      <c r="B1022"/>
      <c r="C1022" s="672"/>
      <c r="D1022" s="1368" t="s">
        <v>400</v>
      </c>
      <c r="E1022" s="1369"/>
      <c r="F1022" s="1369"/>
      <c r="G1022" s="1369"/>
      <c r="H1022" s="1369"/>
      <c r="I1022" s="1369"/>
      <c r="J1022" s="1369"/>
      <c r="K1022" s="1369"/>
      <c r="L1022" s="1369"/>
      <c r="M1022" s="1369"/>
      <c r="N1022" s="1369"/>
      <c r="O1022" s="1369"/>
      <c r="P1022" s="1369"/>
      <c r="Q1022" s="1369"/>
      <c r="R1022" s="1369"/>
      <c r="S1022" s="1369"/>
      <c r="T1022" s="1369"/>
      <c r="U1022" s="602"/>
      <c r="V1022" s="602"/>
      <c r="W1022" s="602"/>
      <c r="X1022" s="602"/>
      <c r="Y1022" s="602"/>
      <c r="Z1022" s="602"/>
      <c r="AA1022" s="602"/>
      <c r="AB1022" s="602"/>
      <c r="AC1022" s="602"/>
      <c r="AD1022" s="602"/>
      <c r="AE1022" s="602"/>
      <c r="AF1022" s="602"/>
      <c r="AG1022" s="602"/>
      <c r="AH1022" s="602"/>
      <c r="AI1022" s="602"/>
      <c r="AJ1022" s="602"/>
      <c r="AK1022" s="602"/>
      <c r="AL1022" s="602"/>
      <c r="AM1022" s="602"/>
      <c r="AN1022" s="602"/>
      <c r="AO1022" s="602"/>
      <c r="AP1022" s="602"/>
      <c r="AQ1022" s="602"/>
      <c r="AR1022" s="602"/>
      <c r="AS1022" s="602"/>
      <c r="AT1022" s="602"/>
      <c r="AU1022" s="602"/>
      <c r="AV1022" s="602"/>
      <c r="AW1022" s="602"/>
      <c r="AX1022" s="602"/>
      <c r="AY1022" s="602"/>
      <c r="AZ1022" s="602"/>
      <c r="BA1022" s="602"/>
      <c r="BB1022" s="602"/>
      <c r="BC1022" s="602"/>
      <c r="BD1022" s="602"/>
      <c r="BE1022" s="602"/>
      <c r="BF1022" s="602"/>
      <c r="BG1022" s="602"/>
      <c r="BH1022" s="602"/>
      <c r="BI1022" s="602"/>
      <c r="BJ1022" s="602"/>
      <c r="BK1022" s="602"/>
      <c r="BL1022" s="602"/>
      <c r="BM1022" s="602"/>
      <c r="BN1022" s="602"/>
      <c r="BO1022" s="602"/>
      <c r="BP1022" s="602"/>
      <c r="BQ1022" s="602"/>
      <c r="BR1022" s="602"/>
      <c r="BS1022" s="602"/>
      <c r="BT1022" s="602"/>
      <c r="BU1022" s="602"/>
      <c r="BV1022" s="602"/>
      <c r="BW1022" s="602"/>
      <c r="BX1022" s="602"/>
      <c r="BY1022" s="602"/>
      <c r="BZ1022" s="602"/>
      <c r="CA1022" s="602"/>
      <c r="CB1022" s="602"/>
      <c r="CC1022" s="602"/>
      <c r="CD1022" s="602"/>
      <c r="CE1022" s="602"/>
      <c r="CF1022" s="602"/>
      <c r="CG1022" s="602"/>
      <c r="CH1022" s="602"/>
      <c r="CI1022" s="602"/>
      <c r="CJ1022" s="602"/>
      <c r="CK1022" s="602"/>
      <c r="CL1022" s="602"/>
      <c r="CM1022" s="602"/>
      <c r="CN1022" s="602"/>
      <c r="CO1022" s="602"/>
      <c r="CP1022" s="602"/>
      <c r="CQ1022" s="602"/>
      <c r="CR1022" s="602"/>
      <c r="CS1022" s="602"/>
      <c r="CT1022" s="602"/>
      <c r="CU1022" s="602"/>
      <c r="CV1022" s="602"/>
      <c r="CW1022" s="602"/>
      <c r="CX1022" s="602"/>
      <c r="CY1022" s="602"/>
      <c r="CZ1022" s="602"/>
      <c r="DA1022" s="602"/>
      <c r="DB1022" s="602"/>
      <c r="DC1022" s="602"/>
      <c r="DD1022" s="602"/>
      <c r="DE1022" s="602"/>
      <c r="DF1022" s="602"/>
      <c r="DG1022" s="602"/>
      <c r="DH1022" s="602"/>
      <c r="DI1022" s="602"/>
      <c r="DJ1022" s="602"/>
      <c r="DK1022" s="602"/>
      <c r="DL1022" s="602"/>
      <c r="DM1022" s="602"/>
      <c r="DN1022" s="602"/>
      <c r="DO1022" s="602"/>
      <c r="DP1022" s="602"/>
      <c r="DQ1022" s="602"/>
      <c r="DR1022" s="602"/>
      <c r="DS1022" s="602"/>
      <c r="DT1022" s="602"/>
      <c r="DU1022" s="602"/>
      <c r="DV1022" s="602"/>
      <c r="DW1022" s="602"/>
      <c r="DX1022" s="602"/>
      <c r="DY1022" s="602"/>
      <c r="DZ1022" s="602"/>
      <c r="EA1022" s="602"/>
      <c r="EB1022" s="602"/>
      <c r="EC1022" s="602"/>
      <c r="ED1022" s="602"/>
      <c r="EE1022" s="602"/>
      <c r="EF1022" s="602"/>
      <c r="EG1022" s="602"/>
      <c r="EH1022" s="602"/>
      <c r="EI1022" s="602"/>
      <c r="EJ1022" s="602"/>
      <c r="EK1022" s="602"/>
      <c r="EL1022" s="602"/>
      <c r="EM1022" s="602"/>
      <c r="EN1022" s="602"/>
      <c r="EO1022" s="602"/>
      <c r="EP1022" s="602"/>
      <c r="EQ1022" s="602"/>
      <c r="ER1022" s="602"/>
      <c r="ES1022" s="602"/>
      <c r="ET1022" s="602"/>
      <c r="EU1022" s="602"/>
      <c r="EV1022" s="602"/>
      <c r="EW1022" s="602"/>
      <c r="EX1022" s="602"/>
      <c r="EY1022" s="602"/>
      <c r="EZ1022" s="602"/>
      <c r="FA1022" s="602"/>
      <c r="FB1022" s="602"/>
      <c r="FC1022" s="602"/>
      <c r="FD1022" s="602"/>
      <c r="FE1022" s="602"/>
      <c r="FF1022" s="602"/>
      <c r="FG1022" s="602"/>
      <c r="FH1022" s="602"/>
      <c r="FI1022" s="602"/>
      <c r="FJ1022" s="602"/>
      <c r="FK1022" s="602"/>
      <c r="FL1022" s="602"/>
      <c r="FM1022" s="602"/>
      <c r="FN1022" s="602"/>
      <c r="FO1022" s="602"/>
      <c r="FP1022" s="602"/>
      <c r="FQ1022" s="602"/>
      <c r="FR1022" s="602"/>
      <c r="FS1022" s="602"/>
      <c r="FT1022" s="602"/>
      <c r="FU1022" s="602"/>
      <c r="FV1022" s="602"/>
      <c r="FW1022" s="602"/>
      <c r="FX1022" s="602"/>
      <c r="FY1022" s="602"/>
      <c r="FZ1022" s="602"/>
      <c r="GA1022" s="602"/>
      <c r="GB1022" s="602"/>
      <c r="GC1022" s="602"/>
      <c r="GD1022" s="602"/>
      <c r="GE1022" s="602"/>
      <c r="GF1022" s="602"/>
      <c r="GG1022" s="602"/>
      <c r="GH1022" s="602"/>
      <c r="GI1022" s="602"/>
      <c r="GJ1022" s="602"/>
      <c r="GK1022" s="602"/>
      <c r="GL1022" s="602"/>
      <c r="GM1022" s="602"/>
      <c r="GN1022" s="602"/>
      <c r="GO1022" s="602"/>
      <c r="GP1022" s="602"/>
      <c r="GQ1022" s="602"/>
      <c r="GR1022" s="602"/>
      <c r="GS1022" s="602"/>
      <c r="GT1022" s="602"/>
      <c r="GU1022" s="602"/>
      <c r="GV1022" s="602"/>
      <c r="GW1022" s="602"/>
      <c r="GX1022" s="602"/>
      <c r="GY1022" s="602"/>
      <c r="GZ1022" s="602"/>
      <c r="HA1022" s="602"/>
      <c r="HB1022" s="602"/>
      <c r="HC1022" s="602"/>
      <c r="HD1022" s="602"/>
      <c r="HE1022" s="602"/>
      <c r="HF1022" s="602"/>
      <c r="HG1022" s="602"/>
      <c r="HH1022" s="602"/>
      <c r="HI1022" s="602"/>
      <c r="HJ1022" s="602"/>
      <c r="HK1022" s="602"/>
      <c r="HL1022" s="602"/>
      <c r="HM1022" s="602"/>
      <c r="HN1022" s="602"/>
      <c r="HO1022" s="602"/>
      <c r="HP1022" s="602"/>
      <c r="HQ1022" s="602"/>
      <c r="HR1022" s="602"/>
      <c r="HS1022" s="602"/>
      <c r="HT1022" s="602"/>
      <c r="HU1022" s="602"/>
      <c r="HV1022" s="602"/>
      <c r="HW1022" s="602"/>
      <c r="HX1022" s="602"/>
      <c r="HY1022" s="602"/>
      <c r="HZ1022" s="602"/>
      <c r="IA1022" s="602"/>
      <c r="IB1022" s="602"/>
      <c r="IC1022" s="602"/>
      <c r="ID1022" s="602"/>
      <c r="IE1022" s="602"/>
      <c r="IF1022" s="602"/>
      <c r="IG1022" s="602"/>
      <c r="IH1022" s="602"/>
      <c r="II1022" s="602"/>
      <c r="IJ1022" s="602"/>
      <c r="IK1022" s="602"/>
      <c r="IL1022" s="602"/>
      <c r="IM1022" s="602"/>
      <c r="IN1022" s="602"/>
      <c r="IO1022" s="602"/>
      <c r="IP1022" s="602"/>
      <c r="IQ1022" s="602"/>
      <c r="IR1022" s="602"/>
      <c r="IS1022" s="602"/>
      <c r="IT1022" s="602"/>
      <c r="IU1022" s="602"/>
      <c r="IV1022" s="602"/>
    </row>
    <row r="1023" spans="1:256" s="713" customFormat="1" ht="13.2">
      <c r="A1023"/>
      <c r="B1023" s="807"/>
      <c r="C1023" s="807" t="s">
        <v>692</v>
      </c>
      <c r="D1023" s="807" t="str">
        <f ca="1">CELL("Address",Elec_Rates!D$240)</f>
        <v>[E25_0477_IH_Retro_Elec_Est_Rev_A_AW.xlsx]Elec_Rates!$D$240</v>
      </c>
      <c r="E1023" s="808"/>
      <c r="F1023" s="808"/>
      <c r="G1023" s="809" t="s">
        <v>693</v>
      </c>
      <c r="H1023" s="809"/>
      <c r="I1023" s="809"/>
      <c r="J1023" s="809"/>
      <c r="K1023" s="810"/>
      <c r="L1023" s="808"/>
      <c r="M1023" s="808"/>
      <c r="N1023" s="808"/>
      <c r="O1023" s="811"/>
      <c r="P1023" s="808"/>
      <c r="Q1023" s="812"/>
      <c r="R1023" s="813"/>
      <c r="S1023" s="812"/>
      <c r="T1023" s="814"/>
      <c r="U1023" s="815"/>
    </row>
    <row r="1024" spans="1:256" s="602" customFormat="1" ht="11.4">
      <c r="A1024" s="816">
        <v>5</v>
      </c>
      <c r="B1024" s="817">
        <v>1</v>
      </c>
      <c r="C1024" s="817">
        <f>$A1024*$B1024</f>
        <v>5</v>
      </c>
      <c r="D1024" s="818" t="str">
        <f>Elec_Rates!$D$240</f>
        <v>011# 4core x 4.0 mm2 XLPE/SWA/LSZH/Cu</v>
      </c>
      <c r="E1024" s="818"/>
      <c r="F1024" s="818" t="s">
        <v>694</v>
      </c>
      <c r="G1024" s="819" t="s">
        <v>696</v>
      </c>
      <c r="H1024" s="819"/>
      <c r="I1024" s="819"/>
      <c r="J1024" s="819"/>
      <c r="K1024" s="820"/>
      <c r="L1024" s="815"/>
      <c r="M1024" s="815"/>
      <c r="N1024" s="815"/>
      <c r="O1024" s="821"/>
      <c r="P1024" s="818"/>
      <c r="Q1024" s="822">
        <f ca="1">$B1024*Elec_Rates!$R$240</f>
        <v>0</v>
      </c>
      <c r="R1024" s="813">
        <f ca="1">$A1024*Q1024</f>
        <v>0</v>
      </c>
      <c r="S1024" s="822">
        <f ca="1">$B1024*Elec_Rates!$T$240</f>
        <v>0</v>
      </c>
      <c r="T1024" s="814">
        <f ca="1">$A1024*S1024</f>
        <v>0</v>
      </c>
      <c r="U1024" s="583"/>
      <c r="V1024" s="713"/>
      <c r="W1024" s="713"/>
      <c r="X1024" s="713"/>
      <c r="Y1024" s="713"/>
      <c r="Z1024" s="713"/>
      <c r="AA1024" s="713"/>
      <c r="AB1024" s="713"/>
      <c r="AC1024" s="713"/>
      <c r="AD1024" s="713"/>
      <c r="AE1024" s="713"/>
      <c r="AF1024" s="713"/>
      <c r="AG1024" s="713"/>
      <c r="AH1024" s="713"/>
      <c r="AI1024" s="713"/>
      <c r="AJ1024" s="713"/>
      <c r="AK1024" s="713"/>
      <c r="AL1024" s="713"/>
      <c r="AM1024" s="713"/>
      <c r="AN1024" s="713"/>
      <c r="AO1024" s="713"/>
      <c r="AP1024" s="713"/>
      <c r="AQ1024" s="713"/>
      <c r="AR1024" s="713"/>
      <c r="AS1024" s="713"/>
      <c r="AT1024" s="713"/>
      <c r="AU1024" s="713"/>
      <c r="AV1024" s="713"/>
      <c r="AW1024" s="713"/>
      <c r="AX1024" s="713"/>
      <c r="AY1024" s="713"/>
      <c r="AZ1024" s="713"/>
      <c r="BA1024" s="713"/>
      <c r="BB1024" s="713"/>
      <c r="BC1024" s="713"/>
      <c r="BD1024" s="713"/>
      <c r="BE1024" s="713"/>
      <c r="BF1024" s="713"/>
      <c r="BG1024" s="713"/>
      <c r="BH1024" s="713"/>
      <c r="BI1024" s="713"/>
      <c r="BJ1024" s="713"/>
      <c r="BK1024" s="713"/>
      <c r="BL1024" s="713"/>
      <c r="BM1024" s="713"/>
      <c r="BN1024" s="713"/>
      <c r="BO1024" s="713"/>
      <c r="BP1024" s="713"/>
      <c r="BQ1024" s="713"/>
      <c r="BR1024" s="713"/>
      <c r="BS1024" s="713"/>
      <c r="BT1024" s="713"/>
      <c r="BU1024" s="713"/>
      <c r="BV1024" s="713"/>
      <c r="BW1024" s="713"/>
      <c r="BX1024" s="713"/>
      <c r="BY1024" s="713"/>
      <c r="BZ1024" s="713"/>
      <c r="CA1024" s="713"/>
      <c r="CB1024" s="713"/>
      <c r="CC1024" s="713"/>
      <c r="CD1024" s="713"/>
      <c r="CE1024" s="713"/>
      <c r="CF1024" s="713"/>
      <c r="CG1024" s="713"/>
      <c r="CH1024" s="713"/>
      <c r="CI1024" s="713"/>
      <c r="CJ1024" s="713"/>
      <c r="CK1024" s="713"/>
      <c r="CL1024" s="713"/>
      <c r="CM1024" s="713"/>
      <c r="CN1024" s="713"/>
      <c r="CO1024" s="713"/>
      <c r="CP1024" s="713"/>
      <c r="CQ1024" s="713"/>
      <c r="CR1024" s="713"/>
      <c r="CS1024" s="713"/>
      <c r="CT1024" s="713"/>
      <c r="CU1024" s="713"/>
      <c r="CV1024" s="713"/>
      <c r="CW1024" s="713"/>
      <c r="CX1024" s="713"/>
      <c r="CY1024" s="713"/>
      <c r="CZ1024" s="713"/>
      <c r="DA1024" s="713"/>
      <c r="DB1024" s="713"/>
      <c r="DC1024" s="713"/>
      <c r="DD1024" s="713"/>
      <c r="DE1024" s="713"/>
      <c r="DF1024" s="713"/>
      <c r="DG1024" s="713"/>
      <c r="DH1024" s="713"/>
      <c r="DI1024" s="713"/>
      <c r="DJ1024" s="713"/>
      <c r="DK1024" s="713"/>
      <c r="DL1024" s="713"/>
      <c r="DM1024" s="713"/>
      <c r="DN1024" s="713"/>
      <c r="DO1024" s="713"/>
      <c r="DP1024" s="713"/>
      <c r="DQ1024" s="713"/>
      <c r="DR1024" s="713"/>
      <c r="DS1024" s="713"/>
      <c r="DT1024" s="713"/>
      <c r="DU1024" s="713"/>
      <c r="DV1024" s="713"/>
      <c r="DW1024" s="713"/>
      <c r="DX1024" s="713"/>
      <c r="DY1024" s="713"/>
      <c r="DZ1024" s="713"/>
      <c r="EA1024" s="713"/>
      <c r="EB1024" s="713"/>
      <c r="EC1024" s="713"/>
      <c r="ED1024" s="713"/>
      <c r="EE1024" s="713"/>
      <c r="EF1024" s="713"/>
      <c r="EG1024" s="713"/>
      <c r="EH1024" s="713"/>
      <c r="EI1024" s="713"/>
      <c r="EJ1024" s="713"/>
      <c r="EK1024" s="713"/>
      <c r="EL1024" s="713"/>
      <c r="EM1024" s="713"/>
      <c r="EN1024" s="713"/>
      <c r="EO1024" s="713"/>
      <c r="EP1024" s="713"/>
      <c r="EQ1024" s="713"/>
      <c r="ER1024" s="713"/>
      <c r="ES1024" s="713"/>
      <c r="ET1024" s="713"/>
      <c r="EU1024" s="713"/>
      <c r="EV1024" s="713"/>
      <c r="EW1024" s="713"/>
      <c r="EX1024" s="713"/>
      <c r="EY1024" s="713"/>
      <c r="EZ1024" s="713"/>
      <c r="FA1024" s="713"/>
      <c r="FB1024" s="713"/>
      <c r="FC1024" s="713"/>
      <c r="FD1024" s="713"/>
      <c r="FE1024" s="713"/>
      <c r="FF1024" s="713"/>
      <c r="FG1024" s="713"/>
      <c r="FH1024" s="713"/>
      <c r="FI1024" s="713"/>
      <c r="FJ1024" s="713"/>
      <c r="FK1024" s="713"/>
      <c r="FL1024" s="713"/>
      <c r="FM1024" s="713"/>
      <c r="FN1024" s="713"/>
      <c r="FO1024" s="713"/>
      <c r="FP1024" s="713"/>
      <c r="FQ1024" s="713"/>
      <c r="FR1024" s="713"/>
      <c r="FS1024" s="713"/>
      <c r="FT1024" s="713"/>
      <c r="FU1024" s="713"/>
      <c r="FV1024" s="713"/>
      <c r="FW1024" s="713"/>
      <c r="FX1024" s="713"/>
      <c r="FY1024" s="713"/>
      <c r="FZ1024" s="713"/>
      <c r="GA1024" s="713"/>
      <c r="GB1024" s="713"/>
      <c r="GC1024" s="713"/>
      <c r="GD1024" s="713"/>
      <c r="GE1024" s="713"/>
      <c r="GF1024" s="713"/>
      <c r="GG1024" s="713"/>
      <c r="GH1024" s="713"/>
      <c r="GI1024" s="713"/>
      <c r="GJ1024" s="713"/>
      <c r="GK1024" s="713"/>
      <c r="GL1024" s="713"/>
      <c r="GM1024" s="713"/>
      <c r="GN1024" s="713"/>
      <c r="GO1024" s="713"/>
      <c r="GP1024" s="713"/>
      <c r="GQ1024" s="713"/>
      <c r="GR1024" s="713"/>
      <c r="GS1024" s="713"/>
      <c r="GT1024" s="713"/>
      <c r="GU1024" s="713"/>
      <c r="GV1024" s="713"/>
      <c r="GW1024" s="713"/>
      <c r="GX1024" s="713"/>
      <c r="GY1024" s="713"/>
      <c r="GZ1024" s="713"/>
      <c r="HA1024" s="713"/>
      <c r="HB1024" s="713"/>
      <c r="HC1024" s="713"/>
      <c r="HD1024" s="713"/>
      <c r="HE1024" s="713"/>
      <c r="HF1024" s="713"/>
      <c r="HG1024" s="713"/>
      <c r="HH1024" s="713"/>
      <c r="HI1024" s="713"/>
      <c r="HJ1024" s="713"/>
      <c r="HK1024" s="713"/>
      <c r="HL1024" s="713"/>
      <c r="HM1024" s="713"/>
      <c r="HN1024" s="713"/>
      <c r="HO1024" s="713"/>
      <c r="HP1024" s="713"/>
      <c r="HQ1024" s="713"/>
      <c r="HR1024" s="713"/>
      <c r="HS1024" s="713"/>
      <c r="HT1024" s="713"/>
      <c r="HU1024" s="713"/>
      <c r="HV1024" s="713"/>
      <c r="HW1024" s="713"/>
      <c r="HX1024" s="713"/>
      <c r="HY1024" s="713"/>
      <c r="HZ1024" s="713"/>
      <c r="IA1024" s="713"/>
      <c r="IB1024" s="713"/>
      <c r="IC1024" s="713"/>
      <c r="ID1024" s="713"/>
      <c r="IE1024" s="713"/>
      <c r="IF1024" s="713"/>
      <c r="IG1024" s="713"/>
      <c r="IH1024" s="713"/>
      <c r="II1024" s="713"/>
      <c r="IJ1024" s="713"/>
      <c r="IK1024" s="713"/>
      <c r="IL1024" s="713"/>
      <c r="IM1024" s="713"/>
      <c r="IN1024" s="713"/>
      <c r="IO1024" s="713"/>
      <c r="IP1024" s="713"/>
      <c r="IQ1024" s="713"/>
      <c r="IR1024" s="713"/>
      <c r="IS1024" s="713"/>
      <c r="IT1024" s="713"/>
      <c r="IU1024" s="713"/>
      <c r="IV1024" s="713"/>
    </row>
    <row r="1025" spans="1:256" s="602" customFormat="1" ht="12">
      <c r="A1025" s="663"/>
      <c r="B1025" s="663"/>
      <c r="C1025" s="663"/>
      <c r="D1025" s="663"/>
      <c r="E1025" s="663"/>
      <c r="F1025" s="664"/>
      <c r="G1025" s="663"/>
      <c r="H1025" s="663"/>
      <c r="I1025" s="601"/>
      <c r="J1025" s="663"/>
      <c r="K1025" s="663"/>
      <c r="L1025" s="663"/>
      <c r="M1025" s="663"/>
      <c r="N1025" s="663"/>
      <c r="O1025" s="663"/>
      <c r="P1025" s="663"/>
      <c r="Q1025" s="601"/>
      <c r="R1025" s="666">
        <f>$A1025*Q1025</f>
        <v>0</v>
      </c>
      <c r="S1025" s="601"/>
      <c r="T1025" s="681">
        <f>$A1025*S1025*$T$1</f>
        <v>0</v>
      </c>
    </row>
    <row r="1026" spans="1:256" s="602" customFormat="1" ht="12.6" thickBot="1">
      <c r="A1026" s="682" t="s">
        <v>145</v>
      </c>
      <c r="B1026" s="683">
        <f>(R1025+T1025)</f>
        <v>0</v>
      </c>
      <c r="C1026" s="684"/>
      <c r="D1026" s="684"/>
      <c r="E1026" s="684"/>
      <c r="F1026" s="685"/>
      <c r="G1026" s="684" t="s">
        <v>146</v>
      </c>
      <c r="H1026" s="684"/>
      <c r="I1026" s="686"/>
      <c r="J1026" s="684"/>
      <c r="K1026" s="684" t="s">
        <v>3</v>
      </c>
      <c r="L1026" s="687" t="s">
        <v>143</v>
      </c>
      <c r="M1026" s="687"/>
      <c r="N1026" s="687"/>
      <c r="O1026" s="687"/>
      <c r="P1026" s="687"/>
      <c r="Q1026" s="688"/>
      <c r="R1026" s="689">
        <f ca="1">SUM(R1022:R1025)</f>
        <v>0</v>
      </c>
      <c r="S1026" s="684"/>
      <c r="T1026" s="689">
        <f ca="1">SUM(T1022:T1025)</f>
        <v>0</v>
      </c>
      <c r="U1026" s="611"/>
      <c r="V1026" s="611"/>
      <c r="W1026" s="611"/>
      <c r="X1026" s="611"/>
      <c r="Y1026" s="611"/>
      <c r="Z1026" s="611"/>
      <c r="AA1026" s="611"/>
      <c r="AB1026" s="611"/>
      <c r="AC1026" s="611"/>
      <c r="AD1026" s="611"/>
      <c r="AE1026" s="611"/>
      <c r="AF1026" s="611"/>
      <c r="AG1026" s="611"/>
      <c r="AH1026" s="611"/>
      <c r="AI1026" s="611"/>
      <c r="AJ1026" s="611"/>
      <c r="AK1026" s="611"/>
      <c r="AL1026" s="611"/>
      <c r="AM1026" s="611"/>
      <c r="AN1026" s="611"/>
      <c r="AO1026" s="611"/>
    </row>
    <row r="1027" spans="1:256" s="602" customFormat="1" ht="12" customHeight="1" thickTop="1">
      <c r="A1027" s="63"/>
      <c r="B1027" s="41"/>
      <c r="C1027" s="63"/>
      <c r="E1027" s="42" t="s">
        <v>138</v>
      </c>
      <c r="F1027" s="42" t="s">
        <v>139</v>
      </c>
      <c r="G1027" s="63"/>
      <c r="H1027" s="63"/>
      <c r="I1027" s="63"/>
      <c r="J1027" s="63"/>
      <c r="K1027" s="63" t="s">
        <v>140</v>
      </c>
      <c r="L1027" s="63"/>
      <c r="M1027" s="63"/>
      <c r="N1027" s="63"/>
      <c r="O1027" s="64"/>
      <c r="P1027" s="63"/>
      <c r="Q1027" s="63"/>
      <c r="R1027" s="63"/>
      <c r="S1027" s="63"/>
      <c r="T1027" s="41"/>
      <c r="AG1027" s="667" t="s">
        <v>278</v>
      </c>
      <c r="AH1027" s="667" t="s">
        <v>279</v>
      </c>
      <c r="AI1027" s="667" t="s">
        <v>280</v>
      </c>
      <c r="AJ1027" s="667" t="s">
        <v>281</v>
      </c>
      <c r="AK1027" s="667" t="s">
        <v>282</v>
      </c>
      <c r="AM1027" s="668" t="s">
        <v>291</v>
      </c>
      <c r="AN1027" s="669" t="s">
        <v>292</v>
      </c>
      <c r="AO1027" s="603" t="s">
        <v>288</v>
      </c>
    </row>
    <row r="1028" spans="1:256" s="602" customFormat="1" ht="39.9" customHeight="1">
      <c r="A1028" s="670">
        <v>5</v>
      </c>
      <c r="B1028" s="671" t="s">
        <v>330</v>
      </c>
      <c r="C1028" s="672"/>
      <c r="D1028" s="673" t="s">
        <v>545</v>
      </c>
      <c r="E1028" s="674">
        <f ca="1">IF(AND($A1028=0,$A$1="DIF"),0, ROUND(ROUND(($R1033*$S$2+($T1033*$T$2))/A1028,2)*$C$2,2))</f>
        <v>0</v>
      </c>
      <c r="F1028" s="675">
        <f ca="1">ROUND($A1028*$E1028,2)</f>
        <v>0</v>
      </c>
      <c r="G1028" s="676" t="s">
        <v>142</v>
      </c>
      <c r="H1028" s="664"/>
      <c r="I1028" s="677"/>
      <c r="J1028" s="664"/>
      <c r="K1028" s="664" t="s">
        <v>3</v>
      </c>
      <c r="L1028" s="678" t="s">
        <v>143</v>
      </c>
      <c r="M1028" s="678"/>
      <c r="N1028" s="678"/>
      <c r="O1028" s="678"/>
      <c r="P1028" s="678"/>
      <c r="Q1028" s="63"/>
      <c r="T1028" s="679" t="str">
        <f ca="1">IF(AND($R1033=0,$T1033=0),"0.00","mu :" &amp; ROUND($F1028/$C$2/($R1033+$T1033*$D$9),2))</f>
        <v>0.00</v>
      </c>
      <c r="W1028" s="604"/>
      <c r="AG1028" s="549">
        <f ca="1">IF($E1028=0,0,ROUND($R1033*$S$2*$C$2/$A1028,2))</f>
        <v>0</v>
      </c>
      <c r="AH1028" s="549">
        <f ca="1">$AG1028*$A1028</f>
        <v>0</v>
      </c>
      <c r="AI1028" s="605">
        <f ca="1">$E1028-$AG1028</f>
        <v>0</v>
      </c>
      <c r="AJ1028" s="605">
        <f ca="1">$A1028*$AI1028</f>
        <v>0</v>
      </c>
      <c r="AK1028" s="606">
        <f ca="1">ROUND(($AG1028+$AI1028)*$A1028,2)</f>
        <v>0</v>
      </c>
      <c r="AM1028" s="607">
        <f ca="1">ROUND(R1033,2)</f>
        <v>0</v>
      </c>
      <c r="AN1028" s="608">
        <f ca="1">ROUND(T1033,2)</f>
        <v>0</v>
      </c>
      <c r="AO1028" s="609">
        <f ca="1">ROUND(AM1028+AN1028,2)*A1028</f>
        <v>0</v>
      </c>
    </row>
    <row r="1029" spans="1:256" s="713" customFormat="1" ht="13.2">
      <c r="A1029" s="672"/>
      <c r="B1029"/>
      <c r="C1029" s="672"/>
      <c r="D1029" s="1368" t="s">
        <v>401</v>
      </c>
      <c r="E1029" s="1369"/>
      <c r="F1029" s="1369"/>
      <c r="G1029" s="1369"/>
      <c r="H1029" s="1369"/>
      <c r="I1029" s="1369"/>
      <c r="J1029" s="1369"/>
      <c r="K1029" s="1369"/>
      <c r="L1029" s="1369"/>
      <c r="M1029" s="1369"/>
      <c r="N1029" s="1369"/>
      <c r="O1029" s="1369"/>
      <c r="P1029" s="1369"/>
      <c r="Q1029" s="1369"/>
      <c r="R1029" s="1369"/>
      <c r="S1029" s="1369"/>
      <c r="T1029" s="1369"/>
      <c r="U1029" s="602"/>
      <c r="V1029" s="602"/>
      <c r="W1029" s="602"/>
      <c r="X1029" s="602"/>
      <c r="Y1029" s="602"/>
      <c r="Z1029" s="602"/>
      <c r="AA1029" s="602"/>
      <c r="AB1029" s="602"/>
      <c r="AC1029" s="602"/>
      <c r="AD1029" s="602"/>
      <c r="AE1029" s="602"/>
      <c r="AF1029" s="602"/>
      <c r="AG1029" s="602"/>
      <c r="AH1029" s="602"/>
      <c r="AI1029" s="602"/>
      <c r="AJ1029" s="602"/>
      <c r="AK1029" s="602"/>
      <c r="AL1029" s="602"/>
      <c r="AM1029" s="602"/>
      <c r="AN1029" s="602"/>
      <c r="AO1029" s="602"/>
      <c r="AP1029" s="602"/>
      <c r="AQ1029" s="602"/>
      <c r="AR1029" s="602"/>
      <c r="AS1029" s="602"/>
      <c r="AT1029" s="602"/>
      <c r="AU1029" s="602"/>
      <c r="AV1029" s="602"/>
      <c r="AW1029" s="602"/>
      <c r="AX1029" s="602"/>
      <c r="AY1029" s="602"/>
      <c r="AZ1029" s="602"/>
      <c r="BA1029" s="602"/>
      <c r="BB1029" s="602"/>
      <c r="BC1029" s="602"/>
      <c r="BD1029" s="602"/>
      <c r="BE1029" s="602"/>
      <c r="BF1029" s="602"/>
      <c r="BG1029" s="602"/>
      <c r="BH1029" s="602"/>
      <c r="BI1029" s="602"/>
      <c r="BJ1029" s="602"/>
      <c r="BK1029" s="602"/>
      <c r="BL1029" s="602"/>
      <c r="BM1029" s="602"/>
      <c r="BN1029" s="602"/>
      <c r="BO1029" s="602"/>
      <c r="BP1029" s="602"/>
      <c r="BQ1029" s="602"/>
      <c r="BR1029" s="602"/>
      <c r="BS1029" s="602"/>
      <c r="BT1029" s="602"/>
      <c r="BU1029" s="602"/>
      <c r="BV1029" s="602"/>
      <c r="BW1029" s="602"/>
      <c r="BX1029" s="602"/>
      <c r="BY1029" s="602"/>
      <c r="BZ1029" s="602"/>
      <c r="CA1029" s="602"/>
      <c r="CB1029" s="602"/>
      <c r="CC1029" s="602"/>
      <c r="CD1029" s="602"/>
      <c r="CE1029" s="602"/>
      <c r="CF1029" s="602"/>
      <c r="CG1029" s="602"/>
      <c r="CH1029" s="602"/>
      <c r="CI1029" s="602"/>
      <c r="CJ1029" s="602"/>
      <c r="CK1029" s="602"/>
      <c r="CL1029" s="602"/>
      <c r="CM1029" s="602"/>
      <c r="CN1029" s="602"/>
      <c r="CO1029" s="602"/>
      <c r="CP1029" s="602"/>
      <c r="CQ1029" s="602"/>
      <c r="CR1029" s="602"/>
      <c r="CS1029" s="602"/>
      <c r="CT1029" s="602"/>
      <c r="CU1029" s="602"/>
      <c r="CV1029" s="602"/>
      <c r="CW1029" s="602"/>
      <c r="CX1029" s="602"/>
      <c r="CY1029" s="602"/>
      <c r="CZ1029" s="602"/>
      <c r="DA1029" s="602"/>
      <c r="DB1029" s="602"/>
      <c r="DC1029" s="602"/>
      <c r="DD1029" s="602"/>
      <c r="DE1029" s="602"/>
      <c r="DF1029" s="602"/>
      <c r="DG1029" s="602"/>
      <c r="DH1029" s="602"/>
      <c r="DI1029" s="602"/>
      <c r="DJ1029" s="602"/>
      <c r="DK1029" s="602"/>
      <c r="DL1029" s="602"/>
      <c r="DM1029" s="602"/>
      <c r="DN1029" s="602"/>
      <c r="DO1029" s="602"/>
      <c r="DP1029" s="602"/>
      <c r="DQ1029" s="602"/>
      <c r="DR1029" s="602"/>
      <c r="DS1029" s="602"/>
      <c r="DT1029" s="602"/>
      <c r="DU1029" s="602"/>
      <c r="DV1029" s="602"/>
      <c r="DW1029" s="602"/>
      <c r="DX1029" s="602"/>
      <c r="DY1029" s="602"/>
      <c r="DZ1029" s="602"/>
      <c r="EA1029" s="602"/>
      <c r="EB1029" s="602"/>
      <c r="EC1029" s="602"/>
      <c r="ED1029" s="602"/>
      <c r="EE1029" s="602"/>
      <c r="EF1029" s="602"/>
      <c r="EG1029" s="602"/>
      <c r="EH1029" s="602"/>
      <c r="EI1029" s="602"/>
      <c r="EJ1029" s="602"/>
      <c r="EK1029" s="602"/>
      <c r="EL1029" s="602"/>
      <c r="EM1029" s="602"/>
      <c r="EN1029" s="602"/>
      <c r="EO1029" s="602"/>
      <c r="EP1029" s="602"/>
      <c r="EQ1029" s="602"/>
      <c r="ER1029" s="602"/>
      <c r="ES1029" s="602"/>
      <c r="ET1029" s="602"/>
      <c r="EU1029" s="602"/>
      <c r="EV1029" s="602"/>
      <c r="EW1029" s="602"/>
      <c r="EX1029" s="602"/>
      <c r="EY1029" s="602"/>
      <c r="EZ1029" s="602"/>
      <c r="FA1029" s="602"/>
      <c r="FB1029" s="602"/>
      <c r="FC1029" s="602"/>
      <c r="FD1029" s="602"/>
      <c r="FE1029" s="602"/>
      <c r="FF1029" s="602"/>
      <c r="FG1029" s="602"/>
      <c r="FH1029" s="602"/>
      <c r="FI1029" s="602"/>
      <c r="FJ1029" s="602"/>
      <c r="FK1029" s="602"/>
      <c r="FL1029" s="602"/>
      <c r="FM1029" s="602"/>
      <c r="FN1029" s="602"/>
      <c r="FO1029" s="602"/>
      <c r="FP1029" s="602"/>
      <c r="FQ1029" s="602"/>
      <c r="FR1029" s="602"/>
      <c r="FS1029" s="602"/>
      <c r="FT1029" s="602"/>
      <c r="FU1029" s="602"/>
      <c r="FV1029" s="602"/>
      <c r="FW1029" s="602"/>
      <c r="FX1029" s="602"/>
      <c r="FY1029" s="602"/>
      <c r="FZ1029" s="602"/>
      <c r="GA1029" s="602"/>
      <c r="GB1029" s="602"/>
      <c r="GC1029" s="602"/>
      <c r="GD1029" s="602"/>
      <c r="GE1029" s="602"/>
      <c r="GF1029" s="602"/>
      <c r="GG1029" s="602"/>
      <c r="GH1029" s="602"/>
      <c r="GI1029" s="602"/>
      <c r="GJ1029" s="602"/>
      <c r="GK1029" s="602"/>
      <c r="GL1029" s="602"/>
      <c r="GM1029" s="602"/>
      <c r="GN1029" s="602"/>
      <c r="GO1029" s="602"/>
      <c r="GP1029" s="602"/>
      <c r="GQ1029" s="602"/>
      <c r="GR1029" s="602"/>
      <c r="GS1029" s="602"/>
      <c r="GT1029" s="602"/>
      <c r="GU1029" s="602"/>
      <c r="GV1029" s="602"/>
      <c r="GW1029" s="602"/>
      <c r="GX1029" s="602"/>
      <c r="GY1029" s="602"/>
      <c r="GZ1029" s="602"/>
      <c r="HA1029" s="602"/>
      <c r="HB1029" s="602"/>
      <c r="HC1029" s="602"/>
      <c r="HD1029" s="602"/>
      <c r="HE1029" s="602"/>
      <c r="HF1029" s="602"/>
      <c r="HG1029" s="602"/>
      <c r="HH1029" s="602"/>
      <c r="HI1029" s="602"/>
      <c r="HJ1029" s="602"/>
      <c r="HK1029" s="602"/>
      <c r="HL1029" s="602"/>
      <c r="HM1029" s="602"/>
      <c r="HN1029" s="602"/>
      <c r="HO1029" s="602"/>
      <c r="HP1029" s="602"/>
      <c r="HQ1029" s="602"/>
      <c r="HR1029" s="602"/>
      <c r="HS1029" s="602"/>
      <c r="HT1029" s="602"/>
      <c r="HU1029" s="602"/>
      <c r="HV1029" s="602"/>
      <c r="HW1029" s="602"/>
      <c r="HX1029" s="602"/>
      <c r="HY1029" s="602"/>
      <c r="HZ1029" s="602"/>
      <c r="IA1029" s="602"/>
      <c r="IB1029" s="602"/>
      <c r="IC1029" s="602"/>
      <c r="ID1029" s="602"/>
      <c r="IE1029" s="602"/>
      <c r="IF1029" s="602"/>
      <c r="IG1029" s="602"/>
      <c r="IH1029" s="602"/>
      <c r="II1029" s="602"/>
      <c r="IJ1029" s="602"/>
      <c r="IK1029" s="602"/>
      <c r="IL1029" s="602"/>
      <c r="IM1029" s="602"/>
      <c r="IN1029" s="602"/>
      <c r="IO1029" s="602"/>
      <c r="IP1029" s="602"/>
      <c r="IQ1029" s="602"/>
      <c r="IR1029" s="602"/>
      <c r="IS1029" s="602"/>
      <c r="IT1029" s="602"/>
      <c r="IU1029" s="602"/>
      <c r="IV1029" s="602"/>
    </row>
    <row r="1030" spans="1:256" s="713" customFormat="1" ht="13.2">
      <c r="A1030"/>
      <c r="B1030" s="807"/>
      <c r="C1030" s="807" t="s">
        <v>692</v>
      </c>
      <c r="D1030" s="807" t="str">
        <f ca="1">CELL("Address",Elec_Rates!D$240)</f>
        <v>[E25_0477_IH_Retro_Elec_Est_Rev_A_AW.xlsx]Elec_Rates!$D$240</v>
      </c>
      <c r="E1030" s="808"/>
      <c r="F1030" s="808"/>
      <c r="G1030" s="809" t="s">
        <v>693</v>
      </c>
      <c r="H1030" s="809"/>
      <c r="I1030" s="809"/>
      <c r="J1030" s="809"/>
      <c r="K1030" s="810"/>
      <c r="L1030" s="808"/>
      <c r="M1030" s="808"/>
      <c r="N1030" s="808"/>
      <c r="O1030" s="811"/>
      <c r="P1030" s="808"/>
      <c r="Q1030" s="812"/>
      <c r="R1030" s="813"/>
      <c r="S1030" s="812"/>
      <c r="T1030" s="814"/>
      <c r="U1030" s="815"/>
    </row>
    <row r="1031" spans="1:256" s="602" customFormat="1" ht="11.4">
      <c r="A1031" s="816">
        <v>5</v>
      </c>
      <c r="B1031" s="817">
        <v>1</v>
      </c>
      <c r="C1031" s="817">
        <f>$A1031*$B1031</f>
        <v>5</v>
      </c>
      <c r="D1031" s="818" t="str">
        <f>Elec_Rates!$D$240</f>
        <v>011# 4core x 4.0 mm2 XLPE/SWA/LSZH/Cu</v>
      </c>
      <c r="E1031" s="818"/>
      <c r="F1031" s="818" t="s">
        <v>694</v>
      </c>
      <c r="G1031" s="819" t="s">
        <v>696</v>
      </c>
      <c r="H1031" s="819"/>
      <c r="I1031" s="819"/>
      <c r="J1031" s="819"/>
      <c r="K1031" s="820"/>
      <c r="L1031" s="815"/>
      <c r="M1031" s="815"/>
      <c r="N1031" s="815"/>
      <c r="O1031" s="821"/>
      <c r="P1031" s="818"/>
      <c r="Q1031" s="822">
        <f ca="1">$B1031*Elec_Rates!$R$240</f>
        <v>0</v>
      </c>
      <c r="R1031" s="813">
        <f ca="1">$A1031*Q1031</f>
        <v>0</v>
      </c>
      <c r="S1031" s="822">
        <f ca="1">$B1031*Elec_Rates!$T$240</f>
        <v>0</v>
      </c>
      <c r="T1031" s="814">
        <f ca="1">$A1031*S1031</f>
        <v>0</v>
      </c>
      <c r="U1031" s="583"/>
      <c r="V1031" s="713"/>
      <c r="W1031" s="713"/>
      <c r="X1031" s="713"/>
      <c r="Y1031" s="713"/>
      <c r="Z1031" s="713"/>
      <c r="AA1031" s="713"/>
      <c r="AB1031" s="713"/>
      <c r="AC1031" s="713"/>
      <c r="AD1031" s="713"/>
      <c r="AE1031" s="713"/>
      <c r="AF1031" s="713"/>
      <c r="AG1031" s="713"/>
      <c r="AH1031" s="713"/>
      <c r="AI1031" s="713"/>
      <c r="AJ1031" s="713"/>
      <c r="AK1031" s="713"/>
      <c r="AL1031" s="713"/>
      <c r="AM1031" s="713"/>
      <c r="AN1031" s="713"/>
      <c r="AO1031" s="713"/>
      <c r="AP1031" s="713"/>
      <c r="AQ1031" s="713"/>
      <c r="AR1031" s="713"/>
      <c r="AS1031" s="713"/>
      <c r="AT1031" s="713"/>
      <c r="AU1031" s="713"/>
      <c r="AV1031" s="713"/>
      <c r="AW1031" s="713"/>
      <c r="AX1031" s="713"/>
      <c r="AY1031" s="713"/>
      <c r="AZ1031" s="713"/>
      <c r="BA1031" s="713"/>
      <c r="BB1031" s="713"/>
      <c r="BC1031" s="713"/>
      <c r="BD1031" s="713"/>
      <c r="BE1031" s="713"/>
      <c r="BF1031" s="713"/>
      <c r="BG1031" s="713"/>
      <c r="BH1031" s="713"/>
      <c r="BI1031" s="713"/>
      <c r="BJ1031" s="713"/>
      <c r="BK1031" s="713"/>
      <c r="BL1031" s="713"/>
      <c r="BM1031" s="713"/>
      <c r="BN1031" s="713"/>
      <c r="BO1031" s="713"/>
      <c r="BP1031" s="713"/>
      <c r="BQ1031" s="713"/>
      <c r="BR1031" s="713"/>
      <c r="BS1031" s="713"/>
      <c r="BT1031" s="713"/>
      <c r="BU1031" s="713"/>
      <c r="BV1031" s="713"/>
      <c r="BW1031" s="713"/>
      <c r="BX1031" s="713"/>
      <c r="BY1031" s="713"/>
      <c r="BZ1031" s="713"/>
      <c r="CA1031" s="713"/>
      <c r="CB1031" s="713"/>
      <c r="CC1031" s="713"/>
      <c r="CD1031" s="713"/>
      <c r="CE1031" s="713"/>
      <c r="CF1031" s="713"/>
      <c r="CG1031" s="713"/>
      <c r="CH1031" s="713"/>
      <c r="CI1031" s="713"/>
      <c r="CJ1031" s="713"/>
      <c r="CK1031" s="713"/>
      <c r="CL1031" s="713"/>
      <c r="CM1031" s="713"/>
      <c r="CN1031" s="713"/>
      <c r="CO1031" s="713"/>
      <c r="CP1031" s="713"/>
      <c r="CQ1031" s="713"/>
      <c r="CR1031" s="713"/>
      <c r="CS1031" s="713"/>
      <c r="CT1031" s="713"/>
      <c r="CU1031" s="713"/>
      <c r="CV1031" s="713"/>
      <c r="CW1031" s="713"/>
      <c r="CX1031" s="713"/>
      <c r="CY1031" s="713"/>
      <c r="CZ1031" s="713"/>
      <c r="DA1031" s="713"/>
      <c r="DB1031" s="713"/>
      <c r="DC1031" s="713"/>
      <c r="DD1031" s="713"/>
      <c r="DE1031" s="713"/>
      <c r="DF1031" s="713"/>
      <c r="DG1031" s="713"/>
      <c r="DH1031" s="713"/>
      <c r="DI1031" s="713"/>
      <c r="DJ1031" s="713"/>
      <c r="DK1031" s="713"/>
      <c r="DL1031" s="713"/>
      <c r="DM1031" s="713"/>
      <c r="DN1031" s="713"/>
      <c r="DO1031" s="713"/>
      <c r="DP1031" s="713"/>
      <c r="DQ1031" s="713"/>
      <c r="DR1031" s="713"/>
      <c r="DS1031" s="713"/>
      <c r="DT1031" s="713"/>
      <c r="DU1031" s="713"/>
      <c r="DV1031" s="713"/>
      <c r="DW1031" s="713"/>
      <c r="DX1031" s="713"/>
      <c r="DY1031" s="713"/>
      <c r="DZ1031" s="713"/>
      <c r="EA1031" s="713"/>
      <c r="EB1031" s="713"/>
      <c r="EC1031" s="713"/>
      <c r="ED1031" s="713"/>
      <c r="EE1031" s="713"/>
      <c r="EF1031" s="713"/>
      <c r="EG1031" s="713"/>
      <c r="EH1031" s="713"/>
      <c r="EI1031" s="713"/>
      <c r="EJ1031" s="713"/>
      <c r="EK1031" s="713"/>
      <c r="EL1031" s="713"/>
      <c r="EM1031" s="713"/>
      <c r="EN1031" s="713"/>
      <c r="EO1031" s="713"/>
      <c r="EP1031" s="713"/>
      <c r="EQ1031" s="713"/>
      <c r="ER1031" s="713"/>
      <c r="ES1031" s="713"/>
      <c r="ET1031" s="713"/>
      <c r="EU1031" s="713"/>
      <c r="EV1031" s="713"/>
      <c r="EW1031" s="713"/>
      <c r="EX1031" s="713"/>
      <c r="EY1031" s="713"/>
      <c r="EZ1031" s="713"/>
      <c r="FA1031" s="713"/>
      <c r="FB1031" s="713"/>
      <c r="FC1031" s="713"/>
      <c r="FD1031" s="713"/>
      <c r="FE1031" s="713"/>
      <c r="FF1031" s="713"/>
      <c r="FG1031" s="713"/>
      <c r="FH1031" s="713"/>
      <c r="FI1031" s="713"/>
      <c r="FJ1031" s="713"/>
      <c r="FK1031" s="713"/>
      <c r="FL1031" s="713"/>
      <c r="FM1031" s="713"/>
      <c r="FN1031" s="713"/>
      <c r="FO1031" s="713"/>
      <c r="FP1031" s="713"/>
      <c r="FQ1031" s="713"/>
      <c r="FR1031" s="713"/>
      <c r="FS1031" s="713"/>
      <c r="FT1031" s="713"/>
      <c r="FU1031" s="713"/>
      <c r="FV1031" s="713"/>
      <c r="FW1031" s="713"/>
      <c r="FX1031" s="713"/>
      <c r="FY1031" s="713"/>
      <c r="FZ1031" s="713"/>
      <c r="GA1031" s="713"/>
      <c r="GB1031" s="713"/>
      <c r="GC1031" s="713"/>
      <c r="GD1031" s="713"/>
      <c r="GE1031" s="713"/>
      <c r="GF1031" s="713"/>
      <c r="GG1031" s="713"/>
      <c r="GH1031" s="713"/>
      <c r="GI1031" s="713"/>
      <c r="GJ1031" s="713"/>
      <c r="GK1031" s="713"/>
      <c r="GL1031" s="713"/>
      <c r="GM1031" s="713"/>
      <c r="GN1031" s="713"/>
      <c r="GO1031" s="713"/>
      <c r="GP1031" s="713"/>
      <c r="GQ1031" s="713"/>
      <c r="GR1031" s="713"/>
      <c r="GS1031" s="713"/>
      <c r="GT1031" s="713"/>
      <c r="GU1031" s="713"/>
      <c r="GV1031" s="713"/>
      <c r="GW1031" s="713"/>
      <c r="GX1031" s="713"/>
      <c r="GY1031" s="713"/>
      <c r="GZ1031" s="713"/>
      <c r="HA1031" s="713"/>
      <c r="HB1031" s="713"/>
      <c r="HC1031" s="713"/>
      <c r="HD1031" s="713"/>
      <c r="HE1031" s="713"/>
      <c r="HF1031" s="713"/>
      <c r="HG1031" s="713"/>
      <c r="HH1031" s="713"/>
      <c r="HI1031" s="713"/>
      <c r="HJ1031" s="713"/>
      <c r="HK1031" s="713"/>
      <c r="HL1031" s="713"/>
      <c r="HM1031" s="713"/>
      <c r="HN1031" s="713"/>
      <c r="HO1031" s="713"/>
      <c r="HP1031" s="713"/>
      <c r="HQ1031" s="713"/>
      <c r="HR1031" s="713"/>
      <c r="HS1031" s="713"/>
      <c r="HT1031" s="713"/>
      <c r="HU1031" s="713"/>
      <c r="HV1031" s="713"/>
      <c r="HW1031" s="713"/>
      <c r="HX1031" s="713"/>
      <c r="HY1031" s="713"/>
      <c r="HZ1031" s="713"/>
      <c r="IA1031" s="713"/>
      <c r="IB1031" s="713"/>
      <c r="IC1031" s="713"/>
      <c r="ID1031" s="713"/>
      <c r="IE1031" s="713"/>
      <c r="IF1031" s="713"/>
      <c r="IG1031" s="713"/>
      <c r="IH1031" s="713"/>
      <c r="II1031" s="713"/>
      <c r="IJ1031" s="713"/>
      <c r="IK1031" s="713"/>
      <c r="IL1031" s="713"/>
      <c r="IM1031" s="713"/>
      <c r="IN1031" s="713"/>
      <c r="IO1031" s="713"/>
      <c r="IP1031" s="713"/>
      <c r="IQ1031" s="713"/>
      <c r="IR1031" s="713"/>
      <c r="IS1031" s="713"/>
      <c r="IT1031" s="713"/>
      <c r="IU1031" s="713"/>
      <c r="IV1031" s="713"/>
    </row>
    <row r="1032" spans="1:256" s="602" customFormat="1" ht="12">
      <c r="A1032" s="663"/>
      <c r="B1032" s="663"/>
      <c r="C1032" s="663"/>
      <c r="D1032" s="663"/>
      <c r="E1032" s="663"/>
      <c r="F1032" s="664"/>
      <c r="G1032" s="663"/>
      <c r="H1032" s="663"/>
      <c r="I1032" s="601"/>
      <c r="J1032" s="663"/>
      <c r="K1032" s="663"/>
      <c r="L1032" s="663"/>
      <c r="M1032" s="663"/>
      <c r="N1032" s="663"/>
      <c r="O1032" s="663"/>
      <c r="P1032" s="663"/>
      <c r="Q1032" s="601"/>
      <c r="R1032" s="666">
        <f>$A1032*Q1032</f>
        <v>0</v>
      </c>
      <c r="S1032" s="601"/>
      <c r="T1032" s="681">
        <f>$A1032*S1032*$T$1</f>
        <v>0</v>
      </c>
    </row>
    <row r="1033" spans="1:256" s="602" customFormat="1" ht="12.6" thickBot="1">
      <c r="A1033" s="682" t="s">
        <v>145</v>
      </c>
      <c r="B1033" s="683">
        <f>(R1032+T1032)</f>
        <v>0</v>
      </c>
      <c r="C1033" s="684"/>
      <c r="D1033" s="684"/>
      <c r="E1033" s="684"/>
      <c r="F1033" s="685"/>
      <c r="G1033" s="684" t="s">
        <v>146</v>
      </c>
      <c r="H1033" s="684"/>
      <c r="I1033" s="686"/>
      <c r="J1033" s="684"/>
      <c r="K1033" s="684" t="s">
        <v>3</v>
      </c>
      <c r="L1033" s="687" t="s">
        <v>143</v>
      </c>
      <c r="M1033" s="687"/>
      <c r="N1033" s="687"/>
      <c r="O1033" s="687"/>
      <c r="P1033" s="687"/>
      <c r="Q1033" s="688"/>
      <c r="R1033" s="689">
        <f ca="1">SUM(R1029:R1032)</f>
        <v>0</v>
      </c>
      <c r="S1033" s="684"/>
      <c r="T1033" s="689">
        <f ca="1">SUM(T1029:T1032)</f>
        <v>0</v>
      </c>
      <c r="U1033" s="611"/>
      <c r="V1033" s="611"/>
      <c r="W1033" s="611"/>
      <c r="X1033" s="611"/>
      <c r="Y1033" s="611"/>
      <c r="Z1033" s="611"/>
      <c r="AA1033" s="611"/>
      <c r="AB1033" s="611"/>
      <c r="AC1033" s="611"/>
      <c r="AD1033" s="611"/>
      <c r="AE1033" s="611"/>
      <c r="AF1033" s="611"/>
      <c r="AG1033" s="611"/>
      <c r="AH1033" s="611"/>
      <c r="AI1033" s="611"/>
      <c r="AJ1033" s="611"/>
      <c r="AK1033" s="611"/>
      <c r="AL1033" s="611"/>
      <c r="AM1033" s="611"/>
      <c r="AN1033" s="611"/>
      <c r="AO1033" s="611"/>
    </row>
    <row r="1034" spans="1:256" s="602" customFormat="1" ht="12" thickTop="1">
      <c r="A1034" s="51" t="s">
        <v>154</v>
      </c>
      <c r="D1034" s="13"/>
      <c r="E1034" s="42"/>
      <c r="O1034" s="698"/>
    </row>
    <row r="1035" spans="1:256" s="602" customFormat="1" ht="13.2">
      <c r="B1035" s="3"/>
      <c r="O1035" s="698"/>
    </row>
    <row r="1036" spans="1:256" s="602" customFormat="1" ht="12">
      <c r="B1036" s="699">
        <f ca="1">$F1036/$C$2-($R1036*$S$2+$T1036*$T$2)</f>
        <v>0.22515622159880877</v>
      </c>
      <c r="D1036" s="700" t="s">
        <v>414</v>
      </c>
      <c r="E1036" s="701"/>
      <c r="F1036" s="702">
        <f ca="1">SUMIF($L935:$L1034,"ITEM",F935:F1034)</f>
        <v>2930.92</v>
      </c>
      <c r="G1036" s="663"/>
      <c r="H1036" s="663"/>
      <c r="I1036" s="601"/>
      <c r="J1036" s="663"/>
      <c r="K1036" s="663"/>
      <c r="L1036" s="678" t="s">
        <v>166</v>
      </c>
      <c r="M1036" s="678"/>
      <c r="N1036" s="678"/>
      <c r="O1036" s="678"/>
      <c r="P1036" s="678"/>
      <c r="R1036" s="702">
        <f ca="1">SUMIF($L935:$L1034,"ITEM",R935:R1034)</f>
        <v>749.77</v>
      </c>
      <c r="S1036" s="71"/>
      <c r="T1036" s="702">
        <f ca="1">SUMIF($L935:$L1034,"ITEM",T935:T1034)</f>
        <v>53.88</v>
      </c>
    </row>
    <row r="1037" spans="1:256" s="602" customFormat="1" ht="13.2">
      <c r="A1037" s="63"/>
      <c r="B1037" s="55" t="s">
        <v>413</v>
      </c>
      <c r="C1037" s="63"/>
      <c r="D1037" s="3"/>
      <c r="F1037" s="703" t="s">
        <v>168</v>
      </c>
      <c r="G1037" s="663"/>
      <c r="H1037" s="663"/>
      <c r="I1037" s="601"/>
      <c r="J1037" s="663"/>
      <c r="K1037" s="663"/>
      <c r="L1037" s="663"/>
      <c r="M1037" s="663"/>
      <c r="N1037" s="663"/>
      <c r="O1037" s="663"/>
      <c r="P1037" s="663"/>
      <c r="Q1037" s="665"/>
      <c r="R1037" s="703" t="s">
        <v>169</v>
      </c>
      <c r="S1037" s="38"/>
      <c r="T1037" s="703" t="s">
        <v>170</v>
      </c>
    </row>
    <row r="1038" spans="1:256" s="602" customFormat="1" ht="13.2">
      <c r="A1038" s="663"/>
      <c r="B1038" s="3"/>
      <c r="C1038" s="663"/>
      <c r="D1038" s="3"/>
      <c r="E1038" s="3"/>
      <c r="G1038" s="3"/>
      <c r="H1038" s="3"/>
      <c r="I1038" s="3"/>
      <c r="J1038" s="3"/>
      <c r="K1038" s="3"/>
      <c r="L1038" s="3"/>
      <c r="M1038" s="3"/>
      <c r="N1038" s="3"/>
      <c r="O1038" s="158"/>
      <c r="P1038" s="3"/>
      <c r="Q1038" s="3"/>
      <c r="R1038" s="3"/>
      <c r="S1038" s="3"/>
      <c r="T1038" s="3"/>
    </row>
    <row r="1039" spans="1:256" s="602" customFormat="1" ht="12" thickBot="1">
      <c r="A1039" s="611"/>
      <c r="B1039" s="684"/>
      <c r="C1039" s="684"/>
      <c r="D1039" s="611"/>
      <c r="E1039" s="39"/>
      <c r="F1039" s="704"/>
      <c r="G1039" s="684"/>
      <c r="H1039" s="684"/>
      <c r="I1039" s="686"/>
      <c r="J1039" s="684"/>
      <c r="K1039" s="684"/>
      <c r="L1039" s="687"/>
      <c r="M1039" s="687"/>
      <c r="N1039" s="687"/>
      <c r="O1039" s="687"/>
      <c r="P1039" s="687"/>
      <c r="Q1039" s="688"/>
      <c r="R1039" s="704"/>
      <c r="S1039" s="705"/>
      <c r="T1039" s="704"/>
      <c r="U1039" s="611"/>
      <c r="V1039" s="611"/>
      <c r="W1039" s="611"/>
      <c r="X1039" s="611"/>
      <c r="Y1039" s="611"/>
      <c r="Z1039" s="611"/>
      <c r="AA1039" s="611"/>
      <c r="AB1039" s="611"/>
      <c r="AC1039" s="611"/>
      <c r="AD1039" s="611"/>
      <c r="AE1039" s="611"/>
      <c r="AF1039" s="611"/>
      <c r="AG1039" s="611"/>
      <c r="AH1039" s="611"/>
      <c r="AI1039" s="611"/>
      <c r="AJ1039" s="611"/>
      <c r="AK1039" s="611"/>
    </row>
    <row r="1040" spans="1:256" s="602" customFormat="1" ht="12" customHeight="1" thickTop="1">
      <c r="A1040" s="63"/>
      <c r="B1040" s="41"/>
      <c r="C1040" s="63"/>
      <c r="E1040" s="42" t="s">
        <v>138</v>
      </c>
      <c r="F1040" s="42" t="s">
        <v>139</v>
      </c>
      <c r="G1040" s="63"/>
      <c r="H1040" s="63"/>
      <c r="I1040" s="63"/>
      <c r="J1040" s="63"/>
      <c r="K1040" s="63" t="s">
        <v>140</v>
      </c>
      <c r="L1040" s="63"/>
      <c r="M1040" s="63"/>
      <c r="N1040" s="63"/>
      <c r="O1040" s="64"/>
      <c r="P1040" s="63"/>
      <c r="Q1040" s="63"/>
      <c r="R1040" s="63"/>
      <c r="S1040" s="63"/>
      <c r="T1040" s="41"/>
      <c r="AG1040" s="667" t="s">
        <v>278</v>
      </c>
      <c r="AH1040" s="667" t="s">
        <v>279</v>
      </c>
      <c r="AI1040" s="667" t="s">
        <v>280</v>
      </c>
      <c r="AJ1040" s="667" t="s">
        <v>281</v>
      </c>
      <c r="AK1040" s="667" t="s">
        <v>282</v>
      </c>
      <c r="AM1040" s="668" t="s">
        <v>291</v>
      </c>
      <c r="AN1040" s="669" t="s">
        <v>292</v>
      </c>
      <c r="AO1040" s="603" t="s">
        <v>288</v>
      </c>
    </row>
    <row r="1041" spans="1:41" s="602" customFormat="1" ht="39.9" customHeight="1">
      <c r="A1041" s="670">
        <v>1</v>
      </c>
      <c r="B1041" s="671" t="s">
        <v>312</v>
      </c>
      <c r="C1041" s="672"/>
      <c r="D1041" s="673" t="s">
        <v>546</v>
      </c>
      <c r="E1041" s="674">
        <f>IF(AND($A1041=0,$A$1="DIF"),0, ROUND(ROUND(($R1044*$S$2+($T1044*$T$2))/A1041,2)*$C$2,2))</f>
        <v>0</v>
      </c>
      <c r="F1041" s="675">
        <f>ROUND($A1041*$E1041,2)</f>
        <v>0</v>
      </c>
      <c r="G1041" s="676" t="s">
        <v>142</v>
      </c>
      <c r="H1041" s="664"/>
      <c r="I1041" s="677"/>
      <c r="J1041" s="664"/>
      <c r="K1041" s="664" t="s">
        <v>3</v>
      </c>
      <c r="L1041" s="678" t="s">
        <v>143</v>
      </c>
      <c r="M1041" s="678"/>
      <c r="N1041" s="678"/>
      <c r="O1041" s="678"/>
      <c r="P1041" s="678"/>
      <c r="Q1041" s="839" t="s">
        <v>762</v>
      </c>
      <c r="T1041" s="679" t="str">
        <f>IF(AND($R1044=0,$T1044=0),"0.00","mu :" &amp; ROUND($F1041/$C$2/($R1044+$T1044*$D$9),2))</f>
        <v>0.00</v>
      </c>
      <c r="W1041" s="604"/>
      <c r="AG1041" s="549">
        <f>IF($E1041=0,0,ROUND($R1044*$S$2*$C$2/$A1041,2))</f>
        <v>0</v>
      </c>
      <c r="AH1041" s="549">
        <f>$AG1041*$A1041</f>
        <v>0</v>
      </c>
      <c r="AI1041" s="605">
        <f>$E1041-$AG1041</f>
        <v>0</v>
      </c>
      <c r="AJ1041" s="605">
        <f>$A1041*$AI1041</f>
        <v>0</v>
      </c>
      <c r="AK1041" s="606">
        <f>ROUND(($AG1041+$AI1041)*$A1041,2)</f>
        <v>0</v>
      </c>
      <c r="AM1041" s="607">
        <f>ROUND(R1044,2)</f>
        <v>0</v>
      </c>
      <c r="AN1041" s="608">
        <f>ROUND(T1044,2)</f>
        <v>0</v>
      </c>
      <c r="AO1041" s="609">
        <f>ROUND(AM1041+AN1041,2)*A1041</f>
        <v>0</v>
      </c>
    </row>
    <row r="1042" spans="1:41" s="602" customFormat="1" ht="13.2">
      <c r="A1042" s="672"/>
      <c r="B1042"/>
      <c r="C1042" s="672"/>
      <c r="D1042" s="1368" t="s">
        <v>358</v>
      </c>
      <c r="E1042" s="1369"/>
      <c r="F1042" s="1369"/>
      <c r="G1042" s="1369"/>
      <c r="H1042" s="1369"/>
      <c r="I1042" s="1369"/>
      <c r="J1042" s="1369"/>
      <c r="K1042" s="1369"/>
      <c r="L1042" s="1369"/>
      <c r="M1042" s="1369"/>
      <c r="N1042" s="1369"/>
      <c r="O1042" s="1369"/>
      <c r="P1042" s="1369"/>
      <c r="Q1042" s="1369"/>
      <c r="R1042" s="1369"/>
      <c r="S1042" s="1369"/>
      <c r="T1042" s="1369"/>
    </row>
    <row r="1043" spans="1:41" s="602" customFormat="1" ht="12">
      <c r="A1043" s="663"/>
      <c r="B1043" s="663"/>
      <c r="C1043" s="663"/>
      <c r="D1043" s="663"/>
      <c r="E1043" s="663"/>
      <c r="F1043" s="664"/>
      <c r="G1043" s="663"/>
      <c r="H1043" s="663"/>
      <c r="I1043" s="601"/>
      <c r="J1043" s="663"/>
      <c r="K1043" s="663"/>
      <c r="L1043" s="663"/>
      <c r="M1043" s="663"/>
      <c r="N1043" s="663"/>
      <c r="O1043" s="663"/>
      <c r="P1043" s="663"/>
      <c r="Q1043" s="601"/>
      <c r="R1043" s="666">
        <f>$A1043*Q1043</f>
        <v>0</v>
      </c>
      <c r="S1043" s="601"/>
      <c r="T1043" s="681">
        <f>$A1043*S1043*$T$1</f>
        <v>0</v>
      </c>
    </row>
    <row r="1044" spans="1:41" s="602" customFormat="1" ht="12.6" thickBot="1">
      <c r="A1044" s="682" t="s">
        <v>145</v>
      </c>
      <c r="B1044" s="683">
        <f>(R1043+T1043)</f>
        <v>0</v>
      </c>
      <c r="C1044" s="684"/>
      <c r="D1044" s="684"/>
      <c r="E1044" s="684"/>
      <c r="F1044" s="685"/>
      <c r="G1044" s="684" t="s">
        <v>146</v>
      </c>
      <c r="H1044" s="684"/>
      <c r="I1044" s="686"/>
      <c r="J1044" s="684"/>
      <c r="K1044" s="684" t="s">
        <v>3</v>
      </c>
      <c r="L1044" s="687" t="s">
        <v>143</v>
      </c>
      <c r="M1044" s="687"/>
      <c r="N1044" s="687"/>
      <c r="O1044" s="687"/>
      <c r="P1044" s="687"/>
      <c r="Q1044" s="688"/>
      <c r="R1044" s="689">
        <f>SUM(R1042:R1043)</f>
        <v>0</v>
      </c>
      <c r="S1044" s="684"/>
      <c r="T1044" s="689">
        <f>SUM(T1042:T1043)</f>
        <v>0</v>
      </c>
      <c r="U1044" s="611"/>
      <c r="V1044" s="611"/>
      <c r="W1044" s="611"/>
      <c r="X1044" s="611"/>
      <c r="Y1044" s="611"/>
      <c r="Z1044" s="611"/>
      <c r="AA1044" s="611"/>
      <c r="AB1044" s="611"/>
      <c r="AC1044" s="611"/>
      <c r="AD1044" s="611"/>
      <c r="AE1044" s="611"/>
      <c r="AF1044" s="611"/>
      <c r="AG1044" s="611"/>
      <c r="AH1044" s="611"/>
      <c r="AI1044" s="611"/>
      <c r="AJ1044" s="611"/>
      <c r="AK1044" s="611"/>
      <c r="AL1044" s="611"/>
      <c r="AM1044" s="611"/>
      <c r="AN1044" s="611"/>
      <c r="AO1044" s="611"/>
    </row>
    <row r="1045" spans="1:41" s="602" customFormat="1" ht="12" customHeight="1" thickTop="1">
      <c r="A1045" s="63"/>
      <c r="B1045" s="41"/>
      <c r="C1045" s="63"/>
      <c r="E1045" s="42" t="s">
        <v>138</v>
      </c>
      <c r="F1045" s="42" t="s">
        <v>139</v>
      </c>
      <c r="G1045" s="63"/>
      <c r="H1045" s="63"/>
      <c r="I1045" s="63"/>
      <c r="J1045" s="63"/>
      <c r="K1045" s="63" t="s">
        <v>140</v>
      </c>
      <c r="L1045" s="63"/>
      <c r="M1045" s="63"/>
      <c r="N1045" s="63"/>
      <c r="O1045" s="64"/>
      <c r="P1045" s="63"/>
      <c r="Q1045" s="63"/>
      <c r="R1045" s="63"/>
      <c r="S1045" s="63"/>
      <c r="T1045" s="41"/>
      <c r="AG1045" s="667" t="s">
        <v>278</v>
      </c>
      <c r="AH1045" s="667" t="s">
        <v>279</v>
      </c>
      <c r="AI1045" s="667" t="s">
        <v>280</v>
      </c>
      <c r="AJ1045" s="667" t="s">
        <v>281</v>
      </c>
      <c r="AK1045" s="667" t="s">
        <v>282</v>
      </c>
      <c r="AM1045" s="668" t="s">
        <v>291</v>
      </c>
      <c r="AN1045" s="669" t="s">
        <v>292</v>
      </c>
      <c r="AO1045" s="603" t="s">
        <v>288</v>
      </c>
    </row>
    <row r="1046" spans="1:41" s="602" customFormat="1" ht="39.9" customHeight="1">
      <c r="A1046" s="670">
        <v>1</v>
      </c>
      <c r="B1046" s="671" t="s">
        <v>312</v>
      </c>
      <c r="C1046" s="672"/>
      <c r="D1046" s="673" t="s">
        <v>547</v>
      </c>
      <c r="E1046" s="674">
        <f>IF(AND($A1046=0,$A$1="DIF"),0, ROUND(ROUND(($R1049*$S$2+($T1049*$T$2))/A1046,2)*$C$2,2))</f>
        <v>0</v>
      </c>
      <c r="F1046" s="675">
        <f>ROUND($A1046*$E1046,2)</f>
        <v>0</v>
      </c>
      <c r="G1046" s="676" t="s">
        <v>142</v>
      </c>
      <c r="H1046" s="664"/>
      <c r="I1046" s="677"/>
      <c r="J1046" s="664"/>
      <c r="K1046" s="664" t="s">
        <v>3</v>
      </c>
      <c r="L1046" s="678" t="s">
        <v>143</v>
      </c>
      <c r="M1046" s="678"/>
      <c r="N1046" s="678"/>
      <c r="O1046" s="678"/>
      <c r="P1046" s="678"/>
      <c r="Q1046" s="839" t="s">
        <v>762</v>
      </c>
      <c r="T1046" s="679" t="str">
        <f>IF(AND($R1049=0,$T1049=0),"0.00","mu :" &amp; ROUND($F1046/$C$2/($R1049+$T1049*$D$9),2))</f>
        <v>0.00</v>
      </c>
      <c r="W1046" s="604"/>
      <c r="AG1046" s="549">
        <f>IF($E1046=0,0,ROUND($R1049*$S$2*$C$2/$A1046,2))</f>
        <v>0</v>
      </c>
      <c r="AH1046" s="549">
        <f>$AG1046*$A1046</f>
        <v>0</v>
      </c>
      <c r="AI1046" s="605">
        <f>$E1046-$AG1046</f>
        <v>0</v>
      </c>
      <c r="AJ1046" s="605">
        <f>$A1046*$AI1046</f>
        <v>0</v>
      </c>
      <c r="AK1046" s="606">
        <f>ROUND(($AG1046+$AI1046)*$A1046,2)</f>
        <v>0</v>
      </c>
      <c r="AM1046" s="607">
        <f>ROUND(R1049,2)</f>
        <v>0</v>
      </c>
      <c r="AN1046" s="608">
        <f>ROUND(T1049,2)</f>
        <v>0</v>
      </c>
      <c r="AO1046" s="609">
        <f>ROUND(AM1046+AN1046,2)*A1046</f>
        <v>0</v>
      </c>
    </row>
    <row r="1047" spans="1:41" s="602" customFormat="1" ht="13.2">
      <c r="A1047" s="672"/>
      <c r="B1047"/>
      <c r="C1047" s="672"/>
      <c r="D1047" s="1368" t="s">
        <v>359</v>
      </c>
      <c r="E1047" s="1369"/>
      <c r="F1047" s="1369"/>
      <c r="G1047" s="1369"/>
      <c r="H1047" s="1369"/>
      <c r="I1047" s="1369"/>
      <c r="J1047" s="1369"/>
      <c r="K1047" s="1369"/>
      <c r="L1047" s="1369"/>
      <c r="M1047" s="1369"/>
      <c r="N1047" s="1369"/>
      <c r="O1047" s="1369"/>
      <c r="P1047" s="1369"/>
      <c r="Q1047" s="1369"/>
      <c r="R1047" s="1369"/>
      <c r="S1047" s="1369"/>
      <c r="T1047" s="1369"/>
    </row>
    <row r="1048" spans="1:41" s="602" customFormat="1" ht="12">
      <c r="A1048" s="663"/>
      <c r="B1048" s="663"/>
      <c r="C1048" s="663"/>
      <c r="D1048" s="663"/>
      <c r="E1048" s="663"/>
      <c r="F1048" s="664"/>
      <c r="G1048" s="663"/>
      <c r="H1048" s="663"/>
      <c r="I1048" s="601"/>
      <c r="J1048" s="663"/>
      <c r="K1048" s="663"/>
      <c r="L1048" s="663"/>
      <c r="M1048" s="663"/>
      <c r="N1048" s="663"/>
      <c r="O1048" s="663"/>
      <c r="P1048" s="663"/>
      <c r="Q1048" s="601"/>
      <c r="R1048" s="666">
        <f>$A1048*Q1048</f>
        <v>0</v>
      </c>
      <c r="S1048" s="601"/>
      <c r="T1048" s="681">
        <f>$A1048*S1048*$T$1</f>
        <v>0</v>
      </c>
    </row>
    <row r="1049" spans="1:41" s="602" customFormat="1" ht="12.6" thickBot="1">
      <c r="A1049" s="682" t="s">
        <v>145</v>
      </c>
      <c r="B1049" s="683">
        <f>(R1048+T1048)</f>
        <v>0</v>
      </c>
      <c r="C1049" s="684"/>
      <c r="D1049" s="684"/>
      <c r="E1049" s="684"/>
      <c r="F1049" s="685"/>
      <c r="G1049" s="684" t="s">
        <v>146</v>
      </c>
      <c r="H1049" s="684"/>
      <c r="I1049" s="686"/>
      <c r="J1049" s="684"/>
      <c r="K1049" s="684" t="s">
        <v>3</v>
      </c>
      <c r="L1049" s="687" t="s">
        <v>143</v>
      </c>
      <c r="M1049" s="687"/>
      <c r="N1049" s="687"/>
      <c r="O1049" s="687"/>
      <c r="P1049" s="687"/>
      <c r="Q1049" s="688"/>
      <c r="R1049" s="689">
        <f>SUM(R1047:R1048)</f>
        <v>0</v>
      </c>
      <c r="S1049" s="684"/>
      <c r="T1049" s="689">
        <f>SUM(T1047:T1048)</f>
        <v>0</v>
      </c>
      <c r="U1049" s="611"/>
      <c r="V1049" s="611"/>
      <c r="W1049" s="611"/>
      <c r="X1049" s="611"/>
      <c r="Y1049" s="611"/>
      <c r="Z1049" s="611"/>
      <c r="AA1049" s="611"/>
      <c r="AB1049" s="611"/>
      <c r="AC1049" s="611"/>
      <c r="AD1049" s="611"/>
      <c r="AE1049" s="611"/>
      <c r="AF1049" s="611"/>
      <c r="AG1049" s="611"/>
      <c r="AH1049" s="611"/>
      <c r="AI1049" s="611"/>
      <c r="AJ1049" s="611"/>
      <c r="AK1049" s="611"/>
      <c r="AL1049" s="611"/>
      <c r="AM1049" s="611"/>
      <c r="AN1049" s="611"/>
      <c r="AO1049" s="611"/>
    </row>
    <row r="1050" spans="1:41" s="602" customFormat="1" ht="12" customHeight="1" thickTop="1">
      <c r="A1050" s="63"/>
      <c r="B1050" s="41"/>
      <c r="C1050" s="63"/>
      <c r="E1050" s="42" t="s">
        <v>138</v>
      </c>
      <c r="F1050" s="42" t="s">
        <v>139</v>
      </c>
      <c r="G1050" s="63"/>
      <c r="H1050" s="63"/>
      <c r="I1050" s="63"/>
      <c r="J1050" s="63"/>
      <c r="K1050" s="63" t="s">
        <v>140</v>
      </c>
      <c r="L1050" s="63"/>
      <c r="M1050" s="63"/>
      <c r="N1050" s="63"/>
      <c r="O1050" s="64"/>
      <c r="P1050" s="63"/>
      <c r="Q1050" s="63"/>
      <c r="R1050" s="63"/>
      <c r="S1050" s="63"/>
      <c r="T1050" s="41"/>
      <c r="AG1050" s="667" t="s">
        <v>278</v>
      </c>
      <c r="AH1050" s="667" t="s">
        <v>279</v>
      </c>
      <c r="AI1050" s="667" t="s">
        <v>280</v>
      </c>
      <c r="AJ1050" s="667" t="s">
        <v>281</v>
      </c>
      <c r="AK1050" s="667" t="s">
        <v>282</v>
      </c>
      <c r="AM1050" s="668" t="s">
        <v>291</v>
      </c>
      <c r="AN1050" s="669" t="s">
        <v>292</v>
      </c>
      <c r="AO1050" s="603" t="s">
        <v>288</v>
      </c>
    </row>
    <row r="1051" spans="1:41" s="602" customFormat="1" ht="39.9" customHeight="1">
      <c r="A1051" s="670">
        <v>1</v>
      </c>
      <c r="B1051" s="671" t="s">
        <v>312</v>
      </c>
      <c r="C1051" s="672"/>
      <c r="D1051" s="673" t="s">
        <v>548</v>
      </c>
      <c r="E1051" s="674">
        <f>IF(AND($A1051=0,$A$1="DIF"),0, ROUND(ROUND(($R1054*$S$2+($T1054*$T$2))/A1051,2)*$C$2,2))</f>
        <v>0</v>
      </c>
      <c r="F1051" s="675">
        <f>ROUND($A1051*$E1051,2)</f>
        <v>0</v>
      </c>
      <c r="G1051" s="676" t="s">
        <v>142</v>
      </c>
      <c r="H1051" s="664"/>
      <c r="I1051" s="677"/>
      <c r="J1051" s="664"/>
      <c r="K1051" s="664" t="s">
        <v>3</v>
      </c>
      <c r="L1051" s="678" t="s">
        <v>143</v>
      </c>
      <c r="M1051" s="678"/>
      <c r="N1051" s="678"/>
      <c r="O1051" s="678"/>
      <c r="P1051" s="678"/>
      <c r="Q1051" s="839" t="s">
        <v>762</v>
      </c>
      <c r="T1051" s="679" t="str">
        <f>IF(AND($R1054=0,$T1054=0),"0.00","mu :" &amp; ROUND($F1051/$C$2/($R1054+$T1054*$D$9),2))</f>
        <v>0.00</v>
      </c>
      <c r="W1051" s="604"/>
      <c r="AG1051" s="549">
        <f>IF($E1051=0,0,ROUND($R1054*$S$2*$C$2/$A1051,2))</f>
        <v>0</v>
      </c>
      <c r="AH1051" s="549">
        <f>$AG1051*$A1051</f>
        <v>0</v>
      </c>
      <c r="AI1051" s="605">
        <f>$E1051-$AG1051</f>
        <v>0</v>
      </c>
      <c r="AJ1051" s="605">
        <f>$A1051*$AI1051</f>
        <v>0</v>
      </c>
      <c r="AK1051" s="606">
        <f>ROUND(($AG1051+$AI1051)*$A1051,2)</f>
        <v>0</v>
      </c>
      <c r="AM1051" s="607">
        <f>ROUND(R1054,2)</f>
        <v>0</v>
      </c>
      <c r="AN1051" s="608">
        <f>ROUND(T1054,2)</f>
        <v>0</v>
      </c>
      <c r="AO1051" s="609">
        <f>ROUND(AM1051+AN1051,2)*A1051</f>
        <v>0</v>
      </c>
    </row>
    <row r="1052" spans="1:41" s="602" customFormat="1" ht="13.2">
      <c r="A1052" s="672"/>
      <c r="B1052"/>
      <c r="C1052" s="672"/>
      <c r="D1052" s="1368" t="s">
        <v>360</v>
      </c>
      <c r="E1052" s="1369"/>
      <c r="F1052" s="1369"/>
      <c r="G1052" s="1369"/>
      <c r="H1052" s="1369"/>
      <c r="I1052" s="1369"/>
      <c r="J1052" s="1369"/>
      <c r="K1052" s="1369"/>
      <c r="L1052" s="1369"/>
      <c r="M1052" s="1369"/>
      <c r="N1052" s="1369"/>
      <c r="O1052" s="1369"/>
      <c r="P1052" s="1369"/>
      <c r="Q1052" s="1369"/>
      <c r="R1052" s="1369"/>
      <c r="S1052" s="1369"/>
      <c r="T1052" s="1369"/>
    </row>
    <row r="1053" spans="1:41" s="602" customFormat="1" ht="12">
      <c r="A1053" s="663"/>
      <c r="B1053" s="663"/>
      <c r="C1053" s="663"/>
      <c r="D1053" s="663"/>
      <c r="E1053" s="663"/>
      <c r="F1053" s="664"/>
      <c r="G1053" s="663"/>
      <c r="H1053" s="663"/>
      <c r="I1053" s="601"/>
      <c r="J1053" s="663"/>
      <c r="K1053" s="663"/>
      <c r="L1053" s="663"/>
      <c r="M1053" s="663"/>
      <c r="N1053" s="663"/>
      <c r="O1053" s="663"/>
      <c r="P1053" s="663"/>
      <c r="Q1053" s="601"/>
      <c r="R1053" s="666">
        <f>$A1053*Q1053</f>
        <v>0</v>
      </c>
      <c r="S1053" s="601"/>
      <c r="T1053" s="681">
        <f>$A1053*S1053*$T$1</f>
        <v>0</v>
      </c>
    </row>
    <row r="1054" spans="1:41" s="602" customFormat="1" ht="12.6" thickBot="1">
      <c r="A1054" s="682" t="s">
        <v>145</v>
      </c>
      <c r="B1054" s="683">
        <f>(R1053+T1053)</f>
        <v>0</v>
      </c>
      <c r="C1054" s="684"/>
      <c r="D1054" s="684"/>
      <c r="E1054" s="684"/>
      <c r="F1054" s="685"/>
      <c r="G1054" s="684" t="s">
        <v>146</v>
      </c>
      <c r="H1054" s="684"/>
      <c r="I1054" s="686"/>
      <c r="J1054" s="684"/>
      <c r="K1054" s="684" t="s">
        <v>3</v>
      </c>
      <c r="L1054" s="687" t="s">
        <v>143</v>
      </c>
      <c r="M1054" s="687"/>
      <c r="N1054" s="687"/>
      <c r="O1054" s="687"/>
      <c r="P1054" s="687"/>
      <c r="Q1054" s="688"/>
      <c r="R1054" s="689">
        <f>SUM(R1052:R1053)</f>
        <v>0</v>
      </c>
      <c r="S1054" s="684"/>
      <c r="T1054" s="689">
        <f>SUM(T1052:T1053)</f>
        <v>0</v>
      </c>
      <c r="U1054" s="611"/>
      <c r="V1054" s="611"/>
      <c r="W1054" s="611"/>
      <c r="X1054" s="611"/>
      <c r="Y1054" s="611"/>
      <c r="Z1054" s="611"/>
      <c r="AA1054" s="611"/>
      <c r="AB1054" s="611"/>
      <c r="AC1054" s="611"/>
      <c r="AD1054" s="611"/>
      <c r="AE1054" s="611"/>
      <c r="AF1054" s="611"/>
      <c r="AG1054" s="611"/>
      <c r="AH1054" s="611"/>
      <c r="AI1054" s="611"/>
      <c r="AJ1054" s="611"/>
      <c r="AK1054" s="611"/>
      <c r="AL1054" s="611"/>
      <c r="AM1054" s="611"/>
      <c r="AN1054" s="611"/>
      <c r="AO1054" s="611"/>
    </row>
    <row r="1055" spans="1:41" s="602" customFormat="1" ht="12" customHeight="1" thickTop="1">
      <c r="A1055" s="63"/>
      <c r="B1055" s="41"/>
      <c r="C1055" s="63"/>
      <c r="E1055" s="42" t="s">
        <v>138</v>
      </c>
      <c r="F1055" s="42" t="s">
        <v>139</v>
      </c>
      <c r="G1055" s="63"/>
      <c r="H1055" s="63"/>
      <c r="I1055" s="63"/>
      <c r="J1055" s="63"/>
      <c r="K1055" s="63" t="s">
        <v>140</v>
      </c>
      <c r="L1055" s="63"/>
      <c r="M1055" s="63"/>
      <c r="N1055" s="63"/>
      <c r="O1055" s="64"/>
      <c r="P1055" s="63"/>
      <c r="Q1055" s="63"/>
      <c r="R1055" s="63"/>
      <c r="S1055" s="63"/>
      <c r="T1055" s="41"/>
      <c r="AG1055" s="667" t="s">
        <v>278</v>
      </c>
      <c r="AH1055" s="667" t="s">
        <v>279</v>
      </c>
      <c r="AI1055" s="667" t="s">
        <v>280</v>
      </c>
      <c r="AJ1055" s="667" t="s">
        <v>281</v>
      </c>
      <c r="AK1055" s="667" t="s">
        <v>282</v>
      </c>
      <c r="AM1055" s="668" t="s">
        <v>291</v>
      </c>
      <c r="AN1055" s="669" t="s">
        <v>292</v>
      </c>
      <c r="AO1055" s="603" t="s">
        <v>288</v>
      </c>
    </row>
    <row r="1056" spans="1:41" s="602" customFormat="1" ht="13.2">
      <c r="A1056" s="670">
        <v>1</v>
      </c>
      <c r="B1056" s="671" t="s">
        <v>312</v>
      </c>
      <c r="C1056" s="672"/>
      <c r="D1056" s="673" t="s">
        <v>549</v>
      </c>
      <c r="E1056" s="674">
        <f>IF(AND($A1056=0,$A$1="DIF"),0, ROUND(ROUND(($R1059*$S$2+($T1059*$T$2))/A1056,2)*$C$2,2))</f>
        <v>0</v>
      </c>
      <c r="F1056" s="675">
        <f>ROUND($A1056*$E1056,2)</f>
        <v>0</v>
      </c>
      <c r="G1056" s="676" t="s">
        <v>142</v>
      </c>
      <c r="H1056" s="664"/>
      <c r="I1056" s="677"/>
      <c r="J1056" s="664"/>
      <c r="K1056" s="664" t="s">
        <v>3</v>
      </c>
      <c r="L1056" s="678" t="s">
        <v>143</v>
      </c>
      <c r="M1056" s="678"/>
      <c r="N1056" s="678"/>
      <c r="O1056" s="678"/>
      <c r="P1056" s="678"/>
      <c r="Q1056" s="839" t="s">
        <v>762</v>
      </c>
      <c r="T1056" s="679" t="str">
        <f>IF(AND($R1059=0,$T1059=0),"0.00","mu :" &amp; ROUND($F1056/$C$2/($R1059+$T1059*$D$9),2))</f>
        <v>0.00</v>
      </c>
      <c r="W1056" s="604"/>
      <c r="AG1056" s="549">
        <f>IF($E1056=0,0,ROUND($R1059*$S$2*$C$2/$A1056,2))</f>
        <v>0</v>
      </c>
      <c r="AH1056" s="549">
        <f>$AG1056*$A1056</f>
        <v>0</v>
      </c>
      <c r="AI1056" s="605">
        <f>$E1056-$AG1056</f>
        <v>0</v>
      </c>
      <c r="AJ1056" s="605">
        <f>$A1056*$AI1056</f>
        <v>0</v>
      </c>
      <c r="AK1056" s="606">
        <f>ROUND(($AG1056+$AI1056)*$A1056,2)</f>
        <v>0</v>
      </c>
      <c r="AM1056" s="607">
        <f>ROUND(R1059,2)</f>
        <v>0</v>
      </c>
      <c r="AN1056" s="608">
        <f>ROUND(T1059,2)</f>
        <v>0</v>
      </c>
      <c r="AO1056" s="609">
        <f>ROUND(AM1056+AN1056,2)*A1056</f>
        <v>0</v>
      </c>
    </row>
    <row r="1057" spans="1:256" s="602" customFormat="1" ht="13.2">
      <c r="A1057" s="672"/>
      <c r="B1057"/>
      <c r="C1057" s="672"/>
      <c r="D1057" s="673" t="s">
        <v>562</v>
      </c>
      <c r="F1057" s="664"/>
      <c r="G1057" s="3"/>
      <c r="H1057" s="664"/>
      <c r="I1057" s="677"/>
      <c r="J1057" s="664"/>
      <c r="K1057" s="664" t="s">
        <v>144</v>
      </c>
      <c r="L1057" s="664"/>
      <c r="M1057" s="664"/>
      <c r="N1057" s="664"/>
      <c r="O1057" s="664"/>
      <c r="P1057" s="664"/>
      <c r="Q1057" s="63"/>
      <c r="R1057" s="610"/>
      <c r="S1057" s="680"/>
      <c r="T1057" s="664"/>
    </row>
    <row r="1058" spans="1:256" s="602" customFormat="1" ht="12">
      <c r="A1058" s="663"/>
      <c r="B1058" s="663"/>
      <c r="C1058" s="663"/>
      <c r="D1058" s="663"/>
      <c r="E1058" s="663"/>
      <c r="F1058" s="664"/>
      <c r="G1058" s="663"/>
      <c r="H1058" s="663"/>
      <c r="I1058" s="601"/>
      <c r="J1058" s="663"/>
      <c r="K1058" s="663"/>
      <c r="L1058" s="663"/>
      <c r="M1058" s="663"/>
      <c r="N1058" s="663"/>
      <c r="O1058" s="663"/>
      <c r="P1058" s="663"/>
      <c r="Q1058" s="601"/>
      <c r="R1058" s="666">
        <f>$A1058*Q1058</f>
        <v>0</v>
      </c>
      <c r="S1058" s="601"/>
      <c r="T1058" s="681">
        <f>$A1058*S1058*$T$1</f>
        <v>0</v>
      </c>
    </row>
    <row r="1059" spans="1:256" s="602" customFormat="1" ht="12.6" thickBot="1">
      <c r="A1059" s="682" t="s">
        <v>145</v>
      </c>
      <c r="B1059" s="683">
        <f>(R1058+T1058)</f>
        <v>0</v>
      </c>
      <c r="C1059" s="684"/>
      <c r="D1059" s="684"/>
      <c r="E1059" s="684"/>
      <c r="F1059" s="685"/>
      <c r="G1059" s="684" t="s">
        <v>146</v>
      </c>
      <c r="H1059" s="684"/>
      <c r="I1059" s="686"/>
      <c r="J1059" s="684"/>
      <c r="K1059" s="684" t="s">
        <v>3</v>
      </c>
      <c r="L1059" s="687" t="s">
        <v>143</v>
      </c>
      <c r="M1059" s="687"/>
      <c r="N1059" s="687"/>
      <c r="O1059" s="687"/>
      <c r="P1059" s="687"/>
      <c r="Q1059" s="688"/>
      <c r="R1059" s="689">
        <f>SUM(R1057:R1058)</f>
        <v>0</v>
      </c>
      <c r="S1059" s="684"/>
      <c r="T1059" s="689">
        <f>SUM(T1057:T1058)</f>
        <v>0</v>
      </c>
      <c r="U1059" s="611"/>
      <c r="V1059" s="611"/>
      <c r="W1059" s="611"/>
      <c r="X1059" s="611"/>
      <c r="Y1059" s="611"/>
      <c r="Z1059" s="611"/>
      <c r="AA1059" s="611"/>
      <c r="AB1059" s="611"/>
      <c r="AC1059" s="611"/>
      <c r="AD1059" s="611"/>
      <c r="AE1059" s="611"/>
      <c r="AF1059" s="611"/>
      <c r="AG1059" s="611"/>
      <c r="AH1059" s="611"/>
      <c r="AI1059" s="611"/>
      <c r="AJ1059" s="611"/>
      <c r="AK1059" s="611"/>
      <c r="AL1059" s="611"/>
      <c r="AM1059" s="611"/>
      <c r="AN1059" s="611"/>
      <c r="AO1059" s="611"/>
    </row>
    <row r="1060" spans="1:256" s="602" customFormat="1" ht="12" customHeight="1" thickTop="1">
      <c r="A1060" s="63"/>
      <c r="B1060" s="41"/>
      <c r="C1060" s="63"/>
      <c r="E1060" s="42" t="s">
        <v>138</v>
      </c>
      <c r="F1060" s="42" t="s">
        <v>139</v>
      </c>
      <c r="G1060" s="63"/>
      <c r="H1060" s="63"/>
      <c r="I1060" s="63"/>
      <c r="J1060" s="63"/>
      <c r="K1060" s="63" t="s">
        <v>140</v>
      </c>
      <c r="L1060" s="63"/>
      <c r="M1060" s="63"/>
      <c r="N1060" s="63"/>
      <c r="O1060" s="64"/>
      <c r="P1060" s="63"/>
      <c r="Q1060" s="63"/>
      <c r="R1060" s="63"/>
      <c r="S1060" s="63"/>
      <c r="T1060" s="41"/>
      <c r="AG1060" s="667" t="s">
        <v>278</v>
      </c>
      <c r="AH1060" s="667" t="s">
        <v>279</v>
      </c>
      <c r="AI1060" s="667" t="s">
        <v>280</v>
      </c>
      <c r="AJ1060" s="667" t="s">
        <v>281</v>
      </c>
      <c r="AK1060" s="667" t="s">
        <v>282</v>
      </c>
      <c r="AM1060" s="668" t="s">
        <v>291</v>
      </c>
      <c r="AN1060" s="669" t="s">
        <v>292</v>
      </c>
      <c r="AO1060" s="603" t="s">
        <v>288</v>
      </c>
    </row>
    <row r="1061" spans="1:256" s="602" customFormat="1" ht="39.9" customHeight="1">
      <c r="A1061" s="670">
        <v>1</v>
      </c>
      <c r="B1061" s="671" t="s">
        <v>312</v>
      </c>
      <c r="C1061" s="672"/>
      <c r="D1061" s="673" t="s">
        <v>550</v>
      </c>
      <c r="E1061" s="674">
        <f>IF(AND($A1061=0,$A$1="DIF"),0, ROUND(ROUND(($R1070*$S$2+($T1070*$T$2))/A1061,2)*$C$2,2))</f>
        <v>619.02</v>
      </c>
      <c r="F1061" s="675">
        <f>ROUND($A1061*$E1061,2)</f>
        <v>619.02</v>
      </c>
      <c r="G1061" s="676" t="s">
        <v>142</v>
      </c>
      <c r="H1061" s="664"/>
      <c r="I1061" s="677"/>
      <c r="J1061" s="664"/>
      <c r="K1061" s="664" t="s">
        <v>3</v>
      </c>
      <c r="L1061" s="678" t="s">
        <v>143</v>
      </c>
      <c r="M1061" s="678"/>
      <c r="N1061" s="678"/>
      <c r="O1061" s="678"/>
      <c r="P1061" s="678"/>
      <c r="Q1061" s="63"/>
      <c r="T1061" s="679" t="str">
        <f>IF(AND($R1070=0,$T1070=0),"0.00","mu :" &amp; ROUND($F1061/$C$2/($R1070+$T1070*$D$9),2))</f>
        <v>mu :1.35</v>
      </c>
      <c r="W1061" s="604"/>
      <c r="AG1061" s="549">
        <f>IF($E1061=0,0,ROUND($R1070*$S$2*$C$2/$A1061,2))</f>
        <v>232.75</v>
      </c>
      <c r="AH1061" s="549">
        <f>$AG1061*$A1061</f>
        <v>232.75</v>
      </c>
      <c r="AI1061" s="605">
        <f>$E1061-$AG1061</f>
        <v>386.27</v>
      </c>
      <c r="AJ1061" s="605">
        <f>$A1061*$AI1061</f>
        <v>386.27</v>
      </c>
      <c r="AK1061" s="606">
        <f>ROUND(($AG1061+$AI1061)*$A1061,2)</f>
        <v>619.02</v>
      </c>
      <c r="AM1061" s="607">
        <f>ROUND(R1070,2)</f>
        <v>177.05</v>
      </c>
      <c r="AN1061" s="608">
        <f>ROUND(T1070,2)</f>
        <v>10.7</v>
      </c>
      <c r="AO1061" s="609">
        <f>ROUND(AM1061+AN1061,2)*A1061</f>
        <v>187.75</v>
      </c>
    </row>
    <row r="1062" spans="1:256" s="602" customFormat="1" ht="27.6" customHeight="1">
      <c r="A1062" s="672"/>
      <c r="B1062"/>
      <c r="C1062" s="672"/>
      <c r="D1062" s="1368" t="s">
        <v>551</v>
      </c>
      <c r="E1062" s="1369"/>
      <c r="F1062" s="1369"/>
      <c r="G1062" s="1369"/>
      <c r="H1062" s="1369"/>
      <c r="I1062" s="1369"/>
      <c r="J1062" s="1369"/>
      <c r="K1062" s="1369"/>
      <c r="L1062" s="1369"/>
      <c r="M1062" s="1369"/>
      <c r="N1062" s="1369"/>
      <c r="O1062" s="1369"/>
      <c r="P1062" s="1369"/>
      <c r="Q1062" s="1369"/>
      <c r="R1062" s="1369"/>
      <c r="S1062" s="1369"/>
      <c r="T1062" s="1369"/>
    </row>
    <row r="1063" spans="1:256" s="730" customFormat="1" ht="22.8">
      <c r="A1063" s="672"/>
      <c r="B1063"/>
      <c r="C1063" s="672"/>
      <c r="D1063" s="868" t="s">
        <v>1037</v>
      </c>
      <c r="E1063" s="865"/>
      <c r="F1063" s="865"/>
      <c r="G1063" s="865"/>
      <c r="H1063" s="865"/>
      <c r="I1063" s="865"/>
      <c r="J1063" s="865"/>
      <c r="K1063" s="865"/>
      <c r="L1063" s="865"/>
      <c r="M1063" s="865"/>
      <c r="N1063" s="865"/>
      <c r="O1063" s="865"/>
      <c r="P1063" s="865"/>
      <c r="Q1063" s="865"/>
      <c r="R1063" s="865"/>
      <c r="S1063" s="865"/>
      <c r="T1063" s="865"/>
      <c r="U1063" s="602"/>
      <c r="V1063" s="602"/>
      <c r="W1063" s="602"/>
      <c r="X1063" s="602"/>
      <c r="Y1063" s="602"/>
      <c r="Z1063" s="602"/>
      <c r="AA1063" s="602"/>
      <c r="AB1063" s="602"/>
      <c r="AC1063" s="602"/>
      <c r="AD1063" s="602"/>
      <c r="AE1063" s="602"/>
      <c r="AF1063" s="602"/>
      <c r="AG1063" s="602"/>
      <c r="AH1063" s="602"/>
      <c r="AI1063" s="602"/>
      <c r="AJ1063" s="602"/>
      <c r="AK1063" s="602"/>
      <c r="AL1063" s="602"/>
      <c r="AM1063" s="602"/>
      <c r="AN1063" s="602"/>
      <c r="AO1063" s="602"/>
      <c r="AP1063" s="602"/>
      <c r="AQ1063" s="602"/>
      <c r="AR1063" s="602"/>
      <c r="AS1063" s="602"/>
      <c r="AT1063" s="602"/>
      <c r="AU1063" s="602"/>
      <c r="AV1063" s="602"/>
      <c r="AW1063" s="602"/>
      <c r="AX1063" s="602"/>
      <c r="AY1063" s="602"/>
      <c r="AZ1063" s="602"/>
      <c r="BA1063" s="602"/>
      <c r="BB1063" s="602"/>
      <c r="BC1063" s="602"/>
      <c r="BD1063" s="602"/>
      <c r="BE1063" s="602"/>
      <c r="BF1063" s="602"/>
      <c r="BG1063" s="602"/>
      <c r="BH1063" s="602"/>
      <c r="BI1063" s="602"/>
      <c r="BJ1063" s="602"/>
      <c r="BK1063" s="602"/>
      <c r="BL1063" s="602"/>
      <c r="BM1063" s="602"/>
      <c r="BN1063" s="602"/>
      <c r="BO1063" s="602"/>
      <c r="BP1063" s="602"/>
      <c r="BQ1063" s="602"/>
      <c r="BR1063" s="602"/>
      <c r="BS1063" s="602"/>
      <c r="BT1063" s="602"/>
      <c r="BU1063" s="602"/>
      <c r="BV1063" s="602"/>
      <c r="BW1063" s="602"/>
      <c r="BX1063" s="602"/>
      <c r="BY1063" s="602"/>
      <c r="BZ1063" s="602"/>
      <c r="CA1063" s="602"/>
      <c r="CB1063" s="602"/>
      <c r="CC1063" s="602"/>
      <c r="CD1063" s="602"/>
      <c r="CE1063" s="602"/>
      <c r="CF1063" s="602"/>
      <c r="CG1063" s="602"/>
      <c r="CH1063" s="602"/>
      <c r="CI1063" s="602"/>
      <c r="CJ1063" s="602"/>
      <c r="CK1063" s="602"/>
      <c r="CL1063" s="602"/>
      <c r="CM1063" s="602"/>
      <c r="CN1063" s="602"/>
      <c r="CO1063" s="602"/>
      <c r="CP1063" s="602"/>
      <c r="CQ1063" s="602"/>
      <c r="CR1063" s="602"/>
      <c r="CS1063" s="602"/>
      <c r="CT1063" s="602"/>
      <c r="CU1063" s="602"/>
      <c r="CV1063" s="602"/>
      <c r="CW1063" s="602"/>
      <c r="CX1063" s="602"/>
      <c r="CY1063" s="602"/>
      <c r="CZ1063" s="602"/>
      <c r="DA1063" s="602"/>
      <c r="DB1063" s="602"/>
      <c r="DC1063" s="602"/>
      <c r="DD1063" s="602"/>
      <c r="DE1063" s="602"/>
      <c r="DF1063" s="602"/>
      <c r="DG1063" s="602"/>
      <c r="DH1063" s="602"/>
      <c r="DI1063" s="602"/>
      <c r="DJ1063" s="602"/>
      <c r="DK1063" s="602"/>
      <c r="DL1063" s="602"/>
      <c r="DM1063" s="602"/>
      <c r="DN1063" s="602"/>
      <c r="DO1063" s="602"/>
      <c r="DP1063" s="602"/>
      <c r="DQ1063" s="602"/>
      <c r="DR1063" s="602"/>
      <c r="DS1063" s="602"/>
      <c r="DT1063" s="602"/>
      <c r="DU1063" s="602"/>
      <c r="DV1063" s="602"/>
      <c r="DW1063" s="602"/>
      <c r="DX1063" s="602"/>
      <c r="DY1063" s="602"/>
      <c r="DZ1063" s="602"/>
      <c r="EA1063" s="602"/>
      <c r="EB1063" s="602"/>
      <c r="EC1063" s="602"/>
      <c r="ED1063" s="602"/>
      <c r="EE1063" s="602"/>
      <c r="EF1063" s="602"/>
      <c r="EG1063" s="602"/>
      <c r="EH1063" s="602"/>
      <c r="EI1063" s="602"/>
      <c r="EJ1063" s="602"/>
      <c r="EK1063" s="602"/>
      <c r="EL1063" s="602"/>
      <c r="EM1063" s="602"/>
      <c r="EN1063" s="602"/>
      <c r="EO1063" s="602"/>
      <c r="EP1063" s="602"/>
      <c r="EQ1063" s="602"/>
      <c r="ER1063" s="602"/>
      <c r="ES1063" s="602"/>
      <c r="ET1063" s="602"/>
      <c r="EU1063" s="602"/>
      <c r="EV1063" s="602"/>
      <c r="EW1063" s="602"/>
      <c r="EX1063" s="602"/>
      <c r="EY1063" s="602"/>
      <c r="EZ1063" s="602"/>
      <c r="FA1063" s="602"/>
      <c r="FB1063" s="602"/>
      <c r="FC1063" s="602"/>
      <c r="FD1063" s="602"/>
      <c r="FE1063" s="602"/>
      <c r="FF1063" s="602"/>
      <c r="FG1063" s="602"/>
      <c r="FH1063" s="602"/>
      <c r="FI1063" s="602"/>
      <c r="FJ1063" s="602"/>
      <c r="FK1063" s="602"/>
      <c r="FL1063" s="602"/>
      <c r="FM1063" s="602"/>
      <c r="FN1063" s="602"/>
      <c r="FO1063" s="602"/>
      <c r="FP1063" s="602"/>
      <c r="FQ1063" s="602"/>
      <c r="FR1063" s="602"/>
      <c r="FS1063" s="602"/>
      <c r="FT1063" s="602"/>
      <c r="FU1063" s="602"/>
      <c r="FV1063" s="602"/>
      <c r="FW1063" s="602"/>
      <c r="FX1063" s="602"/>
      <c r="FY1063" s="602"/>
      <c r="FZ1063" s="602"/>
      <c r="GA1063" s="602"/>
      <c r="GB1063" s="602"/>
      <c r="GC1063" s="602"/>
      <c r="GD1063" s="602"/>
      <c r="GE1063" s="602"/>
      <c r="GF1063" s="602"/>
      <c r="GG1063" s="602"/>
      <c r="GH1063" s="602"/>
      <c r="GI1063" s="602"/>
      <c r="GJ1063" s="602"/>
      <c r="GK1063" s="602"/>
      <c r="GL1063" s="602"/>
      <c r="GM1063" s="602"/>
      <c r="GN1063" s="602"/>
      <c r="GO1063" s="602"/>
      <c r="GP1063" s="602"/>
      <c r="GQ1063" s="602"/>
      <c r="GR1063" s="602"/>
      <c r="GS1063" s="602"/>
      <c r="GT1063" s="602"/>
      <c r="GU1063" s="602"/>
      <c r="GV1063" s="602"/>
      <c r="GW1063" s="602"/>
      <c r="GX1063" s="602"/>
      <c r="GY1063" s="602"/>
      <c r="GZ1063" s="602"/>
      <c r="HA1063" s="602"/>
      <c r="HB1063" s="602"/>
      <c r="HC1063" s="602"/>
      <c r="HD1063" s="602"/>
      <c r="HE1063" s="602"/>
      <c r="HF1063" s="602"/>
      <c r="HG1063" s="602"/>
      <c r="HH1063" s="602"/>
      <c r="HI1063" s="602"/>
      <c r="HJ1063" s="602"/>
      <c r="HK1063" s="602"/>
      <c r="HL1063" s="602"/>
      <c r="HM1063" s="602"/>
      <c r="HN1063" s="602"/>
      <c r="HO1063" s="602"/>
      <c r="HP1063" s="602"/>
      <c r="HQ1063" s="602"/>
      <c r="HR1063" s="602"/>
      <c r="HS1063" s="602"/>
      <c r="HT1063" s="602"/>
      <c r="HU1063" s="602"/>
      <c r="HV1063" s="602"/>
      <c r="HW1063" s="602"/>
      <c r="HX1063" s="602"/>
      <c r="HY1063" s="602"/>
      <c r="HZ1063" s="602"/>
      <c r="IA1063" s="602"/>
      <c r="IB1063" s="602"/>
      <c r="IC1063" s="602"/>
      <c r="ID1063" s="602"/>
      <c r="IE1063" s="602"/>
      <c r="IF1063" s="602"/>
      <c r="IG1063" s="602"/>
      <c r="IH1063" s="602"/>
      <c r="II1063" s="602"/>
      <c r="IJ1063" s="602"/>
      <c r="IK1063" s="602"/>
      <c r="IL1063" s="602"/>
      <c r="IM1063" s="602"/>
      <c r="IN1063" s="602"/>
      <c r="IO1063" s="602"/>
      <c r="IP1063" s="602"/>
      <c r="IQ1063" s="602"/>
      <c r="IR1063" s="602"/>
      <c r="IS1063" s="602"/>
      <c r="IT1063" s="602"/>
      <c r="IU1063" s="602"/>
      <c r="IV1063" s="602"/>
    </row>
    <row r="1064" spans="1:256" s="730" customFormat="1" ht="13.2">
      <c r="A1064" s="167">
        <v>35</v>
      </c>
      <c r="B1064" s="730" t="s">
        <v>326</v>
      </c>
      <c r="D1064" s="730" t="s">
        <v>763</v>
      </c>
      <c r="G1064" s="731" t="s">
        <v>764</v>
      </c>
      <c r="H1064" s="732">
        <v>690</v>
      </c>
      <c r="I1064" s="730" t="s">
        <v>765</v>
      </c>
      <c r="J1064" s="730" t="s">
        <v>766</v>
      </c>
      <c r="O1064" s="733">
        <v>1</v>
      </c>
      <c r="P1064" s="734">
        <v>34669</v>
      </c>
      <c r="Q1064" s="823">
        <v>3.66</v>
      </c>
      <c r="R1064" s="736">
        <f t="shared" ref="R1064:R1069" si="36">$A1064*Q1064</f>
        <v>128.1</v>
      </c>
      <c r="S1064" s="735">
        <v>0.2</v>
      </c>
      <c r="T1064" s="737">
        <f t="shared" ref="T1064:T1069" si="37">$A1064*S1064*$T$1</f>
        <v>7</v>
      </c>
    </row>
    <row r="1065" spans="1:256" s="730" customFormat="1" ht="13.2">
      <c r="A1065">
        <f>7*5</f>
        <v>35</v>
      </c>
      <c r="B1065" s="730" t="s">
        <v>326</v>
      </c>
      <c r="D1065" s="730" t="s">
        <v>1034</v>
      </c>
      <c r="G1065" s="731" t="s">
        <v>1035</v>
      </c>
      <c r="H1065" s="732">
        <v>615</v>
      </c>
      <c r="I1065" s="730" t="s">
        <v>561</v>
      </c>
      <c r="K1065" s="730" t="s">
        <v>1036</v>
      </c>
      <c r="O1065" s="733">
        <v>2</v>
      </c>
      <c r="P1065" s="734">
        <v>38988</v>
      </c>
      <c r="Q1065" s="823">
        <v>0.93</v>
      </c>
      <c r="R1065" s="736">
        <f t="shared" si="36"/>
        <v>32.550000000000004</v>
      </c>
      <c r="S1065" s="735">
        <v>0.03</v>
      </c>
      <c r="T1065" s="737">
        <f t="shared" si="37"/>
        <v>1.05</v>
      </c>
    </row>
    <row r="1066" spans="1:256" s="730" customFormat="1" ht="13.2">
      <c r="A1066">
        <v>10</v>
      </c>
      <c r="B1066" s="730" t="s">
        <v>141</v>
      </c>
      <c r="D1066" s="730" t="s">
        <v>850</v>
      </c>
      <c r="G1066" s="731" t="s">
        <v>851</v>
      </c>
      <c r="H1066" s="732">
        <v>620</v>
      </c>
      <c r="I1066" s="730" t="s">
        <v>702</v>
      </c>
      <c r="O1066" s="733">
        <v>2</v>
      </c>
      <c r="P1066" s="734">
        <v>34669</v>
      </c>
      <c r="Q1066" s="823">
        <v>0.14000000000000001</v>
      </c>
      <c r="R1066" s="736">
        <f t="shared" si="36"/>
        <v>1.4000000000000001</v>
      </c>
      <c r="S1066" s="735">
        <v>0.06</v>
      </c>
      <c r="T1066" s="737">
        <f t="shared" si="37"/>
        <v>0.6</v>
      </c>
    </row>
    <row r="1067" spans="1:256" s="730" customFormat="1" ht="13.2">
      <c r="A1067">
        <v>10</v>
      </c>
      <c r="B1067" s="730" t="s">
        <v>326</v>
      </c>
      <c r="D1067" s="730" t="s">
        <v>703</v>
      </c>
      <c r="G1067" s="731" t="s">
        <v>704</v>
      </c>
      <c r="H1067" s="732">
        <v>620</v>
      </c>
      <c r="I1067" s="730" t="s">
        <v>674</v>
      </c>
      <c r="O1067" s="733">
        <v>2</v>
      </c>
      <c r="P1067" s="734">
        <v>38148</v>
      </c>
      <c r="Q1067" s="735">
        <v>1.5</v>
      </c>
      <c r="R1067" s="736">
        <f t="shared" si="36"/>
        <v>15</v>
      </c>
      <c r="S1067" s="735">
        <v>0.08</v>
      </c>
      <c r="T1067" s="737">
        <f t="shared" si="37"/>
        <v>0.8</v>
      </c>
    </row>
    <row r="1068" spans="1:256" s="602" customFormat="1" ht="13.2">
      <c r="A1068">
        <v>5</v>
      </c>
      <c r="B1068" s="730" t="s">
        <v>141</v>
      </c>
      <c r="C1068" s="730"/>
      <c r="D1068" s="730" t="s">
        <v>751</v>
      </c>
      <c r="E1068" s="730"/>
      <c r="F1068" s="730"/>
      <c r="G1068" s="731" t="s">
        <v>752</v>
      </c>
      <c r="H1068" s="732">
        <v>900</v>
      </c>
      <c r="I1068" s="730" t="s">
        <v>686</v>
      </c>
      <c r="J1068" s="730"/>
      <c r="K1068" s="730"/>
      <c r="L1068" s="730"/>
      <c r="M1068" s="730"/>
      <c r="N1068" s="730"/>
      <c r="O1068" s="733">
        <v>3</v>
      </c>
      <c r="P1068" s="734">
        <v>34790</v>
      </c>
      <c r="Q1068" s="735"/>
      <c r="R1068" s="736">
        <f t="shared" si="36"/>
        <v>0</v>
      </c>
      <c r="S1068" s="735">
        <v>0.25</v>
      </c>
      <c r="T1068" s="737">
        <f t="shared" si="37"/>
        <v>1.25</v>
      </c>
      <c r="U1068" s="730"/>
      <c r="V1068" s="730"/>
      <c r="W1068" s="730"/>
      <c r="X1068" s="730"/>
      <c r="Y1068" s="730"/>
      <c r="Z1068" s="730"/>
      <c r="AA1068" s="730"/>
      <c r="AB1068" s="730"/>
      <c r="AC1068" s="730"/>
      <c r="AD1068" s="730"/>
      <c r="AE1068" s="730"/>
      <c r="AF1068" s="730"/>
      <c r="AG1068" s="730"/>
      <c r="AH1068" s="730"/>
      <c r="AI1068" s="730"/>
      <c r="AJ1068" s="730"/>
      <c r="AK1068" s="730"/>
      <c r="AL1068" s="730"/>
      <c r="AM1068" s="730"/>
      <c r="AN1068" s="730"/>
      <c r="AO1068" s="730"/>
      <c r="AP1068" s="730"/>
      <c r="AQ1068" s="730"/>
      <c r="AR1068" s="730"/>
      <c r="AS1068" s="730"/>
      <c r="AT1068" s="730"/>
      <c r="AU1068" s="730"/>
      <c r="AV1068" s="730"/>
      <c r="AW1068" s="730"/>
      <c r="AX1068" s="730"/>
      <c r="AY1068" s="730"/>
      <c r="AZ1068" s="730"/>
      <c r="BA1068" s="730"/>
      <c r="BB1068" s="730"/>
      <c r="BC1068" s="730"/>
      <c r="BD1068" s="730"/>
      <c r="BE1068" s="730"/>
      <c r="BF1068" s="730"/>
      <c r="BG1068" s="730"/>
      <c r="BH1068" s="730"/>
      <c r="BI1068" s="730"/>
      <c r="BJ1068" s="730"/>
      <c r="BK1068" s="730"/>
      <c r="BL1068" s="730"/>
      <c r="BM1068" s="730"/>
      <c r="BN1068" s="730"/>
      <c r="BO1068" s="730"/>
      <c r="BP1068" s="730"/>
      <c r="BQ1068" s="730"/>
      <c r="BR1068" s="730"/>
      <c r="BS1068" s="730"/>
      <c r="BT1068" s="730"/>
      <c r="BU1068" s="730"/>
      <c r="BV1068" s="730"/>
      <c r="BW1068" s="730"/>
      <c r="BX1068" s="730"/>
      <c r="BY1068" s="730"/>
      <c r="BZ1068" s="730"/>
      <c r="CA1068" s="730"/>
      <c r="CB1068" s="730"/>
      <c r="CC1068" s="730"/>
      <c r="CD1068" s="730"/>
      <c r="CE1068" s="730"/>
      <c r="CF1068" s="730"/>
      <c r="CG1068" s="730"/>
      <c r="CH1068" s="730"/>
      <c r="CI1068" s="730"/>
      <c r="CJ1068" s="730"/>
      <c r="CK1068" s="730"/>
      <c r="CL1068" s="730"/>
      <c r="CM1068" s="730"/>
      <c r="CN1068" s="730"/>
      <c r="CO1068" s="730"/>
      <c r="CP1068" s="730"/>
      <c r="CQ1068" s="730"/>
      <c r="CR1068" s="730"/>
      <c r="CS1068" s="730"/>
      <c r="CT1068" s="730"/>
      <c r="CU1068" s="730"/>
      <c r="CV1068" s="730"/>
      <c r="CW1068" s="730"/>
      <c r="CX1068" s="730"/>
      <c r="CY1068" s="730"/>
      <c r="CZ1068" s="730"/>
      <c r="DA1068" s="730"/>
      <c r="DB1068" s="730"/>
      <c r="DC1068" s="730"/>
      <c r="DD1068" s="730"/>
      <c r="DE1068" s="730"/>
      <c r="DF1068" s="730"/>
      <c r="DG1068" s="730"/>
      <c r="DH1068" s="730"/>
      <c r="DI1068" s="730"/>
      <c r="DJ1068" s="730"/>
      <c r="DK1068" s="730"/>
      <c r="DL1068" s="730"/>
      <c r="DM1068" s="730"/>
      <c r="DN1068" s="730"/>
      <c r="DO1068" s="730"/>
      <c r="DP1068" s="730"/>
      <c r="DQ1068" s="730"/>
      <c r="DR1068" s="730"/>
      <c r="DS1068" s="730"/>
      <c r="DT1068" s="730"/>
      <c r="DU1068" s="730"/>
      <c r="DV1068" s="730"/>
      <c r="DW1068" s="730"/>
      <c r="DX1068" s="730"/>
      <c r="DY1068" s="730"/>
      <c r="DZ1068" s="730"/>
      <c r="EA1068" s="730"/>
      <c r="EB1068" s="730"/>
      <c r="EC1068" s="730"/>
      <c r="ED1068" s="730"/>
      <c r="EE1068" s="730"/>
      <c r="EF1068" s="730"/>
      <c r="EG1068" s="730"/>
      <c r="EH1068" s="730"/>
      <c r="EI1068" s="730"/>
      <c r="EJ1068" s="730"/>
      <c r="EK1068" s="730"/>
      <c r="EL1068" s="730"/>
      <c r="EM1068" s="730"/>
      <c r="EN1068" s="730"/>
      <c r="EO1068" s="730"/>
      <c r="EP1068" s="730"/>
      <c r="EQ1068" s="730"/>
      <c r="ER1068" s="730"/>
      <c r="ES1068" s="730"/>
      <c r="ET1068" s="730"/>
      <c r="EU1068" s="730"/>
      <c r="EV1068" s="730"/>
      <c r="EW1068" s="730"/>
      <c r="EX1068" s="730"/>
      <c r="EY1068" s="730"/>
      <c r="EZ1068" s="730"/>
      <c r="FA1068" s="730"/>
      <c r="FB1068" s="730"/>
      <c r="FC1068" s="730"/>
      <c r="FD1068" s="730"/>
      <c r="FE1068" s="730"/>
      <c r="FF1068" s="730"/>
      <c r="FG1068" s="730"/>
      <c r="FH1068" s="730"/>
      <c r="FI1068" s="730"/>
      <c r="FJ1068" s="730"/>
      <c r="FK1068" s="730"/>
      <c r="FL1068" s="730"/>
      <c r="FM1068" s="730"/>
      <c r="FN1068" s="730"/>
      <c r="FO1068" s="730"/>
      <c r="FP1068" s="730"/>
      <c r="FQ1068" s="730"/>
      <c r="FR1068" s="730"/>
      <c r="FS1068" s="730"/>
      <c r="FT1068" s="730"/>
      <c r="FU1068" s="730"/>
      <c r="FV1068" s="730"/>
      <c r="FW1068" s="730"/>
      <c r="FX1068" s="730"/>
      <c r="FY1068" s="730"/>
      <c r="FZ1068" s="730"/>
      <c r="GA1068" s="730"/>
      <c r="GB1068" s="730"/>
      <c r="GC1068" s="730"/>
      <c r="GD1068" s="730"/>
      <c r="GE1068" s="730"/>
      <c r="GF1068" s="730"/>
      <c r="GG1068" s="730"/>
      <c r="GH1068" s="730"/>
      <c r="GI1068" s="730"/>
      <c r="GJ1068" s="730"/>
      <c r="GK1068" s="730"/>
      <c r="GL1068" s="730"/>
      <c r="GM1068" s="730"/>
      <c r="GN1068" s="730"/>
      <c r="GO1068" s="730"/>
      <c r="GP1068" s="730"/>
      <c r="GQ1068" s="730"/>
      <c r="GR1068" s="730"/>
      <c r="GS1068" s="730"/>
      <c r="GT1068" s="730"/>
      <c r="GU1068" s="730"/>
      <c r="GV1068" s="730"/>
      <c r="GW1068" s="730"/>
      <c r="GX1068" s="730"/>
      <c r="GY1068" s="730"/>
      <c r="GZ1068" s="730"/>
      <c r="HA1068" s="730"/>
      <c r="HB1068" s="730"/>
      <c r="HC1068" s="730"/>
      <c r="HD1068" s="730"/>
      <c r="HE1068" s="730"/>
      <c r="HF1068" s="730"/>
      <c r="HG1068" s="730"/>
      <c r="HH1068" s="730"/>
      <c r="HI1068" s="730"/>
      <c r="HJ1068" s="730"/>
      <c r="HK1068" s="730"/>
      <c r="HL1068" s="730"/>
      <c r="HM1068" s="730"/>
      <c r="HN1068" s="730"/>
      <c r="HO1068" s="730"/>
      <c r="HP1068" s="730"/>
      <c r="HQ1068" s="730"/>
      <c r="HR1068" s="730"/>
      <c r="HS1068" s="730"/>
      <c r="HT1068" s="730"/>
      <c r="HU1068" s="730"/>
      <c r="HV1068" s="730"/>
      <c r="HW1068" s="730"/>
      <c r="HX1068" s="730"/>
      <c r="HY1068" s="730"/>
      <c r="HZ1068" s="730"/>
      <c r="IA1068" s="730"/>
      <c r="IB1068" s="730"/>
      <c r="IC1068" s="730"/>
      <c r="ID1068" s="730"/>
      <c r="IE1068" s="730"/>
      <c r="IF1068" s="730"/>
      <c r="IG1068" s="730"/>
      <c r="IH1068" s="730"/>
      <c r="II1068" s="730"/>
      <c r="IJ1068" s="730"/>
      <c r="IK1068" s="730"/>
      <c r="IL1068" s="730"/>
      <c r="IM1068" s="730"/>
      <c r="IN1068" s="730"/>
      <c r="IO1068" s="730"/>
      <c r="IP1068" s="730"/>
      <c r="IQ1068" s="730"/>
      <c r="IR1068" s="730"/>
      <c r="IS1068" s="730"/>
      <c r="IT1068" s="730"/>
      <c r="IU1068" s="730"/>
      <c r="IV1068" s="730"/>
    </row>
    <row r="1069" spans="1:256" s="602" customFormat="1" ht="12">
      <c r="A1069" s="663"/>
      <c r="B1069" s="663"/>
      <c r="C1069" s="663"/>
      <c r="D1069" s="663"/>
      <c r="E1069" s="663"/>
      <c r="F1069" s="664"/>
      <c r="G1069" s="663"/>
      <c r="H1069" s="663"/>
      <c r="I1069" s="601"/>
      <c r="J1069" s="663"/>
      <c r="K1069" s="663"/>
      <c r="L1069" s="663"/>
      <c r="M1069" s="663"/>
      <c r="N1069" s="663"/>
      <c r="O1069" s="663"/>
      <c r="P1069" s="663"/>
      <c r="Q1069" s="601"/>
      <c r="R1069" s="666">
        <f t="shared" si="36"/>
        <v>0</v>
      </c>
      <c r="S1069" s="601"/>
      <c r="T1069" s="681">
        <f t="shared" si="37"/>
        <v>0</v>
      </c>
    </row>
    <row r="1070" spans="1:256" s="602" customFormat="1" ht="12.6" thickBot="1">
      <c r="A1070" s="682" t="s">
        <v>145</v>
      </c>
      <c r="B1070" s="683">
        <f>(R1069+T1069)</f>
        <v>0</v>
      </c>
      <c r="C1070" s="684"/>
      <c r="D1070" s="684"/>
      <c r="E1070" s="684"/>
      <c r="F1070" s="685"/>
      <c r="G1070" s="684" t="s">
        <v>146</v>
      </c>
      <c r="H1070" s="684"/>
      <c r="I1070" s="686"/>
      <c r="J1070" s="684"/>
      <c r="K1070" s="684" t="s">
        <v>3</v>
      </c>
      <c r="L1070" s="687" t="s">
        <v>143</v>
      </c>
      <c r="M1070" s="687"/>
      <c r="N1070" s="687"/>
      <c r="O1070" s="687"/>
      <c r="P1070" s="687"/>
      <c r="Q1070" s="688"/>
      <c r="R1070" s="689">
        <f>SUM(R1062:R1069)</f>
        <v>177.05</v>
      </c>
      <c r="S1070" s="684"/>
      <c r="T1070" s="689">
        <f>SUM(T1062:T1069)</f>
        <v>10.700000000000001</v>
      </c>
      <c r="U1070" s="611"/>
      <c r="V1070" s="611"/>
      <c r="W1070" s="611"/>
      <c r="X1070" s="611"/>
      <c r="Y1070" s="611"/>
      <c r="Z1070" s="611"/>
      <c r="AA1070" s="611"/>
      <c r="AB1070" s="611"/>
      <c r="AC1070" s="611"/>
      <c r="AD1070" s="611"/>
      <c r="AE1070" s="611"/>
      <c r="AF1070" s="611"/>
      <c r="AG1070" s="611"/>
      <c r="AH1070" s="611"/>
      <c r="AI1070" s="611"/>
      <c r="AJ1070" s="611"/>
      <c r="AK1070" s="611"/>
      <c r="AL1070" s="611"/>
      <c r="AM1070" s="611"/>
      <c r="AN1070" s="611"/>
      <c r="AO1070" s="611"/>
    </row>
    <row r="1071" spans="1:256" s="602" customFormat="1" ht="12" thickTop="1">
      <c r="A1071" s="51" t="s">
        <v>154</v>
      </c>
      <c r="D1071" s="13"/>
      <c r="E1071" s="42"/>
      <c r="O1071" s="698"/>
    </row>
    <row r="1072" spans="1:256" s="602" customFormat="1" ht="13.2">
      <c r="B1072" s="3"/>
      <c r="O1072" s="698"/>
    </row>
    <row r="1073" spans="1:41" s="602" customFormat="1" ht="12">
      <c r="B1073" s="699">
        <f>$F1073/$C$2-($R1073*$S$2+$T1073*$T$2)</f>
        <v>2.5457193966076375E-3</v>
      </c>
      <c r="D1073" s="700" t="s">
        <v>414</v>
      </c>
      <c r="E1073" s="701"/>
      <c r="F1073" s="702">
        <f>SUMIF($L1040:$L1071,"ITEM",F1040:F1071)</f>
        <v>619.02</v>
      </c>
      <c r="G1073" s="663"/>
      <c r="H1073" s="663"/>
      <c r="I1073" s="601"/>
      <c r="J1073" s="663"/>
      <c r="K1073" s="663"/>
      <c r="L1073" s="678" t="s">
        <v>166</v>
      </c>
      <c r="M1073" s="678"/>
      <c r="N1073" s="678"/>
      <c r="O1073" s="678"/>
      <c r="P1073" s="678"/>
      <c r="R1073" s="702">
        <f>SUMIF($L1040:$L1071,"ITEM",R1040:R1071)</f>
        <v>177.05</v>
      </c>
      <c r="S1073" s="71"/>
      <c r="T1073" s="702">
        <f>SUMIF($L1040:$L1071,"ITEM",T1040:T1071)</f>
        <v>10.700000000000001</v>
      </c>
    </row>
    <row r="1074" spans="1:41" s="602" customFormat="1" ht="13.2">
      <c r="A1074" s="63"/>
      <c r="B1074" s="55" t="s">
        <v>413</v>
      </c>
      <c r="C1074" s="63"/>
      <c r="D1074" s="3"/>
      <c r="F1074" s="703" t="s">
        <v>168</v>
      </c>
      <c r="G1074" s="663"/>
      <c r="H1074" s="663"/>
      <c r="I1074" s="601"/>
      <c r="J1074" s="663"/>
      <c r="K1074" s="663"/>
      <c r="L1074" s="663"/>
      <c r="M1074" s="663"/>
      <c r="N1074" s="663"/>
      <c r="O1074" s="663"/>
      <c r="P1074" s="663"/>
      <c r="Q1074" s="665"/>
      <c r="R1074" s="703" t="s">
        <v>169</v>
      </c>
      <c r="S1074" s="38"/>
      <c r="T1074" s="703" t="s">
        <v>170</v>
      </c>
    </row>
    <row r="1075" spans="1:41" s="602" customFormat="1" ht="13.2">
      <c r="A1075" s="663"/>
      <c r="B1075" s="3"/>
      <c r="C1075" s="663"/>
      <c r="D1075" s="3"/>
      <c r="E1075" s="3"/>
      <c r="G1075" s="3"/>
      <c r="H1075" s="3"/>
      <c r="I1075" s="3"/>
      <c r="J1075" s="3"/>
      <c r="K1075" s="3"/>
      <c r="L1075" s="3"/>
      <c r="M1075" s="3"/>
      <c r="N1075" s="3"/>
      <c r="O1075" s="158"/>
      <c r="P1075" s="3"/>
      <c r="Q1075" s="3"/>
      <c r="R1075" s="3"/>
      <c r="S1075" s="3"/>
      <c r="T1075" s="3"/>
    </row>
    <row r="1076" spans="1:41" s="602" customFormat="1" ht="12" thickBot="1">
      <c r="A1076" s="611"/>
      <c r="B1076" s="684"/>
      <c r="C1076" s="684"/>
      <c r="D1076" s="611"/>
      <c r="E1076" s="39"/>
      <c r="F1076" s="704"/>
      <c r="G1076" s="684"/>
      <c r="H1076" s="684"/>
      <c r="I1076" s="686"/>
      <c r="J1076" s="684"/>
      <c r="K1076" s="684"/>
      <c r="L1076" s="687"/>
      <c r="M1076" s="687"/>
      <c r="N1076" s="687"/>
      <c r="O1076" s="687"/>
      <c r="P1076" s="687"/>
      <c r="Q1076" s="688"/>
      <c r="R1076" s="704"/>
      <c r="S1076" s="705"/>
      <c r="T1076" s="704"/>
      <c r="U1076" s="611"/>
      <c r="V1076" s="611"/>
      <c r="W1076" s="611"/>
      <c r="X1076" s="611"/>
      <c r="Y1076" s="611"/>
      <c r="Z1076" s="611"/>
      <c r="AA1076" s="611"/>
      <c r="AB1076" s="611"/>
      <c r="AC1076" s="611"/>
      <c r="AD1076" s="611"/>
      <c r="AE1076" s="611"/>
      <c r="AF1076" s="611"/>
      <c r="AG1076" s="611"/>
      <c r="AH1076" s="611"/>
      <c r="AI1076" s="611"/>
      <c r="AJ1076" s="611"/>
      <c r="AK1076" s="611"/>
    </row>
    <row r="1077" spans="1:41" s="602" customFormat="1" thickTop="1">
      <c r="A1077" s="51" t="s">
        <v>154</v>
      </c>
      <c r="B1077" s="3"/>
      <c r="C1077" s="63"/>
      <c r="D1077" s="63"/>
      <c r="E1077" s="63"/>
      <c r="F1077" s="63"/>
      <c r="G1077" s="63"/>
      <c r="H1077" s="63"/>
      <c r="I1077" s="63"/>
      <c r="J1077" s="63"/>
      <c r="K1077" s="63"/>
      <c r="L1077" s="63"/>
      <c r="M1077" s="63"/>
      <c r="N1077" s="63"/>
      <c r="O1077" s="64"/>
      <c r="P1077" s="63"/>
      <c r="Q1077" s="63"/>
      <c r="R1077" s="63"/>
      <c r="S1077" s="63"/>
      <c r="T1077" s="63"/>
    </row>
    <row r="1078" spans="1:41" s="602" customFormat="1" ht="13.2">
      <c r="A1078" s="63"/>
      <c r="B1078" s="3"/>
      <c r="C1078" s="3"/>
      <c r="E1078" s="3"/>
      <c r="F1078" s="3"/>
      <c r="G1078" s="3"/>
      <c r="H1078" s="3"/>
      <c r="I1078" s="3"/>
      <c r="J1078" s="3"/>
      <c r="K1078" s="3"/>
      <c r="L1078" s="3"/>
      <c r="M1078" s="3"/>
      <c r="N1078" s="3"/>
      <c r="O1078" s="158"/>
      <c r="P1078" s="3"/>
      <c r="Q1078" s="3"/>
      <c r="R1078" s="3"/>
      <c r="S1078" s="3"/>
      <c r="T1078" s="3"/>
    </row>
    <row r="1079" spans="1:41" s="602" customFormat="1" ht="12">
      <c r="A1079" s="63"/>
      <c r="B1079" s="699">
        <f ca="1">$F1079/$C$2-($R1079*$S$2+$T1079*$T$2)</f>
        <v>166.92711550689273</v>
      </c>
      <c r="C1079" s="63"/>
      <c r="D1079" s="706" t="s">
        <v>266</v>
      </c>
      <c r="E1079" s="701"/>
      <c r="F1079" s="707">
        <f ca="1">SUMIF($L14:$L1077,"PAGE",F14:F1077)</f>
        <v>35230.81</v>
      </c>
      <c r="G1079" s="663"/>
      <c r="H1079" s="663"/>
      <c r="I1079" s="601"/>
      <c r="J1079" s="663"/>
      <c r="K1079" s="663"/>
      <c r="L1079" s="172" t="s">
        <v>420</v>
      </c>
      <c r="M1079" s="172"/>
      <c r="N1079" s="172"/>
      <c r="O1079" s="173"/>
      <c r="P1079" s="172"/>
      <c r="Q1079" s="63"/>
      <c r="R1079" s="707">
        <f ca="1">SUMIF($L14:$L1077,"PAGE",R14:R1077)</f>
        <v>14014.749999999998</v>
      </c>
      <c r="S1079" s="63"/>
      <c r="T1079" s="707">
        <f ca="1">SUMIF($L14:$L1077,"PAGE",T14:T1077)</f>
        <v>461.06499999999994</v>
      </c>
    </row>
    <row r="1080" spans="1:41" s="602" customFormat="1" ht="12">
      <c r="A1080" s="63"/>
      <c r="B1080" s="55" t="s">
        <v>413</v>
      </c>
      <c r="C1080" s="63"/>
      <c r="D1080" s="706"/>
      <c r="F1080" s="708" t="s">
        <v>421</v>
      </c>
      <c r="G1080" s="663"/>
      <c r="H1080" s="663"/>
      <c r="I1080" s="601"/>
      <c r="J1080" s="663"/>
      <c r="K1080" s="663"/>
      <c r="L1080" s="63"/>
      <c r="M1080" s="63"/>
      <c r="N1080" s="63"/>
      <c r="O1080" s="64"/>
      <c r="P1080" s="63"/>
      <c r="Q1080" s="63"/>
      <c r="R1080" s="708" t="s">
        <v>422</v>
      </c>
      <c r="S1080" s="38"/>
      <c r="T1080" s="708" t="s">
        <v>423</v>
      </c>
    </row>
    <row r="1081" spans="1:41" s="602" customFormat="1" ht="11.4">
      <c r="O1081" s="698"/>
    </row>
    <row r="1082" spans="1:41" s="602" customFormat="1" ht="12" thickBot="1">
      <c r="A1082" s="684"/>
      <c r="B1082" s="684"/>
      <c r="C1082" s="684"/>
      <c r="D1082" s="684"/>
      <c r="E1082" s="684"/>
      <c r="F1082" s="39"/>
      <c r="G1082" s="611"/>
      <c r="H1082" s="611"/>
      <c r="I1082" s="611"/>
      <c r="J1082" s="611"/>
      <c r="K1082" s="611"/>
      <c r="L1082" s="684"/>
      <c r="M1082" s="684"/>
      <c r="N1082" s="684"/>
      <c r="O1082" s="684"/>
      <c r="P1082" s="684"/>
      <c r="Q1082" s="688"/>
      <c r="R1082" s="39"/>
      <c r="S1082" s="39"/>
      <c r="T1082" s="39"/>
      <c r="U1082" s="611"/>
      <c r="V1082" s="611"/>
      <c r="W1082" s="611"/>
      <c r="X1082" s="611"/>
      <c r="Y1082" s="611"/>
      <c r="Z1082" s="611"/>
      <c r="AA1082" s="611"/>
      <c r="AB1082" s="611"/>
      <c r="AC1082" s="611"/>
      <c r="AD1082" s="611"/>
      <c r="AE1082" s="611"/>
      <c r="AF1082" s="611"/>
      <c r="AG1082" s="611"/>
      <c r="AH1082" s="611"/>
      <c r="AI1082" s="611"/>
      <c r="AJ1082" s="611"/>
      <c r="AK1082" s="611"/>
    </row>
    <row r="1083" spans="1:41" s="602" customFormat="1" thickTop="1">
      <c r="A1083" s="63"/>
      <c r="B1083" s="63"/>
      <c r="C1083" s="3"/>
      <c r="D1083" s="3"/>
      <c r="E1083" s="63"/>
      <c r="F1083" s="63"/>
      <c r="G1083" s="63"/>
      <c r="H1083" s="63"/>
      <c r="I1083" s="63"/>
      <c r="J1083" s="63"/>
      <c r="K1083" s="63" t="s">
        <v>134</v>
      </c>
      <c r="L1083" s="63"/>
      <c r="M1083" s="63"/>
      <c r="N1083" s="63"/>
      <c r="O1083" s="64"/>
      <c r="P1083" s="63"/>
      <c r="Q1083" s="63"/>
      <c r="R1083" s="63"/>
      <c r="S1083" s="63"/>
      <c r="T1083" s="63"/>
    </row>
    <row r="1084" spans="1:41" s="602" customFormat="1" ht="12">
      <c r="A1084" s="63"/>
      <c r="B1084" s="63"/>
      <c r="C1084" s="63" t="s">
        <v>135</v>
      </c>
      <c r="D1084" s="37" t="s">
        <v>136</v>
      </c>
      <c r="E1084" s="63"/>
      <c r="F1084" s="63"/>
      <c r="G1084" s="63"/>
      <c r="H1084" s="63"/>
      <c r="I1084" s="63"/>
      <c r="J1084" s="63"/>
      <c r="K1084" s="63"/>
      <c r="L1084" s="63"/>
      <c r="M1084" s="63"/>
      <c r="N1084" s="63"/>
      <c r="O1084" s="64"/>
      <c r="P1084" s="63"/>
      <c r="Q1084" s="63"/>
      <c r="R1084" s="63"/>
      <c r="S1084" s="63"/>
      <c r="T1084" s="63"/>
    </row>
    <row r="1085" spans="1:41" s="602" customFormat="1" ht="12">
      <c r="A1085" s="63"/>
      <c r="B1085" s="63"/>
      <c r="C1085" s="63"/>
      <c r="D1085" s="37" t="s">
        <v>552</v>
      </c>
      <c r="E1085" s="63"/>
      <c r="F1085" s="63"/>
      <c r="G1085" s="63"/>
      <c r="H1085" s="63"/>
      <c r="I1085" s="63"/>
      <c r="J1085" s="63"/>
      <c r="K1085" s="63"/>
      <c r="L1085" s="63"/>
      <c r="M1085" s="63"/>
      <c r="N1085" s="63"/>
      <c r="O1085" s="64"/>
      <c r="P1085" s="63"/>
      <c r="Q1085" s="63"/>
      <c r="R1085" s="63"/>
      <c r="S1085" s="38"/>
      <c r="T1085" s="38"/>
    </row>
    <row r="1086" spans="1:41" s="602" customFormat="1" ht="12" customHeight="1">
      <c r="A1086" s="63"/>
      <c r="B1086" s="41"/>
      <c r="C1086" s="63"/>
      <c r="E1086" s="42" t="s">
        <v>138</v>
      </c>
      <c r="F1086" s="42" t="s">
        <v>139</v>
      </c>
      <c r="G1086" s="63"/>
      <c r="H1086" s="63"/>
      <c r="I1086" s="63"/>
      <c r="J1086" s="63"/>
      <c r="K1086" s="63" t="s">
        <v>140</v>
      </c>
      <c r="L1086" s="63"/>
      <c r="M1086" s="63"/>
      <c r="N1086" s="63"/>
      <c r="O1086" s="64"/>
      <c r="P1086" s="63"/>
      <c r="Q1086" s="63"/>
      <c r="R1086" s="63"/>
      <c r="S1086" s="63"/>
      <c r="T1086" s="41"/>
      <c r="AG1086" s="667" t="s">
        <v>278</v>
      </c>
      <c r="AH1086" s="667" t="s">
        <v>279</v>
      </c>
      <c r="AI1086" s="667" t="s">
        <v>280</v>
      </c>
      <c r="AJ1086" s="667" t="s">
        <v>281</v>
      </c>
      <c r="AK1086" s="667" t="s">
        <v>282</v>
      </c>
      <c r="AM1086" s="668" t="s">
        <v>291</v>
      </c>
      <c r="AN1086" s="669" t="s">
        <v>292</v>
      </c>
      <c r="AO1086" s="603" t="s">
        <v>288</v>
      </c>
    </row>
    <row r="1087" spans="1:41" s="602" customFormat="1" ht="39.9" customHeight="1">
      <c r="A1087" s="670">
        <v>3</v>
      </c>
      <c r="B1087" s="671" t="s">
        <v>367</v>
      </c>
      <c r="C1087" s="672"/>
      <c r="D1087" s="673" t="s">
        <v>402</v>
      </c>
      <c r="E1087" s="674">
        <f>IF(AND($A1087=0,$A$1="DIF"),0, ROUND(ROUND(($R1095*$S$2+($T1095*$T$2))/A1087,2)*$C$2,2))</f>
        <v>0</v>
      </c>
      <c r="F1087" s="675">
        <f>ROUND($A1087*$E1087,2)</f>
        <v>0</v>
      </c>
      <c r="G1087" s="676" t="s">
        <v>142</v>
      </c>
      <c r="H1087" s="664"/>
      <c r="I1087" s="677"/>
      <c r="J1087" s="664"/>
      <c r="K1087" s="664" t="s">
        <v>3</v>
      </c>
      <c r="L1087" s="678" t="s">
        <v>143</v>
      </c>
      <c r="M1087" s="678"/>
      <c r="N1087" s="678"/>
      <c r="O1087" s="678"/>
      <c r="P1087" s="678"/>
      <c r="Q1087" s="63"/>
      <c r="T1087" s="679" t="str">
        <f>IF(AND($R1095=0,$T1095=0),"0.00","mu :" &amp; ROUND($F1087/$C$2/($R1095+$T1095*$D$9),2))</f>
        <v>0.00</v>
      </c>
      <c r="W1087" s="604"/>
      <c r="AG1087" s="549">
        <f>IF($E1087=0,0,ROUND($R1095*$S$2*$C$2/$A1087,2))</f>
        <v>0</v>
      </c>
      <c r="AH1087" s="549">
        <f>$AG1087*$A1087</f>
        <v>0</v>
      </c>
      <c r="AI1087" s="605">
        <f>$E1087-$AG1087</f>
        <v>0</v>
      </c>
      <c r="AJ1087" s="605">
        <f>$A1087*$AI1087</f>
        <v>0</v>
      </c>
      <c r="AK1087" s="606">
        <f>ROUND(($AG1087+$AI1087)*$A1087,2)</f>
        <v>0</v>
      </c>
      <c r="AM1087" s="607">
        <f>ROUND(R1095,2)</f>
        <v>0</v>
      </c>
      <c r="AN1087" s="608">
        <f>ROUND(T1095,2)</f>
        <v>0</v>
      </c>
      <c r="AO1087" s="609">
        <f>ROUND(AM1087+AN1087,2)*A1087</f>
        <v>0</v>
      </c>
    </row>
    <row r="1088" spans="1:41" s="602" customFormat="1" ht="13.2">
      <c r="A1088" s="672"/>
      <c r="B1088"/>
      <c r="C1088" s="672"/>
      <c r="D1088" s="1368" t="s">
        <v>366</v>
      </c>
      <c r="E1088" s="1369"/>
      <c r="F1088" s="1369"/>
      <c r="G1088" s="1369"/>
      <c r="H1088" s="1369"/>
      <c r="I1088" s="1369"/>
      <c r="J1088" s="1369"/>
      <c r="K1088" s="1369"/>
      <c r="L1088" s="1369"/>
      <c r="M1088" s="1369"/>
      <c r="N1088" s="1369"/>
      <c r="O1088" s="1369"/>
      <c r="P1088" s="1369"/>
      <c r="Q1088" s="1369"/>
      <c r="R1088" s="1369"/>
      <c r="S1088" s="1369"/>
      <c r="T1088" s="1369"/>
    </row>
    <row r="1089" spans="1:256" s="602" customFormat="1" ht="12">
      <c r="A1089" s="63"/>
      <c r="B1089" s="663"/>
      <c r="C1089" s="663"/>
      <c r="D1089" s="663"/>
      <c r="E1089" s="663"/>
      <c r="F1089" s="664"/>
      <c r="G1089" s="663"/>
      <c r="H1089" s="663"/>
      <c r="I1089" s="601"/>
      <c r="J1089" s="663"/>
      <c r="K1089" s="663"/>
      <c r="L1089" s="663"/>
      <c r="M1089" s="663"/>
      <c r="N1089" s="663"/>
      <c r="O1089" s="663"/>
      <c r="P1089" s="663"/>
      <c r="Q1089" s="601"/>
      <c r="R1089" s="666">
        <f t="shared" ref="R1089:R1094" si="38">$A1089*Q1089</f>
        <v>0</v>
      </c>
      <c r="S1089" s="601"/>
      <c r="T1089" s="681">
        <f t="shared" ref="T1089:T1094" si="39">$A1089*S1089*$T$1</f>
        <v>0</v>
      </c>
    </row>
    <row r="1090" spans="1:256" s="602" customFormat="1" ht="12">
      <c r="A1090" s="63"/>
      <c r="B1090" s="663"/>
      <c r="C1090" s="663"/>
      <c r="D1090" s="663"/>
      <c r="E1090" s="663"/>
      <c r="F1090" s="664"/>
      <c r="G1090" s="663"/>
      <c r="H1090" s="663"/>
      <c r="I1090" s="601"/>
      <c r="J1090" s="663"/>
      <c r="K1090" s="663"/>
      <c r="L1090" s="663"/>
      <c r="M1090" s="663"/>
      <c r="N1090" s="663"/>
      <c r="O1090" s="663"/>
      <c r="P1090" s="663"/>
      <c r="Q1090" s="601"/>
      <c r="R1090" s="666">
        <f t="shared" si="38"/>
        <v>0</v>
      </c>
      <c r="S1090" s="601"/>
      <c r="T1090" s="681">
        <f t="shared" si="39"/>
        <v>0</v>
      </c>
    </row>
    <row r="1091" spans="1:256" s="602" customFormat="1" ht="12">
      <c r="A1091" s="63"/>
      <c r="B1091" s="663"/>
      <c r="C1091" s="663"/>
      <c r="D1091" s="663"/>
      <c r="E1091" s="663"/>
      <c r="F1091" s="664"/>
      <c r="G1091" s="663"/>
      <c r="H1091" s="663"/>
      <c r="I1091" s="601"/>
      <c r="J1091" s="663"/>
      <c r="K1091" s="663"/>
      <c r="L1091" s="663"/>
      <c r="M1091" s="663"/>
      <c r="N1091" s="663"/>
      <c r="O1091" s="663"/>
      <c r="P1091" s="663"/>
      <c r="Q1091" s="601"/>
      <c r="R1091" s="666">
        <f t="shared" si="38"/>
        <v>0</v>
      </c>
      <c r="S1091" s="601"/>
      <c r="T1091" s="681">
        <f t="shared" si="39"/>
        <v>0</v>
      </c>
    </row>
    <row r="1092" spans="1:256" s="602" customFormat="1" ht="12">
      <c r="A1092" s="63"/>
      <c r="B1092" s="663"/>
      <c r="C1092" s="663"/>
      <c r="D1092" s="663"/>
      <c r="E1092" s="663"/>
      <c r="F1092" s="664"/>
      <c r="G1092" s="663"/>
      <c r="H1092" s="663"/>
      <c r="I1092" s="601"/>
      <c r="J1092" s="663"/>
      <c r="K1092" s="663"/>
      <c r="L1092" s="663"/>
      <c r="M1092" s="663"/>
      <c r="N1092" s="663"/>
      <c r="O1092" s="663"/>
      <c r="P1092" s="663"/>
      <c r="Q1092" s="601"/>
      <c r="R1092" s="666">
        <f t="shared" si="38"/>
        <v>0</v>
      </c>
      <c r="S1092" s="601"/>
      <c r="T1092" s="681">
        <f t="shared" si="39"/>
        <v>0</v>
      </c>
    </row>
    <row r="1093" spans="1:256" s="602" customFormat="1" ht="12">
      <c r="A1093" s="63"/>
      <c r="B1093" s="663"/>
      <c r="C1093" s="663"/>
      <c r="D1093" s="663"/>
      <c r="E1093" s="663"/>
      <c r="F1093" s="664"/>
      <c r="G1093" s="663"/>
      <c r="H1093" s="663"/>
      <c r="I1093" s="601"/>
      <c r="J1093" s="663"/>
      <c r="K1093" s="663"/>
      <c r="L1093" s="663"/>
      <c r="M1093" s="663"/>
      <c r="N1093" s="663"/>
      <c r="O1093" s="663"/>
      <c r="P1093" s="663"/>
      <c r="Q1093" s="601"/>
      <c r="R1093" s="666">
        <f t="shared" si="38"/>
        <v>0</v>
      </c>
      <c r="S1093" s="601"/>
      <c r="T1093" s="681">
        <f t="shared" si="39"/>
        <v>0</v>
      </c>
    </row>
    <row r="1094" spans="1:256" s="602" customFormat="1" ht="12">
      <c r="A1094" s="663"/>
      <c r="B1094" s="663"/>
      <c r="C1094" s="663"/>
      <c r="D1094" s="663"/>
      <c r="E1094" s="663"/>
      <c r="F1094" s="664"/>
      <c r="G1094" s="663"/>
      <c r="H1094" s="663"/>
      <c r="I1094" s="601"/>
      <c r="J1094" s="663"/>
      <c r="K1094" s="663"/>
      <c r="L1094" s="663"/>
      <c r="M1094" s="663"/>
      <c r="N1094" s="663"/>
      <c r="O1094" s="663"/>
      <c r="P1094" s="663"/>
      <c r="Q1094" s="601"/>
      <c r="R1094" s="666">
        <f t="shared" si="38"/>
        <v>0</v>
      </c>
      <c r="S1094" s="601"/>
      <c r="T1094" s="681">
        <f t="shared" si="39"/>
        <v>0</v>
      </c>
    </row>
    <row r="1095" spans="1:256" s="602" customFormat="1" ht="12.6" thickBot="1">
      <c r="A1095" s="682" t="s">
        <v>145</v>
      </c>
      <c r="B1095" s="683">
        <f>(R1094+T1094)</f>
        <v>0</v>
      </c>
      <c r="C1095" s="684"/>
      <c r="D1095" s="684"/>
      <c r="E1095" s="684"/>
      <c r="F1095" s="685"/>
      <c r="G1095" s="684" t="s">
        <v>146</v>
      </c>
      <c r="H1095" s="684"/>
      <c r="I1095" s="686"/>
      <c r="J1095" s="684"/>
      <c r="K1095" s="684" t="s">
        <v>3</v>
      </c>
      <c r="L1095" s="687" t="s">
        <v>143</v>
      </c>
      <c r="M1095" s="687"/>
      <c r="N1095" s="687"/>
      <c r="O1095" s="687"/>
      <c r="P1095" s="687"/>
      <c r="Q1095" s="688"/>
      <c r="R1095" s="689">
        <f>SUM(R1088:R1094)</f>
        <v>0</v>
      </c>
      <c r="S1095" s="684"/>
      <c r="T1095" s="689">
        <f>SUM(T1088:T1094)</f>
        <v>0</v>
      </c>
      <c r="U1095" s="611"/>
      <c r="V1095" s="611"/>
      <c r="W1095" s="611"/>
      <c r="X1095" s="611"/>
      <c r="Y1095" s="611"/>
      <c r="Z1095" s="611"/>
      <c r="AA1095" s="611"/>
      <c r="AB1095" s="611"/>
      <c r="AC1095" s="611"/>
      <c r="AD1095" s="611"/>
      <c r="AE1095" s="611"/>
      <c r="AF1095" s="611"/>
      <c r="AG1095" s="611"/>
      <c r="AH1095" s="611"/>
      <c r="AI1095" s="611"/>
      <c r="AJ1095" s="611"/>
      <c r="AK1095" s="611"/>
      <c r="AL1095" s="611"/>
      <c r="AM1095" s="611"/>
      <c r="AN1095" s="611"/>
      <c r="AO1095" s="611"/>
    </row>
    <row r="1096" spans="1:256" s="602" customFormat="1" thickTop="1">
      <c r="A1096" s="63"/>
      <c r="B1096" s="41"/>
      <c r="C1096" s="63"/>
      <c r="E1096" s="42" t="s">
        <v>138</v>
      </c>
      <c r="F1096"/>
      <c r="G1096" s="63"/>
      <c r="H1096" s="63"/>
      <c r="I1096" s="63"/>
      <c r="J1096" s="63"/>
      <c r="K1096" s="63" t="s">
        <v>140</v>
      </c>
      <c r="L1096" s="709"/>
      <c r="M1096" s="63"/>
      <c r="N1096" s="63"/>
      <c r="O1096" s="64"/>
      <c r="P1096" s="63"/>
      <c r="Q1096" s="63"/>
      <c r="R1096" s="63"/>
      <c r="S1096" s="63"/>
      <c r="T1096" s="41"/>
      <c r="AG1096" s="667" t="s">
        <v>278</v>
      </c>
      <c r="AH1096" s="710"/>
      <c r="AI1096" s="667" t="s">
        <v>280</v>
      </c>
      <c r="AM1096" s="668" t="s">
        <v>291</v>
      </c>
      <c r="AN1096" s="669" t="s">
        <v>292</v>
      </c>
      <c r="AO1096" s="603" t="s">
        <v>288</v>
      </c>
    </row>
    <row r="1097" spans="1:256" s="602" customFormat="1" ht="13.2">
      <c r="A1097" s="670">
        <v>1</v>
      </c>
      <c r="B1097" s="671" t="s">
        <v>369</v>
      </c>
      <c r="C1097" s="672"/>
      <c r="D1097" s="673" t="s">
        <v>403</v>
      </c>
      <c r="E1097" s="711">
        <f>IF(AND($A1097=0,$A$1="DIF"),0, ROUND(ROUND(($R1105*$S$2+($T1105*$T$2))/A1097,2)*$C$2,2))</f>
        <v>36.47</v>
      </c>
      <c r="F1097"/>
      <c r="G1097" s="676" t="s">
        <v>142</v>
      </c>
      <c r="H1097" s="664"/>
      <c r="I1097" s="677"/>
      <c r="J1097" s="664"/>
      <c r="K1097" s="712" t="s">
        <v>556</v>
      </c>
      <c r="L1097" s="709" t="s">
        <v>143</v>
      </c>
      <c r="M1097" s="678"/>
      <c r="N1097" s="678"/>
      <c r="O1097" s="678"/>
      <c r="P1097" s="678"/>
      <c r="Q1097" s="63"/>
      <c r="T1097" s="679" t="str">
        <f>IF(AND($R1105=0,$T1105=0),"0.00","mu :" &amp; ROUND($A1097*$E1097/$C$2/($R1105+$T1105*$D$9),2))</f>
        <v>mu :1.35</v>
      </c>
      <c r="W1097" s="604"/>
      <c r="AG1097" s="605">
        <f>IF($E1097=0,0,ROUND($R1105*$S$2*$C$2/$A1097,2))</f>
        <v>8.68</v>
      </c>
      <c r="AH1097" s="710"/>
      <c r="AI1097" s="605">
        <f>$E1097-$AG1097</f>
        <v>27.79</v>
      </c>
      <c r="AM1097" s="607">
        <f>ROUND(R1105,2)</f>
        <v>6.6</v>
      </c>
      <c r="AN1097" s="608">
        <f>ROUND(T1105,2)</f>
        <v>0.77</v>
      </c>
      <c r="AO1097" s="609">
        <f>ROUND(AM1097+AN1097,2)*A1097</f>
        <v>7.37</v>
      </c>
    </row>
    <row r="1098" spans="1:256" s="714" customFormat="1" ht="13.2">
      <c r="A1098" s="672"/>
      <c r="B1098"/>
      <c r="C1098" s="672"/>
      <c r="D1098" s="1368" t="s">
        <v>368</v>
      </c>
      <c r="E1098" s="1369"/>
      <c r="F1098" s="1369"/>
      <c r="G1098" s="1369"/>
      <c r="H1098" s="1369"/>
      <c r="I1098" s="1369"/>
      <c r="J1098" s="1369"/>
      <c r="K1098" s="1369"/>
      <c r="L1098" s="1369"/>
      <c r="M1098" s="1369"/>
      <c r="N1098" s="1369"/>
      <c r="O1098" s="1369"/>
      <c r="P1098" s="1369"/>
      <c r="Q1098" s="1369"/>
      <c r="R1098" s="1369"/>
      <c r="S1098" s="1369"/>
      <c r="T1098" s="1369"/>
      <c r="U1098" s="602"/>
      <c r="V1098" s="602"/>
      <c r="W1098" s="602"/>
      <c r="X1098" s="602"/>
      <c r="Y1098" s="602"/>
      <c r="Z1098" s="602"/>
      <c r="AA1098" s="602"/>
      <c r="AB1098" s="602"/>
      <c r="AC1098" s="602"/>
      <c r="AD1098" s="602"/>
      <c r="AE1098" s="602"/>
      <c r="AF1098" s="602"/>
      <c r="AG1098" s="602"/>
      <c r="AH1098" s="602"/>
      <c r="AI1098" s="602"/>
      <c r="AJ1098" s="602"/>
      <c r="AK1098" s="602"/>
      <c r="AL1098" s="602"/>
      <c r="AM1098" s="602"/>
      <c r="AN1098" s="602"/>
      <c r="AO1098" s="602"/>
      <c r="AP1098" s="602"/>
      <c r="AQ1098" s="602"/>
      <c r="AR1098" s="602"/>
      <c r="AS1098" s="602"/>
      <c r="AT1098" s="602"/>
      <c r="AU1098" s="602"/>
      <c r="AV1098" s="602"/>
      <c r="AW1098" s="602"/>
      <c r="AX1098" s="602"/>
      <c r="AY1098" s="602"/>
      <c r="AZ1098" s="602"/>
      <c r="BA1098" s="602"/>
      <c r="BB1098" s="602"/>
      <c r="BC1098" s="602"/>
      <c r="BD1098" s="602"/>
      <c r="BE1098" s="602"/>
      <c r="BF1098" s="602"/>
      <c r="BG1098" s="602"/>
      <c r="BH1098" s="602"/>
      <c r="BI1098" s="602"/>
      <c r="BJ1098" s="602"/>
      <c r="BK1098" s="602"/>
      <c r="BL1098" s="602"/>
      <c r="BM1098" s="602"/>
      <c r="BN1098" s="602"/>
      <c r="BO1098" s="602"/>
      <c r="BP1098" s="602"/>
      <c r="BQ1098" s="602"/>
      <c r="BR1098" s="602"/>
      <c r="BS1098" s="602"/>
      <c r="BT1098" s="602"/>
      <c r="BU1098" s="602"/>
      <c r="BV1098" s="602"/>
      <c r="BW1098" s="602"/>
      <c r="BX1098" s="602"/>
      <c r="BY1098" s="602"/>
      <c r="BZ1098" s="602"/>
      <c r="CA1098" s="602"/>
      <c r="CB1098" s="602"/>
      <c r="CC1098" s="602"/>
      <c r="CD1098" s="602"/>
      <c r="CE1098" s="602"/>
      <c r="CF1098" s="602"/>
      <c r="CG1098" s="602"/>
      <c r="CH1098" s="602"/>
      <c r="CI1098" s="602"/>
      <c r="CJ1098" s="602"/>
      <c r="CK1098" s="602"/>
      <c r="CL1098" s="602"/>
      <c r="CM1098" s="602"/>
      <c r="CN1098" s="602"/>
      <c r="CO1098" s="602"/>
      <c r="CP1098" s="602"/>
      <c r="CQ1098" s="602"/>
      <c r="CR1098" s="602"/>
      <c r="CS1098" s="602"/>
      <c r="CT1098" s="602"/>
      <c r="CU1098" s="602"/>
      <c r="CV1098" s="602"/>
      <c r="CW1098" s="602"/>
      <c r="CX1098" s="602"/>
      <c r="CY1098" s="602"/>
      <c r="CZ1098" s="602"/>
      <c r="DA1098" s="602"/>
      <c r="DB1098" s="602"/>
      <c r="DC1098" s="602"/>
      <c r="DD1098" s="602"/>
      <c r="DE1098" s="602"/>
      <c r="DF1098" s="602"/>
      <c r="DG1098" s="602"/>
      <c r="DH1098" s="602"/>
      <c r="DI1098" s="602"/>
      <c r="DJ1098" s="602"/>
      <c r="DK1098" s="602"/>
      <c r="DL1098" s="602"/>
      <c r="DM1098" s="602"/>
      <c r="DN1098" s="602"/>
      <c r="DO1098" s="602"/>
      <c r="DP1098" s="602"/>
      <c r="DQ1098" s="602"/>
      <c r="DR1098" s="602"/>
      <c r="DS1098" s="602"/>
      <c r="DT1098" s="602"/>
      <c r="DU1098" s="602"/>
      <c r="DV1098" s="602"/>
      <c r="DW1098" s="602"/>
      <c r="DX1098" s="602"/>
      <c r="DY1098" s="602"/>
      <c r="DZ1098" s="602"/>
      <c r="EA1098" s="602"/>
      <c r="EB1098" s="602"/>
      <c r="EC1098" s="602"/>
      <c r="ED1098" s="602"/>
      <c r="EE1098" s="602"/>
      <c r="EF1098" s="602"/>
      <c r="EG1098" s="602"/>
      <c r="EH1098" s="602"/>
      <c r="EI1098" s="602"/>
      <c r="EJ1098" s="602"/>
      <c r="EK1098" s="602"/>
      <c r="EL1098" s="602"/>
      <c r="EM1098" s="602"/>
      <c r="EN1098" s="602"/>
      <c r="EO1098" s="602"/>
      <c r="EP1098" s="602"/>
      <c r="EQ1098" s="602"/>
      <c r="ER1098" s="602"/>
      <c r="ES1098" s="602"/>
      <c r="ET1098" s="602"/>
      <c r="EU1098" s="602"/>
      <c r="EV1098" s="602"/>
      <c r="EW1098" s="602"/>
      <c r="EX1098" s="602"/>
      <c r="EY1098" s="602"/>
      <c r="EZ1098" s="602"/>
      <c r="FA1098" s="602"/>
      <c r="FB1098" s="602"/>
      <c r="FC1098" s="602"/>
      <c r="FD1098" s="602"/>
      <c r="FE1098" s="602"/>
      <c r="FF1098" s="602"/>
      <c r="FG1098" s="602"/>
      <c r="FH1098" s="602"/>
      <c r="FI1098" s="602"/>
      <c r="FJ1098" s="602"/>
      <c r="FK1098" s="602"/>
      <c r="FL1098" s="602"/>
      <c r="FM1098" s="602"/>
      <c r="FN1098" s="602"/>
      <c r="FO1098" s="602"/>
      <c r="FP1098" s="602"/>
      <c r="FQ1098" s="602"/>
      <c r="FR1098" s="602"/>
      <c r="FS1098" s="602"/>
      <c r="FT1098" s="602"/>
      <c r="FU1098" s="602"/>
      <c r="FV1098" s="602"/>
      <c r="FW1098" s="602"/>
      <c r="FX1098" s="602"/>
      <c r="FY1098" s="602"/>
      <c r="FZ1098" s="602"/>
      <c r="GA1098" s="602"/>
      <c r="GB1098" s="602"/>
      <c r="GC1098" s="602"/>
      <c r="GD1098" s="602"/>
      <c r="GE1098" s="602"/>
      <c r="GF1098" s="602"/>
      <c r="GG1098" s="602"/>
      <c r="GH1098" s="602"/>
      <c r="GI1098" s="602"/>
      <c r="GJ1098" s="602"/>
      <c r="GK1098" s="602"/>
      <c r="GL1098" s="602"/>
      <c r="GM1098" s="602"/>
      <c r="GN1098" s="602"/>
      <c r="GO1098" s="602"/>
      <c r="GP1098" s="602"/>
      <c r="GQ1098" s="602"/>
      <c r="GR1098" s="602"/>
      <c r="GS1098" s="602"/>
      <c r="GT1098" s="602"/>
      <c r="GU1098" s="602"/>
      <c r="GV1098" s="602"/>
      <c r="GW1098" s="602"/>
      <c r="GX1098" s="602"/>
      <c r="GY1098" s="602"/>
      <c r="GZ1098" s="602"/>
      <c r="HA1098" s="602"/>
      <c r="HB1098" s="602"/>
      <c r="HC1098" s="602"/>
      <c r="HD1098" s="602"/>
      <c r="HE1098" s="602"/>
      <c r="HF1098" s="602"/>
      <c r="HG1098" s="602"/>
      <c r="HH1098" s="602"/>
      <c r="HI1098" s="602"/>
      <c r="HJ1098" s="602"/>
      <c r="HK1098" s="602"/>
      <c r="HL1098" s="602"/>
      <c r="HM1098" s="602"/>
      <c r="HN1098" s="602"/>
      <c r="HO1098" s="602"/>
      <c r="HP1098" s="602"/>
      <c r="HQ1098" s="602"/>
      <c r="HR1098" s="602"/>
      <c r="HS1098" s="602"/>
      <c r="HT1098" s="602"/>
      <c r="HU1098" s="602"/>
      <c r="HV1098" s="602"/>
      <c r="HW1098" s="602"/>
      <c r="HX1098" s="602"/>
      <c r="HY1098" s="602"/>
      <c r="HZ1098" s="602"/>
      <c r="IA1098" s="602"/>
      <c r="IB1098" s="602"/>
      <c r="IC1098" s="602"/>
      <c r="ID1098" s="602"/>
      <c r="IE1098" s="602"/>
      <c r="IF1098" s="602"/>
      <c r="IG1098" s="602"/>
      <c r="IH1098" s="602"/>
      <c r="II1098" s="602"/>
      <c r="IJ1098" s="602"/>
      <c r="IK1098" s="602"/>
      <c r="IL1098" s="602"/>
      <c r="IM1098" s="602"/>
      <c r="IN1098" s="602"/>
      <c r="IO1098" s="602"/>
      <c r="IP1098" s="602"/>
      <c r="IQ1098" s="602"/>
      <c r="IR1098" s="602"/>
      <c r="IS1098" s="602"/>
      <c r="IT1098" s="602"/>
      <c r="IU1098" s="602"/>
      <c r="IV1098" s="602"/>
    </row>
    <row r="1099" spans="1:256" s="714" customFormat="1" ht="12">
      <c r="A1099" s="713">
        <v>22</v>
      </c>
      <c r="B1099" s="714" t="s">
        <v>326</v>
      </c>
      <c r="D1099" s="714" t="s">
        <v>557</v>
      </c>
      <c r="E1099" s="715" t="s">
        <v>558</v>
      </c>
      <c r="F1099" s="716"/>
      <c r="G1099" s="717" t="s">
        <v>559</v>
      </c>
      <c r="H1099" s="718" t="s">
        <v>560</v>
      </c>
      <c r="I1099" s="714" t="s">
        <v>561</v>
      </c>
      <c r="K1099" s="719"/>
      <c r="L1099" s="720" t="s">
        <v>560</v>
      </c>
      <c r="N1099" s="721"/>
      <c r="O1099" s="722">
        <v>2</v>
      </c>
      <c r="P1099" s="723">
        <v>38434</v>
      </c>
      <c r="Q1099" s="724">
        <v>0.3</v>
      </c>
      <c r="R1099" s="725">
        <f>$A1099*Q1099</f>
        <v>6.6</v>
      </c>
      <c r="S1099" s="724">
        <v>3.5000000000000003E-2</v>
      </c>
      <c r="T1099" s="681">
        <f>$A1099*S1099*$T$1</f>
        <v>0.77</v>
      </c>
      <c r="AG1099" s="602"/>
      <c r="AH1099" s="602"/>
      <c r="AI1099" s="602"/>
      <c r="AJ1099" s="602"/>
      <c r="AK1099" s="602"/>
    </row>
    <row r="1100" spans="1:256" s="602" customFormat="1" ht="12">
      <c r="A1100" s="713"/>
      <c r="B1100" s="714"/>
      <c r="C1100" s="714"/>
      <c r="D1100" s="714"/>
      <c r="E1100" s="715"/>
      <c r="F1100" s="716"/>
      <c r="G1100" s="714"/>
      <c r="H1100" s="678"/>
      <c r="I1100" s="714"/>
      <c r="J1100" s="714"/>
      <c r="K1100" s="714"/>
      <c r="L1100" s="709"/>
      <c r="M1100" s="714"/>
      <c r="N1100" s="721"/>
      <c r="O1100" s="721"/>
      <c r="P1100" s="723"/>
      <c r="Q1100" s="724"/>
      <c r="R1100" s="726"/>
      <c r="S1100" s="724"/>
      <c r="T1100" s="727"/>
      <c r="U1100" s="714"/>
      <c r="V1100" s="714"/>
      <c r="W1100" s="714"/>
      <c r="X1100" s="714"/>
      <c r="Y1100" s="714"/>
      <c r="Z1100" s="714"/>
      <c r="AA1100" s="714"/>
      <c r="AB1100" s="714"/>
      <c r="AC1100" s="714"/>
      <c r="AD1100" s="714"/>
      <c r="AE1100" s="714"/>
      <c r="AF1100" s="714"/>
      <c r="AG1100" s="714"/>
      <c r="AH1100" s="714"/>
      <c r="AI1100" s="714"/>
      <c r="AJ1100" s="714"/>
      <c r="AK1100" s="714"/>
      <c r="AL1100" s="714"/>
      <c r="AM1100" s="714"/>
      <c r="AN1100" s="714"/>
      <c r="AO1100" s="714"/>
      <c r="AP1100" s="714"/>
      <c r="AQ1100" s="714"/>
      <c r="AR1100" s="714"/>
      <c r="AS1100" s="714"/>
      <c r="AT1100" s="714"/>
      <c r="AU1100" s="714"/>
      <c r="AV1100" s="714"/>
      <c r="AW1100" s="714"/>
      <c r="AX1100" s="714"/>
      <c r="AY1100" s="714"/>
      <c r="AZ1100" s="714"/>
      <c r="BA1100" s="714"/>
      <c r="BB1100" s="714"/>
      <c r="BC1100" s="714"/>
      <c r="BD1100" s="714"/>
      <c r="BE1100" s="714"/>
      <c r="BF1100" s="714"/>
      <c r="BG1100" s="714"/>
      <c r="BH1100" s="714"/>
      <c r="BI1100" s="714"/>
      <c r="BJ1100" s="714"/>
      <c r="BK1100" s="714"/>
      <c r="BL1100" s="714"/>
      <c r="BM1100" s="714"/>
      <c r="BN1100" s="714"/>
      <c r="BO1100" s="714"/>
      <c r="BP1100" s="714"/>
      <c r="BQ1100" s="714"/>
      <c r="BR1100" s="714"/>
      <c r="BS1100" s="714"/>
      <c r="BT1100" s="714"/>
      <c r="BU1100" s="714"/>
      <c r="BV1100" s="714"/>
      <c r="BW1100" s="714"/>
      <c r="BX1100" s="714"/>
      <c r="BY1100" s="714"/>
      <c r="BZ1100" s="714"/>
      <c r="CA1100" s="714"/>
      <c r="CB1100" s="714"/>
      <c r="CC1100" s="714"/>
      <c r="CD1100" s="714"/>
      <c r="CE1100" s="714"/>
      <c r="CF1100" s="714"/>
      <c r="CG1100" s="714"/>
      <c r="CH1100" s="714"/>
      <c r="CI1100" s="714"/>
      <c r="CJ1100" s="714"/>
      <c r="CK1100" s="714"/>
      <c r="CL1100" s="714"/>
      <c r="CM1100" s="714"/>
      <c r="CN1100" s="714"/>
      <c r="CO1100" s="714"/>
      <c r="CP1100" s="714"/>
      <c r="CQ1100" s="714"/>
      <c r="CR1100" s="714"/>
      <c r="CS1100" s="714"/>
      <c r="CT1100" s="714"/>
      <c r="CU1100" s="714"/>
      <c r="CV1100" s="714"/>
      <c r="CW1100" s="714"/>
      <c r="CX1100" s="714"/>
      <c r="CY1100" s="714"/>
      <c r="CZ1100" s="714"/>
      <c r="DA1100" s="714"/>
      <c r="DB1100" s="714"/>
      <c r="DC1100" s="714"/>
      <c r="DD1100" s="714"/>
      <c r="DE1100" s="714"/>
      <c r="DF1100" s="714"/>
      <c r="DG1100" s="714"/>
      <c r="DH1100" s="714"/>
      <c r="DI1100" s="714"/>
      <c r="DJ1100" s="714"/>
      <c r="DK1100" s="714"/>
      <c r="DL1100" s="714"/>
      <c r="DM1100" s="714"/>
      <c r="DN1100" s="714"/>
      <c r="DO1100" s="714"/>
      <c r="DP1100" s="714"/>
      <c r="DQ1100" s="714"/>
      <c r="DR1100" s="714"/>
      <c r="DS1100" s="714"/>
      <c r="DT1100" s="714"/>
      <c r="DU1100" s="714"/>
      <c r="DV1100" s="714"/>
      <c r="DW1100" s="714"/>
      <c r="DX1100" s="714"/>
      <c r="DY1100" s="714"/>
      <c r="DZ1100" s="714"/>
      <c r="EA1100" s="714"/>
      <c r="EB1100" s="714"/>
      <c r="EC1100" s="714"/>
      <c r="ED1100" s="714"/>
      <c r="EE1100" s="714"/>
      <c r="EF1100" s="714"/>
      <c r="EG1100" s="714"/>
      <c r="EH1100" s="714"/>
      <c r="EI1100" s="714"/>
      <c r="EJ1100" s="714"/>
      <c r="EK1100" s="714"/>
      <c r="EL1100" s="714"/>
      <c r="EM1100" s="714"/>
      <c r="EN1100" s="714"/>
      <c r="EO1100" s="714"/>
      <c r="EP1100" s="714"/>
      <c r="EQ1100" s="714"/>
      <c r="ER1100" s="714"/>
      <c r="ES1100" s="714"/>
      <c r="ET1100" s="714"/>
      <c r="EU1100" s="714"/>
      <c r="EV1100" s="714"/>
      <c r="EW1100" s="714"/>
      <c r="EX1100" s="714"/>
      <c r="EY1100" s="714"/>
      <c r="EZ1100" s="714"/>
      <c r="FA1100" s="714"/>
      <c r="FB1100" s="714"/>
      <c r="FC1100" s="714"/>
      <c r="FD1100" s="714"/>
      <c r="FE1100" s="714"/>
      <c r="FF1100" s="714"/>
      <c r="FG1100" s="714"/>
      <c r="FH1100" s="714"/>
      <c r="FI1100" s="714"/>
      <c r="FJ1100" s="714"/>
      <c r="FK1100" s="714"/>
      <c r="FL1100" s="714"/>
      <c r="FM1100" s="714"/>
      <c r="FN1100" s="714"/>
      <c r="FO1100" s="714"/>
      <c r="FP1100" s="714"/>
      <c r="FQ1100" s="714"/>
      <c r="FR1100" s="714"/>
      <c r="FS1100" s="714"/>
      <c r="FT1100" s="714"/>
      <c r="FU1100" s="714"/>
      <c r="FV1100" s="714"/>
      <c r="FW1100" s="714"/>
      <c r="FX1100" s="714"/>
      <c r="FY1100" s="714"/>
      <c r="FZ1100" s="714"/>
      <c r="GA1100" s="714"/>
      <c r="GB1100" s="714"/>
      <c r="GC1100" s="714"/>
      <c r="GD1100" s="714"/>
      <c r="GE1100" s="714"/>
      <c r="GF1100" s="714"/>
      <c r="GG1100" s="714"/>
      <c r="GH1100" s="714"/>
      <c r="GI1100" s="714"/>
      <c r="GJ1100" s="714"/>
      <c r="GK1100" s="714"/>
      <c r="GL1100" s="714"/>
      <c r="GM1100" s="714"/>
      <c r="GN1100" s="714"/>
      <c r="GO1100" s="714"/>
      <c r="GP1100" s="714"/>
      <c r="GQ1100" s="714"/>
      <c r="GR1100" s="714"/>
      <c r="GS1100" s="714"/>
      <c r="GT1100" s="714"/>
      <c r="GU1100" s="714"/>
      <c r="GV1100" s="714"/>
      <c r="GW1100" s="714"/>
      <c r="GX1100" s="714"/>
      <c r="GY1100" s="714"/>
      <c r="GZ1100" s="714"/>
      <c r="HA1100" s="714"/>
      <c r="HB1100" s="714"/>
      <c r="HC1100" s="714"/>
      <c r="HD1100" s="714"/>
      <c r="HE1100" s="714"/>
      <c r="HF1100" s="714"/>
      <c r="HG1100" s="714"/>
      <c r="HH1100" s="714"/>
      <c r="HI1100" s="714"/>
      <c r="HJ1100" s="714"/>
      <c r="HK1100" s="714"/>
      <c r="HL1100" s="714"/>
      <c r="HM1100" s="714"/>
      <c r="HN1100" s="714"/>
      <c r="HO1100" s="714"/>
      <c r="HP1100" s="714"/>
      <c r="HQ1100" s="714"/>
      <c r="HR1100" s="714"/>
      <c r="HS1100" s="714"/>
      <c r="HT1100" s="714"/>
      <c r="HU1100" s="714"/>
      <c r="HV1100" s="714"/>
      <c r="HW1100" s="714"/>
      <c r="HX1100" s="714"/>
      <c r="HY1100" s="714"/>
      <c r="HZ1100" s="714"/>
      <c r="IA1100" s="714"/>
      <c r="IB1100" s="714"/>
      <c r="IC1100" s="714"/>
      <c r="ID1100" s="714"/>
      <c r="IE1100" s="714"/>
      <c r="IF1100" s="714"/>
      <c r="IG1100" s="714"/>
      <c r="IH1100" s="714"/>
      <c r="II1100" s="714"/>
      <c r="IJ1100" s="714"/>
      <c r="IK1100" s="714"/>
      <c r="IL1100" s="714"/>
      <c r="IM1100" s="714"/>
      <c r="IN1100" s="714"/>
      <c r="IO1100" s="714"/>
      <c r="IP1100" s="714"/>
      <c r="IQ1100" s="714"/>
      <c r="IR1100" s="714"/>
      <c r="IS1100" s="714"/>
      <c r="IT1100" s="714"/>
      <c r="IU1100" s="714"/>
      <c r="IV1100" s="714"/>
    </row>
    <row r="1101" spans="1:256" s="602" customFormat="1" ht="12">
      <c r="A1101" s="63"/>
      <c r="B1101" s="663"/>
      <c r="C1101" s="663"/>
      <c r="D1101" s="663"/>
      <c r="E1101" s="663"/>
      <c r="F1101" s="664"/>
      <c r="G1101" s="663"/>
      <c r="H1101" s="663"/>
      <c r="I1101" s="601"/>
      <c r="J1101" s="663"/>
      <c r="K1101" s="663"/>
      <c r="L1101" s="709"/>
      <c r="M1101" s="663"/>
      <c r="N1101" s="663"/>
      <c r="O1101" s="663"/>
      <c r="P1101" s="663"/>
      <c r="Q1101" s="601"/>
      <c r="R1101" s="666">
        <f>$A1101*Q1101</f>
        <v>0</v>
      </c>
      <c r="S1101" s="601"/>
      <c r="T1101" s="681">
        <f>$A1101*S1101*$T$1</f>
        <v>0</v>
      </c>
    </row>
    <row r="1102" spans="1:256" s="602" customFormat="1" ht="12">
      <c r="A1102" s="63"/>
      <c r="B1102" s="663"/>
      <c r="C1102" s="663"/>
      <c r="D1102" s="663"/>
      <c r="E1102" s="663"/>
      <c r="F1102" s="664"/>
      <c r="G1102" s="663"/>
      <c r="H1102" s="663"/>
      <c r="I1102" s="601"/>
      <c r="J1102" s="663"/>
      <c r="K1102" s="663"/>
      <c r="L1102" s="709"/>
      <c r="M1102" s="663"/>
      <c r="N1102" s="663"/>
      <c r="O1102" s="663"/>
      <c r="P1102" s="663"/>
      <c r="Q1102" s="601"/>
      <c r="R1102" s="666">
        <f>$A1102*Q1102</f>
        <v>0</v>
      </c>
      <c r="S1102" s="601"/>
      <c r="T1102" s="681">
        <f>$A1102*S1102*$T$1</f>
        <v>0</v>
      </c>
    </row>
    <row r="1103" spans="1:256" s="602" customFormat="1" ht="12">
      <c r="A1103" s="63"/>
      <c r="B1103" s="663"/>
      <c r="C1103" s="663"/>
      <c r="D1103" s="663"/>
      <c r="E1103" s="663"/>
      <c r="F1103" s="664"/>
      <c r="G1103" s="663"/>
      <c r="H1103" s="663"/>
      <c r="I1103" s="601"/>
      <c r="J1103" s="663"/>
      <c r="K1103" s="663"/>
      <c r="L1103" s="709"/>
      <c r="M1103" s="663"/>
      <c r="N1103" s="663"/>
      <c r="O1103" s="663"/>
      <c r="P1103" s="663"/>
      <c r="Q1103" s="601"/>
      <c r="R1103" s="666">
        <f>$A1103*Q1103</f>
        <v>0</v>
      </c>
      <c r="S1103" s="601"/>
      <c r="T1103" s="681">
        <f>$A1103*S1103*$T$1</f>
        <v>0</v>
      </c>
    </row>
    <row r="1104" spans="1:256" s="602" customFormat="1" ht="12">
      <c r="A1104" s="663"/>
      <c r="B1104" s="663"/>
      <c r="C1104" s="663"/>
      <c r="D1104" s="663"/>
      <c r="E1104" s="663"/>
      <c r="F1104" s="664"/>
      <c r="G1104" s="663"/>
      <c r="H1104" s="663"/>
      <c r="I1104" s="601"/>
      <c r="J1104" s="663"/>
      <c r="K1104" s="663"/>
      <c r="L1104" s="709"/>
      <c r="M1104" s="663"/>
      <c r="N1104" s="663"/>
      <c r="O1104" s="663"/>
      <c r="P1104" s="663"/>
      <c r="Q1104" s="601"/>
      <c r="R1104" s="666">
        <f>$A1104*Q1104</f>
        <v>0</v>
      </c>
      <c r="S1104" s="601"/>
      <c r="T1104" s="681">
        <f>$A1104*S1104*$T$1</f>
        <v>0</v>
      </c>
    </row>
    <row r="1105" spans="1:256" s="602" customFormat="1" ht="12.6" thickBot="1">
      <c r="A1105" s="682" t="s">
        <v>145</v>
      </c>
      <c r="B1105" s="683">
        <f>(R1104+T1104)</f>
        <v>0</v>
      </c>
      <c r="C1105" s="684"/>
      <c r="D1105" s="684"/>
      <c r="E1105" s="684"/>
      <c r="F1105" s="685"/>
      <c r="G1105" s="684" t="s">
        <v>146</v>
      </c>
      <c r="H1105" s="684"/>
      <c r="I1105" s="686"/>
      <c r="J1105" s="684"/>
      <c r="K1105" s="728"/>
      <c r="L1105" s="729" t="s">
        <v>556</v>
      </c>
      <c r="M1105" s="687"/>
      <c r="N1105" s="687"/>
      <c r="O1105" s="687"/>
      <c r="P1105" s="687"/>
      <c r="Q1105" s="688"/>
      <c r="R1105" s="689">
        <f>SUM(R1098:R1104)</f>
        <v>6.6</v>
      </c>
      <c r="S1105" s="684"/>
      <c r="T1105" s="689">
        <f>SUM(T1098:T1104)</f>
        <v>0.77</v>
      </c>
      <c r="U1105" s="611"/>
      <c r="V1105" s="611"/>
      <c r="W1105" s="611"/>
      <c r="X1105" s="611"/>
      <c r="Y1105" s="611"/>
      <c r="Z1105" s="611"/>
      <c r="AA1105" s="611"/>
      <c r="AB1105" s="611"/>
      <c r="AC1105" s="611"/>
      <c r="AD1105" s="611"/>
      <c r="AE1105" s="611"/>
      <c r="AF1105" s="611"/>
      <c r="AG1105" s="611"/>
      <c r="AH1105" s="611"/>
      <c r="AI1105" s="611"/>
      <c r="AJ1105" s="611"/>
      <c r="AK1105" s="611"/>
      <c r="AL1105" s="611"/>
      <c r="AM1105" s="611"/>
      <c r="AN1105" s="611"/>
      <c r="AO1105" s="611"/>
    </row>
    <row r="1106" spans="1:256" s="602" customFormat="1" ht="12" thickTop="1">
      <c r="A1106" s="51" t="s">
        <v>154</v>
      </c>
      <c r="D1106" s="13"/>
      <c r="E1106" s="42"/>
      <c r="O1106" s="698"/>
    </row>
    <row r="1107" spans="1:256" s="602" customFormat="1" ht="13.2">
      <c r="B1107" s="3"/>
      <c r="O1107" s="698"/>
    </row>
    <row r="1108" spans="1:256" s="602" customFormat="1" ht="12">
      <c r="B1108" s="699">
        <f>$F1108/$C$2-($R1108*$S$2+$T1108*$T$2)</f>
        <v>0</v>
      </c>
      <c r="D1108" s="700" t="s">
        <v>412</v>
      </c>
      <c r="E1108" s="701"/>
      <c r="F1108" s="702">
        <f>SUMIF($L1083:$L1106,"ITEM",F1083:F1106)</f>
        <v>0</v>
      </c>
      <c r="G1108" s="663"/>
      <c r="H1108" s="663"/>
      <c r="I1108" s="601"/>
      <c r="J1108" s="663"/>
      <c r="K1108" s="663"/>
      <c r="L1108" s="678" t="s">
        <v>166</v>
      </c>
      <c r="M1108" s="678"/>
      <c r="N1108" s="678"/>
      <c r="O1108" s="678"/>
      <c r="P1108" s="678"/>
      <c r="R1108" s="702">
        <f>SUMIF($L1083:$L1106,"ITEM",R1083:R1106)</f>
        <v>0</v>
      </c>
      <c r="S1108" s="71"/>
      <c r="T1108" s="702">
        <f>SUMIF($L1083:$L1106,"ITEM",T1083:T1106)</f>
        <v>0</v>
      </c>
    </row>
    <row r="1109" spans="1:256" s="602" customFormat="1" ht="13.2">
      <c r="A1109" s="63"/>
      <c r="B1109" s="55" t="s">
        <v>413</v>
      </c>
      <c r="C1109" s="63"/>
      <c r="D1109" s="3"/>
      <c r="F1109" s="703" t="s">
        <v>168</v>
      </c>
      <c r="G1109" s="663"/>
      <c r="H1109" s="663"/>
      <c r="I1109" s="601"/>
      <c r="J1109" s="663"/>
      <c r="K1109" s="663"/>
      <c r="L1109" s="663"/>
      <c r="M1109" s="663"/>
      <c r="N1109" s="663"/>
      <c r="O1109" s="663"/>
      <c r="P1109" s="663"/>
      <c r="Q1109" s="665"/>
      <c r="R1109" s="703" t="s">
        <v>169</v>
      </c>
      <c r="S1109" s="38"/>
      <c r="T1109" s="703" t="s">
        <v>170</v>
      </c>
    </row>
    <row r="1110" spans="1:256" s="602" customFormat="1" ht="13.2">
      <c r="A1110" s="663"/>
      <c r="B1110" s="3"/>
      <c r="C1110" s="663"/>
      <c r="D1110" s="3"/>
      <c r="E1110" s="3"/>
      <c r="G1110" s="3"/>
      <c r="H1110" s="3"/>
      <c r="I1110" s="3"/>
      <c r="J1110" s="3"/>
      <c r="K1110" s="3"/>
      <c r="L1110" s="3"/>
      <c r="M1110" s="3"/>
      <c r="N1110" s="3"/>
      <c r="O1110" s="158"/>
      <c r="P1110" s="3"/>
      <c r="Q1110" s="3"/>
      <c r="R1110" s="3"/>
      <c r="S1110" s="3"/>
      <c r="T1110" s="3"/>
    </row>
    <row r="1111" spans="1:256" s="602" customFormat="1" ht="12" thickBot="1">
      <c r="A1111" s="611"/>
      <c r="B1111" s="684"/>
      <c r="C1111" s="684"/>
      <c r="D1111" s="611"/>
      <c r="E1111" s="39"/>
      <c r="F1111" s="704"/>
      <c r="G1111" s="684"/>
      <c r="H1111" s="684"/>
      <c r="I1111" s="686"/>
      <c r="J1111" s="684"/>
      <c r="K1111" s="684"/>
      <c r="L1111" s="687"/>
      <c r="M1111" s="687"/>
      <c r="N1111" s="687"/>
      <c r="O1111" s="687"/>
      <c r="P1111" s="687"/>
      <c r="Q1111" s="688"/>
      <c r="R1111" s="704"/>
      <c r="S1111" s="705"/>
      <c r="T1111" s="704"/>
      <c r="U1111" s="611"/>
      <c r="V1111" s="611"/>
      <c r="W1111" s="611"/>
      <c r="X1111" s="611"/>
      <c r="Y1111" s="611"/>
      <c r="Z1111" s="611"/>
      <c r="AA1111" s="611"/>
      <c r="AB1111" s="611"/>
      <c r="AC1111" s="611"/>
      <c r="AD1111" s="611"/>
      <c r="AE1111" s="611"/>
      <c r="AF1111" s="611"/>
      <c r="AG1111" s="611"/>
      <c r="AH1111" s="611"/>
      <c r="AI1111" s="611"/>
      <c r="AJ1111" s="611"/>
      <c r="AK1111" s="611"/>
    </row>
    <row r="1112" spans="1:256" s="602" customFormat="1" thickTop="1">
      <c r="A1112" s="51" t="s">
        <v>154</v>
      </c>
      <c r="B1112" s="3"/>
      <c r="C1112" s="63"/>
      <c r="D1112" s="63"/>
      <c r="E1112" s="63"/>
      <c r="F1112" s="63"/>
      <c r="G1112" s="63"/>
      <c r="H1112" s="63"/>
      <c r="I1112" s="63"/>
      <c r="J1112" s="63"/>
      <c r="K1112" s="63"/>
      <c r="L1112" s="63"/>
      <c r="M1112" s="63"/>
      <c r="N1112" s="63"/>
      <c r="O1112" s="64"/>
      <c r="P1112" s="63"/>
      <c r="Q1112" s="63"/>
      <c r="R1112" s="63"/>
      <c r="S1112" s="63"/>
      <c r="T1112" s="63"/>
    </row>
    <row r="1113" spans="1:256" s="602" customFormat="1" ht="13.2">
      <c r="A1113" s="63"/>
      <c r="B1113" s="3"/>
      <c r="C1113" s="3"/>
      <c r="E1113" s="3"/>
      <c r="F1113" s="3"/>
      <c r="G1113" s="3"/>
      <c r="H1113" s="3"/>
      <c r="I1113" s="3"/>
      <c r="J1113" s="3"/>
      <c r="K1113" s="3"/>
      <c r="L1113" s="3"/>
      <c r="M1113" s="3"/>
      <c r="N1113" s="3"/>
      <c r="O1113" s="158"/>
      <c r="P1113" s="3"/>
      <c r="Q1113" s="3"/>
      <c r="R1113" s="3"/>
      <c r="S1113" s="3"/>
      <c r="T1113" s="3"/>
    </row>
    <row r="1114" spans="1:256" s="602" customFormat="1" ht="12">
      <c r="A1114" s="63"/>
      <c r="B1114" s="699">
        <f ca="1">$F1114/$C$2-($R1114*$S$2+$T1114*$T$2)</f>
        <v>166.92711550689273</v>
      </c>
      <c r="C1114" s="63"/>
      <c r="D1114" s="706" t="str">
        <f>D16</f>
        <v>Electrical</v>
      </c>
      <c r="E1114" s="701"/>
      <c r="F1114" s="707">
        <f ca="1">SUMIF($L14:$L1112,"PAGE",F14:F1112)</f>
        <v>35230.81</v>
      </c>
      <c r="G1114" s="663"/>
      <c r="H1114" s="663"/>
      <c r="I1114" s="601"/>
      <c r="J1114" s="663"/>
      <c r="K1114" s="663"/>
      <c r="L1114" s="172" t="s">
        <v>420</v>
      </c>
      <c r="M1114" s="172"/>
      <c r="N1114" s="172"/>
      <c r="O1114" s="173"/>
      <c r="P1114" s="172"/>
      <c r="Q1114" s="63"/>
      <c r="R1114" s="707">
        <f ca="1">SUMIF($L14:$L1112,"PAGE",R14:R1112)</f>
        <v>14014.749999999998</v>
      </c>
      <c r="S1114" s="63"/>
      <c r="T1114" s="707">
        <f ca="1">SUMIF($L14:$L1112,"PAGE",T14:T1112)</f>
        <v>461.06499999999994</v>
      </c>
    </row>
    <row r="1115" spans="1:256" s="602" customFormat="1" ht="12">
      <c r="A1115" s="63"/>
      <c r="B1115" s="55" t="s">
        <v>413</v>
      </c>
      <c r="C1115" s="63"/>
      <c r="D1115" s="706"/>
      <c r="F1115" s="708" t="s">
        <v>421</v>
      </c>
      <c r="G1115" s="663"/>
      <c r="H1115" s="663"/>
      <c r="I1115" s="601"/>
      <c r="J1115" s="663"/>
      <c r="K1115" s="663"/>
      <c r="L1115" s="63"/>
      <c r="M1115" s="63"/>
      <c r="N1115" s="63"/>
      <c r="O1115" s="64"/>
      <c r="P1115" s="63"/>
      <c r="Q1115" s="63"/>
      <c r="R1115" s="708" t="s">
        <v>422</v>
      </c>
      <c r="S1115" s="38"/>
      <c r="T1115" s="708" t="s">
        <v>423</v>
      </c>
    </row>
    <row r="1116" spans="1:256" s="602" customFormat="1" ht="11.4">
      <c r="O1116" s="698"/>
    </row>
    <row r="1117" spans="1:256" s="602" customFormat="1" ht="12" thickBot="1">
      <c r="A1117" s="684"/>
      <c r="B1117" s="684"/>
      <c r="C1117" s="684"/>
      <c r="D1117" s="684"/>
      <c r="E1117" s="684"/>
      <c r="F1117" s="39"/>
      <c r="G1117" s="611"/>
      <c r="H1117" s="611"/>
      <c r="I1117" s="611"/>
      <c r="J1117" s="611"/>
      <c r="K1117" s="611"/>
      <c r="L1117" s="684"/>
      <c r="M1117" s="684"/>
      <c r="N1117" s="684"/>
      <c r="O1117" s="684"/>
      <c r="P1117" s="684"/>
      <c r="Q1117" s="688"/>
      <c r="R1117" s="39"/>
      <c r="S1117" s="39"/>
      <c r="T1117" s="39"/>
      <c r="U1117" s="611"/>
      <c r="V1117" s="611"/>
      <c r="W1117" s="611"/>
      <c r="X1117" s="611"/>
      <c r="Y1117" s="611"/>
      <c r="Z1117" s="611"/>
      <c r="AA1117" s="611"/>
      <c r="AB1117" s="611"/>
      <c r="AC1117" s="611"/>
      <c r="AD1117" s="611"/>
      <c r="AE1117" s="611"/>
      <c r="AF1117" s="611"/>
      <c r="AG1117" s="611"/>
      <c r="AH1117" s="611"/>
      <c r="AI1117" s="611"/>
      <c r="AJ1117" s="611"/>
      <c r="AK1117" s="611"/>
    </row>
    <row r="1118" spans="1:256" s="602" customFormat="1" thickTop="1">
      <c r="A1118" s="63"/>
      <c r="B1118" s="63"/>
      <c r="C1118" s="3"/>
      <c r="D1118" s="3"/>
      <c r="E1118" s="63"/>
      <c r="F1118" s="63"/>
      <c r="G1118" s="63"/>
      <c r="H1118" s="63"/>
      <c r="I1118" s="63"/>
      <c r="J1118" s="63"/>
      <c r="K1118" s="63" t="s">
        <v>134</v>
      </c>
      <c r="L1118" s="63"/>
      <c r="M1118" s="63"/>
      <c r="N1118" s="63"/>
      <c r="O1118" s="64"/>
      <c r="P1118" s="63"/>
      <c r="Q1118" s="63"/>
      <c r="R1118" s="63"/>
      <c r="S1118" s="63"/>
      <c r="T1118" s="63"/>
    </row>
    <row r="1119" spans="1:256" s="602" customFormat="1" ht="12">
      <c r="A1119" s="63"/>
      <c r="B1119" s="63"/>
      <c r="C1119" s="63" t="s">
        <v>135</v>
      </c>
      <c r="D1119" s="37" t="s">
        <v>136</v>
      </c>
      <c r="E1119" s="63"/>
      <c r="F1119" s="63"/>
      <c r="G1119" s="63"/>
      <c r="H1119" s="63"/>
      <c r="I1119" s="63"/>
      <c r="J1119" s="63"/>
      <c r="K1119" s="63"/>
      <c r="L1119" s="63"/>
      <c r="M1119" s="63"/>
      <c r="N1119" s="63"/>
      <c r="O1119" s="64"/>
      <c r="P1119" s="63"/>
      <c r="Q1119" s="63"/>
      <c r="R1119" s="63"/>
      <c r="S1119" s="63"/>
      <c r="T1119" s="63"/>
    </row>
    <row r="1120" spans="1:256" s="3" customFormat="1" ht="13.2">
      <c r="A1120" s="63"/>
      <c r="B1120" s="63"/>
      <c r="C1120" s="63"/>
      <c r="D1120" s="37" t="s">
        <v>102</v>
      </c>
      <c r="E1120" s="63"/>
      <c r="F1120" s="63"/>
      <c r="G1120" s="63"/>
      <c r="H1120" s="63"/>
      <c r="I1120" s="63"/>
      <c r="J1120" s="63"/>
      <c r="K1120" s="63"/>
      <c r="L1120" s="63"/>
      <c r="M1120" s="63"/>
      <c r="N1120" s="63"/>
      <c r="O1120" s="64"/>
      <c r="P1120" s="63"/>
      <c r="Q1120" s="63"/>
      <c r="R1120" s="63"/>
      <c r="S1120" s="38"/>
      <c r="T1120" s="38"/>
      <c r="U1120" s="602"/>
      <c r="V1120" s="602"/>
      <c r="W1120" s="602"/>
      <c r="X1120" s="602"/>
      <c r="Y1120" s="602"/>
      <c r="Z1120" s="602"/>
      <c r="AA1120" s="602"/>
      <c r="AB1120" s="602"/>
      <c r="AC1120" s="602"/>
      <c r="AD1120" s="602"/>
      <c r="AE1120" s="602"/>
      <c r="AF1120" s="602"/>
      <c r="AG1120" s="602"/>
      <c r="AH1120" s="602"/>
      <c r="AI1120" s="602"/>
      <c r="AJ1120" s="602"/>
      <c r="AK1120" s="602"/>
      <c r="AL1120" s="602"/>
      <c r="AM1120" s="602"/>
      <c r="AN1120" s="602"/>
      <c r="AO1120" s="602"/>
      <c r="AP1120" s="602"/>
      <c r="AQ1120" s="602"/>
      <c r="AR1120" s="602"/>
      <c r="AS1120" s="602"/>
      <c r="AT1120" s="602"/>
      <c r="AU1120" s="602"/>
      <c r="AV1120" s="602"/>
      <c r="AW1120" s="602"/>
      <c r="AX1120" s="602"/>
      <c r="AY1120" s="602"/>
      <c r="AZ1120" s="602"/>
      <c r="BA1120" s="602"/>
      <c r="BB1120" s="602"/>
      <c r="BC1120" s="602"/>
      <c r="BD1120" s="602"/>
      <c r="BE1120" s="602"/>
      <c r="BF1120" s="602"/>
      <c r="BG1120" s="602"/>
      <c r="BH1120" s="602"/>
      <c r="BI1120" s="602"/>
      <c r="BJ1120" s="602"/>
      <c r="BK1120" s="602"/>
      <c r="BL1120" s="602"/>
      <c r="BM1120" s="602"/>
      <c r="BN1120" s="602"/>
      <c r="BO1120" s="602"/>
      <c r="BP1120" s="602"/>
      <c r="BQ1120" s="602"/>
      <c r="BR1120" s="602"/>
      <c r="BS1120" s="602"/>
      <c r="BT1120" s="602"/>
      <c r="BU1120" s="602"/>
      <c r="BV1120" s="602"/>
      <c r="BW1120" s="602"/>
      <c r="BX1120" s="602"/>
      <c r="BY1120" s="602"/>
      <c r="BZ1120" s="602"/>
      <c r="CA1120" s="602"/>
      <c r="CB1120" s="602"/>
      <c r="CC1120" s="602"/>
      <c r="CD1120" s="602"/>
      <c r="CE1120" s="602"/>
      <c r="CF1120" s="602"/>
      <c r="CG1120" s="602"/>
      <c r="CH1120" s="602"/>
      <c r="CI1120" s="602"/>
      <c r="CJ1120" s="602"/>
      <c r="CK1120" s="602"/>
      <c r="CL1120" s="602"/>
      <c r="CM1120" s="602"/>
      <c r="CN1120" s="602"/>
      <c r="CO1120" s="602"/>
      <c r="CP1120" s="602"/>
      <c r="CQ1120" s="602"/>
      <c r="CR1120" s="602"/>
      <c r="CS1120" s="602"/>
      <c r="CT1120" s="602"/>
      <c r="CU1120" s="602"/>
      <c r="CV1120" s="602"/>
      <c r="CW1120" s="602"/>
      <c r="CX1120" s="602"/>
      <c r="CY1120" s="602"/>
      <c r="CZ1120" s="602"/>
      <c r="DA1120" s="602"/>
      <c r="DB1120" s="602"/>
      <c r="DC1120" s="602"/>
      <c r="DD1120" s="602"/>
      <c r="DE1120" s="602"/>
      <c r="DF1120" s="602"/>
      <c r="DG1120" s="602"/>
      <c r="DH1120" s="602"/>
      <c r="DI1120" s="602"/>
      <c r="DJ1120" s="602"/>
      <c r="DK1120" s="602"/>
      <c r="DL1120" s="602"/>
      <c r="DM1120" s="602"/>
      <c r="DN1120" s="602"/>
      <c r="DO1120" s="602"/>
      <c r="DP1120" s="602"/>
      <c r="DQ1120" s="602"/>
      <c r="DR1120" s="602"/>
      <c r="DS1120" s="602"/>
      <c r="DT1120" s="602"/>
      <c r="DU1120" s="602"/>
      <c r="DV1120" s="602"/>
      <c r="DW1120" s="602"/>
      <c r="DX1120" s="602"/>
      <c r="DY1120" s="602"/>
      <c r="DZ1120" s="602"/>
      <c r="EA1120" s="602"/>
      <c r="EB1120" s="602"/>
      <c r="EC1120" s="602"/>
      <c r="ED1120" s="602"/>
      <c r="EE1120" s="602"/>
      <c r="EF1120" s="602"/>
      <c r="EG1120" s="602"/>
      <c r="EH1120" s="602"/>
      <c r="EI1120" s="602"/>
      <c r="EJ1120" s="602"/>
      <c r="EK1120" s="602"/>
      <c r="EL1120" s="602"/>
      <c r="EM1120" s="602"/>
      <c r="EN1120" s="602"/>
      <c r="EO1120" s="602"/>
      <c r="EP1120" s="602"/>
      <c r="EQ1120" s="602"/>
      <c r="ER1120" s="602"/>
      <c r="ES1120" s="602"/>
      <c r="ET1120" s="602"/>
      <c r="EU1120" s="602"/>
      <c r="EV1120" s="602"/>
      <c r="EW1120" s="602"/>
      <c r="EX1120" s="602"/>
      <c r="EY1120" s="602"/>
      <c r="EZ1120" s="602"/>
      <c r="FA1120" s="602"/>
      <c r="FB1120" s="602"/>
      <c r="FC1120" s="602"/>
      <c r="FD1120" s="602"/>
      <c r="FE1120" s="602"/>
      <c r="FF1120" s="602"/>
      <c r="FG1120" s="602"/>
      <c r="FH1120" s="602"/>
      <c r="FI1120" s="602"/>
      <c r="FJ1120" s="602"/>
      <c r="FK1120" s="602"/>
      <c r="FL1120" s="602"/>
      <c r="FM1120" s="602"/>
      <c r="FN1120" s="602"/>
      <c r="FO1120" s="602"/>
      <c r="FP1120" s="602"/>
      <c r="FQ1120" s="602"/>
      <c r="FR1120" s="602"/>
      <c r="FS1120" s="602"/>
      <c r="FT1120" s="602"/>
      <c r="FU1120" s="602"/>
      <c r="FV1120" s="602"/>
      <c r="FW1120" s="602"/>
      <c r="FX1120" s="602"/>
      <c r="FY1120" s="602"/>
      <c r="FZ1120" s="602"/>
      <c r="GA1120" s="602"/>
      <c r="GB1120" s="602"/>
      <c r="GC1120" s="602"/>
      <c r="GD1120" s="602"/>
      <c r="GE1120" s="602"/>
      <c r="GF1120" s="602"/>
      <c r="GG1120" s="602"/>
      <c r="GH1120" s="602"/>
      <c r="GI1120" s="602"/>
      <c r="GJ1120" s="602"/>
      <c r="GK1120" s="602"/>
      <c r="GL1120" s="602"/>
      <c r="GM1120" s="602"/>
      <c r="GN1120" s="602"/>
      <c r="GO1120" s="602"/>
      <c r="GP1120" s="602"/>
      <c r="GQ1120" s="602"/>
      <c r="GR1120" s="602"/>
      <c r="GS1120" s="602"/>
      <c r="GT1120" s="602"/>
      <c r="GU1120" s="602"/>
      <c r="GV1120" s="602"/>
      <c r="GW1120" s="602"/>
      <c r="GX1120" s="602"/>
      <c r="GY1120" s="602"/>
      <c r="GZ1120" s="602"/>
      <c r="HA1120" s="602"/>
      <c r="HB1120" s="602"/>
      <c r="HC1120" s="602"/>
      <c r="HD1120" s="602"/>
      <c r="HE1120" s="602"/>
      <c r="HF1120" s="602"/>
      <c r="HG1120" s="602"/>
      <c r="HH1120" s="602"/>
      <c r="HI1120" s="602"/>
      <c r="HJ1120" s="602"/>
      <c r="HK1120" s="602"/>
      <c r="HL1120" s="602"/>
      <c r="HM1120" s="602"/>
      <c r="HN1120" s="602"/>
      <c r="HO1120" s="602"/>
      <c r="HP1120" s="602"/>
      <c r="HQ1120" s="602"/>
      <c r="HR1120" s="602"/>
      <c r="HS1120" s="602"/>
      <c r="HT1120" s="602"/>
      <c r="HU1120" s="602"/>
      <c r="HV1120" s="602"/>
      <c r="HW1120" s="602"/>
      <c r="HX1120" s="602"/>
      <c r="HY1120" s="602"/>
      <c r="HZ1120" s="602"/>
      <c r="IA1120" s="602"/>
      <c r="IB1120" s="602"/>
      <c r="IC1120" s="602"/>
      <c r="ID1120" s="602"/>
      <c r="IE1120" s="602"/>
      <c r="IF1120" s="602"/>
      <c r="IG1120" s="602"/>
      <c r="IH1120" s="602"/>
      <c r="II1120" s="602"/>
      <c r="IJ1120" s="602"/>
      <c r="IK1120" s="602"/>
      <c r="IL1120" s="602"/>
      <c r="IM1120" s="602"/>
      <c r="IN1120" s="602"/>
      <c r="IO1120" s="602"/>
      <c r="IP1120" s="602"/>
      <c r="IQ1120" s="602"/>
      <c r="IR1120" s="602"/>
      <c r="IS1120" s="602"/>
      <c r="IT1120" s="602"/>
      <c r="IU1120" s="602"/>
      <c r="IV1120" s="602"/>
    </row>
    <row r="1121" spans="1:256" s="602" customFormat="1" thickBot="1">
      <c r="A1121" s="611"/>
      <c r="B1121" s="3"/>
      <c r="C1121" s="3"/>
      <c r="D1121" s="3"/>
      <c r="E1121" s="3"/>
      <c r="F1121" s="3"/>
      <c r="G1121" s="3"/>
      <c r="H1121" s="3"/>
      <c r="I1121" s="3"/>
      <c r="J1121" s="3"/>
      <c r="K1121" s="3"/>
      <c r="L1121" s="3"/>
      <c r="M1121" s="3"/>
      <c r="N1121" s="3"/>
      <c r="O1121" s="158"/>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c r="CO1121" s="3"/>
      <c r="CP1121" s="3"/>
      <c r="CQ1121" s="3"/>
      <c r="CR1121" s="3"/>
      <c r="CS1121" s="3"/>
      <c r="CT1121" s="3"/>
      <c r="CU1121" s="3"/>
      <c r="CV1121" s="3"/>
      <c r="CW1121" s="3"/>
      <c r="CX1121" s="3"/>
      <c r="CY1121" s="3"/>
      <c r="CZ1121" s="3"/>
      <c r="DA1121" s="3"/>
      <c r="DB1121" s="3"/>
      <c r="DC1121" s="3"/>
      <c r="DD1121" s="3"/>
      <c r="DE1121" s="3"/>
      <c r="DF1121" s="3"/>
      <c r="DG1121" s="3"/>
      <c r="DH1121" s="3"/>
      <c r="DI1121" s="3"/>
      <c r="DJ1121" s="3"/>
      <c r="DK1121" s="3"/>
      <c r="DL1121" s="3"/>
      <c r="DM1121" s="3"/>
      <c r="DN1121" s="3"/>
      <c r="DO1121" s="3"/>
      <c r="DP1121" s="3"/>
      <c r="DQ1121" s="3"/>
      <c r="DR1121" s="3"/>
      <c r="DS1121" s="3"/>
      <c r="DT1121" s="3"/>
      <c r="DU1121" s="3"/>
      <c r="DV1121" s="3"/>
      <c r="DW1121" s="3"/>
      <c r="DX1121" s="3"/>
      <c r="DY1121" s="3"/>
      <c r="DZ1121" s="3"/>
      <c r="EA1121" s="3"/>
      <c r="EB1121" s="3"/>
      <c r="EC1121" s="3"/>
      <c r="ED1121" s="3"/>
      <c r="EE1121" s="3"/>
      <c r="EF1121" s="3"/>
      <c r="EG1121" s="3"/>
      <c r="EH1121" s="3"/>
      <c r="EI1121" s="3"/>
      <c r="EJ1121" s="3"/>
      <c r="EK1121" s="3"/>
      <c r="EL1121" s="3"/>
      <c r="EM1121" s="3"/>
      <c r="EN1121" s="3"/>
      <c r="EO1121" s="3"/>
      <c r="EP1121" s="3"/>
      <c r="EQ1121" s="3"/>
      <c r="ER1121" s="3"/>
      <c r="ES1121" s="3"/>
      <c r="ET1121" s="3"/>
      <c r="EU1121" s="3"/>
      <c r="EV1121" s="3"/>
      <c r="EW1121" s="3"/>
      <c r="EX1121" s="3"/>
      <c r="EY1121" s="3"/>
      <c r="EZ1121" s="3"/>
      <c r="FA1121" s="3"/>
      <c r="FB1121" s="3"/>
      <c r="FC1121" s="3"/>
      <c r="FD1121" s="3"/>
      <c r="FE1121" s="3"/>
      <c r="FF1121" s="3"/>
      <c r="FG1121" s="3"/>
      <c r="FH1121" s="3"/>
      <c r="FI1121" s="3"/>
      <c r="FJ1121" s="3"/>
      <c r="FK1121" s="3"/>
      <c r="FL1121" s="3"/>
      <c r="FM1121" s="3"/>
      <c r="FN1121" s="3"/>
      <c r="FO1121" s="3"/>
      <c r="FP1121" s="3"/>
      <c r="FQ1121" s="3"/>
      <c r="FR1121" s="3"/>
      <c r="FS1121" s="3"/>
      <c r="FT1121" s="3"/>
      <c r="FU1121" s="3"/>
      <c r="FV1121" s="3"/>
      <c r="FW1121" s="3"/>
      <c r="FX1121" s="3"/>
      <c r="FY1121" s="3"/>
      <c r="FZ1121" s="3"/>
      <c r="GA1121" s="3"/>
      <c r="GB1121" s="3"/>
      <c r="GC1121" s="3"/>
      <c r="GD1121" s="3"/>
      <c r="GE1121" s="3"/>
      <c r="GF1121" s="3"/>
      <c r="GG1121" s="3"/>
      <c r="GH1121" s="3"/>
      <c r="GI1121" s="3"/>
      <c r="GJ1121" s="3"/>
      <c r="GK1121" s="3"/>
      <c r="GL1121" s="3"/>
      <c r="GM1121" s="3"/>
      <c r="GN1121" s="3"/>
      <c r="GO1121" s="3"/>
      <c r="GP1121" s="3"/>
      <c r="GQ1121" s="3"/>
      <c r="GR1121" s="3"/>
      <c r="GS1121" s="3"/>
      <c r="GT1121" s="3"/>
      <c r="GU1121" s="3"/>
      <c r="GV1121" s="3"/>
      <c r="GW1121" s="3"/>
      <c r="GX1121" s="3"/>
      <c r="GY1121" s="3"/>
      <c r="GZ1121" s="3"/>
      <c r="HA1121" s="3"/>
      <c r="HB1121" s="3"/>
      <c r="HC1121" s="3"/>
      <c r="HD1121" s="3"/>
      <c r="HE1121" s="3"/>
      <c r="HF1121" s="3"/>
      <c r="HG1121" s="3"/>
      <c r="HH1121" s="3"/>
      <c r="HI1121" s="3"/>
      <c r="HJ1121" s="3"/>
      <c r="HK1121" s="3"/>
      <c r="HL1121" s="3"/>
      <c r="HM1121" s="3"/>
      <c r="HN1121" s="3"/>
      <c r="HO1121" s="3"/>
      <c r="HP1121" s="3"/>
      <c r="HQ1121" s="3"/>
      <c r="HR1121" s="3"/>
      <c r="HS1121" s="3"/>
      <c r="HT1121" s="3"/>
      <c r="HU1121" s="3"/>
      <c r="HV1121" s="3"/>
      <c r="HW1121" s="3"/>
      <c r="HX1121" s="3"/>
      <c r="HY1121" s="3"/>
      <c r="HZ1121" s="3"/>
      <c r="IA1121" s="3"/>
      <c r="IB1121" s="3"/>
      <c r="IC1121" s="3"/>
      <c r="ID1121" s="3"/>
      <c r="IE1121" s="3"/>
      <c r="IF1121" s="3"/>
      <c r="IG1121" s="3"/>
      <c r="IH1121" s="3"/>
      <c r="II1121" s="3"/>
      <c r="IJ1121" s="3"/>
      <c r="IK1121" s="3"/>
      <c r="IL1121" s="3"/>
      <c r="IM1121" s="3"/>
      <c r="IN1121" s="3"/>
      <c r="IO1121" s="3"/>
      <c r="IP1121" s="3"/>
      <c r="IQ1121" s="3"/>
      <c r="IR1121" s="3"/>
      <c r="IS1121" s="3"/>
      <c r="IT1121" s="3"/>
      <c r="IU1121" s="3"/>
      <c r="IV1121" s="3"/>
    </row>
    <row r="1122" spans="1:256" s="602" customFormat="1" ht="12" customHeight="1" thickTop="1">
      <c r="A1122" s="63"/>
      <c r="B1122" s="41"/>
      <c r="C1122" s="63"/>
      <c r="E1122" s="42" t="s">
        <v>138</v>
      </c>
      <c r="F1122" s="42" t="s">
        <v>139</v>
      </c>
      <c r="G1122" s="63"/>
      <c r="H1122" s="63"/>
      <c r="I1122" s="63"/>
      <c r="J1122" s="63"/>
      <c r="K1122" s="63" t="s">
        <v>140</v>
      </c>
      <c r="L1122" s="63"/>
      <c r="M1122" s="63"/>
      <c r="N1122" s="63"/>
      <c r="O1122" s="64"/>
      <c r="P1122" s="63"/>
      <c r="Q1122" s="63"/>
      <c r="R1122" s="63"/>
      <c r="S1122" s="63"/>
      <c r="T1122" s="41"/>
      <c r="AG1122" s="667" t="s">
        <v>278</v>
      </c>
      <c r="AH1122" s="667" t="s">
        <v>279</v>
      </c>
      <c r="AI1122" s="667" t="s">
        <v>280</v>
      </c>
      <c r="AJ1122" s="667" t="s">
        <v>281</v>
      </c>
      <c r="AK1122" s="667" t="s">
        <v>282</v>
      </c>
      <c r="AM1122" s="668" t="s">
        <v>291</v>
      </c>
      <c r="AN1122" s="669" t="s">
        <v>292</v>
      </c>
      <c r="AO1122" s="603" t="s">
        <v>288</v>
      </c>
    </row>
    <row r="1123" spans="1:256" s="602" customFormat="1" ht="39.9" customHeight="1">
      <c r="A1123" s="670">
        <v>1</v>
      </c>
      <c r="B1123" s="671" t="s">
        <v>312</v>
      </c>
      <c r="C1123" s="672"/>
      <c r="D1123" s="673" t="s">
        <v>402</v>
      </c>
      <c r="E1123" s="674">
        <f>IF(AND($A1123=0,$A$1="DIF"),0, ROUND(ROUND(($R1131*$S$2+($T1131*$T$2))/A1123,2)*$C$2,2))</f>
        <v>0</v>
      </c>
      <c r="F1123" s="675">
        <f>ROUND($A1123*$E1123,2)</f>
        <v>0</v>
      </c>
      <c r="G1123" s="676" t="s">
        <v>142</v>
      </c>
      <c r="H1123" s="664"/>
      <c r="I1123" s="677"/>
      <c r="J1123" s="664"/>
      <c r="K1123" s="664" t="s">
        <v>3</v>
      </c>
      <c r="L1123" s="678" t="s">
        <v>143</v>
      </c>
      <c r="M1123" s="678"/>
      <c r="N1123" s="678"/>
      <c r="O1123" s="678"/>
      <c r="P1123" s="678"/>
      <c r="Q1123" s="63"/>
      <c r="T1123" s="679" t="str">
        <f>IF(AND($R1131=0,$T1131=0),"0.00","mu :" &amp; ROUND($F1123/$C$2/($R1131+$T1131*$D$9),2))</f>
        <v>0.00</v>
      </c>
      <c r="W1123" s="604"/>
      <c r="AG1123" s="549">
        <f>IF($E1123=0,0,ROUND($R1131*$S$2*$C$2/$A1123,2))</f>
        <v>0</v>
      </c>
      <c r="AH1123" s="549">
        <f>$AG1123*$A1123</f>
        <v>0</v>
      </c>
      <c r="AI1123" s="605">
        <f>$E1123-$AG1123</f>
        <v>0</v>
      </c>
      <c r="AJ1123" s="605">
        <f>$A1123*$AI1123</f>
        <v>0</v>
      </c>
      <c r="AK1123" s="606">
        <f>ROUND(($AG1123+$AI1123)*$A1123,2)</f>
        <v>0</v>
      </c>
      <c r="AM1123" s="607">
        <f>ROUND(R1131,2)</f>
        <v>0</v>
      </c>
      <c r="AN1123" s="608">
        <f>ROUND(T1131,2)</f>
        <v>0</v>
      </c>
      <c r="AO1123" s="609">
        <f>ROUND(AM1123+AN1123,2)*A1123</f>
        <v>0</v>
      </c>
    </row>
    <row r="1124" spans="1:256" s="602" customFormat="1" ht="13.2">
      <c r="A1124" s="672"/>
      <c r="B1124"/>
      <c r="C1124" s="672"/>
      <c r="D1124" s="1368" t="s">
        <v>424</v>
      </c>
      <c r="E1124" s="1369"/>
      <c r="F1124" s="1369"/>
      <c r="G1124" s="1369"/>
      <c r="H1124" s="1369"/>
      <c r="I1124" s="1369"/>
      <c r="J1124" s="1369"/>
      <c r="K1124" s="1369"/>
      <c r="L1124" s="1369"/>
      <c r="M1124" s="1369"/>
      <c r="N1124" s="1369"/>
      <c r="O1124" s="1369"/>
      <c r="P1124" s="1369"/>
      <c r="Q1124" s="1369"/>
      <c r="R1124" s="1369"/>
      <c r="S1124" s="1369"/>
      <c r="T1124" s="1369"/>
    </row>
    <row r="1125" spans="1:256" s="602" customFormat="1" ht="12">
      <c r="A1125" s="63"/>
      <c r="B1125" s="663"/>
      <c r="C1125" s="663"/>
      <c r="D1125" s="663"/>
      <c r="E1125" s="663"/>
      <c r="F1125" s="664"/>
      <c r="G1125" s="663"/>
      <c r="H1125" s="663"/>
      <c r="I1125" s="601"/>
      <c r="J1125" s="663"/>
      <c r="K1125" s="663"/>
      <c r="L1125" s="663"/>
      <c r="M1125" s="663"/>
      <c r="N1125" s="663"/>
      <c r="O1125" s="663"/>
      <c r="P1125" s="663"/>
      <c r="Q1125" s="601"/>
      <c r="R1125" s="666">
        <f t="shared" ref="R1125:R1130" si="40">$A1125*Q1125</f>
        <v>0</v>
      </c>
      <c r="S1125" s="601"/>
      <c r="T1125" s="681">
        <f t="shared" ref="T1125:T1130" si="41">$A1125*S1125*$T$1</f>
        <v>0</v>
      </c>
    </row>
    <row r="1126" spans="1:256" s="602" customFormat="1" ht="12">
      <c r="A1126" s="63"/>
      <c r="B1126" s="663"/>
      <c r="C1126" s="663"/>
      <c r="D1126" s="663"/>
      <c r="E1126" s="663"/>
      <c r="F1126" s="664"/>
      <c r="G1126" s="663"/>
      <c r="H1126" s="663"/>
      <c r="I1126" s="601"/>
      <c r="J1126" s="663"/>
      <c r="K1126" s="663"/>
      <c r="L1126" s="663"/>
      <c r="M1126" s="663"/>
      <c r="N1126" s="663"/>
      <c r="O1126" s="663"/>
      <c r="P1126" s="663"/>
      <c r="Q1126" s="601"/>
      <c r="R1126" s="666">
        <f t="shared" si="40"/>
        <v>0</v>
      </c>
      <c r="S1126" s="601"/>
      <c r="T1126" s="681">
        <f t="shared" si="41"/>
        <v>0</v>
      </c>
    </row>
    <row r="1127" spans="1:256" s="602" customFormat="1" ht="12">
      <c r="A1127" s="63"/>
      <c r="B1127" s="663"/>
      <c r="C1127" s="663"/>
      <c r="D1127" s="663"/>
      <c r="E1127" s="663"/>
      <c r="F1127" s="664"/>
      <c r="G1127" s="663"/>
      <c r="H1127" s="663"/>
      <c r="I1127" s="601"/>
      <c r="J1127" s="663"/>
      <c r="K1127" s="663"/>
      <c r="L1127" s="663"/>
      <c r="M1127" s="663"/>
      <c r="N1127" s="663"/>
      <c r="O1127" s="663"/>
      <c r="P1127" s="663"/>
      <c r="Q1127" s="601"/>
      <c r="R1127" s="666">
        <f t="shared" si="40"/>
        <v>0</v>
      </c>
      <c r="S1127" s="601"/>
      <c r="T1127" s="681">
        <f t="shared" si="41"/>
        <v>0</v>
      </c>
    </row>
    <row r="1128" spans="1:256" s="602" customFormat="1" ht="12">
      <c r="A1128" s="63"/>
      <c r="B1128" s="663"/>
      <c r="C1128" s="663"/>
      <c r="D1128" s="663"/>
      <c r="E1128" s="663"/>
      <c r="F1128" s="664"/>
      <c r="G1128" s="663"/>
      <c r="H1128" s="663"/>
      <c r="I1128" s="601"/>
      <c r="J1128" s="663"/>
      <c r="K1128" s="663"/>
      <c r="L1128" s="663"/>
      <c r="M1128" s="663"/>
      <c r="N1128" s="663"/>
      <c r="O1128" s="663"/>
      <c r="P1128" s="663"/>
      <c r="Q1128" s="601"/>
      <c r="R1128" s="666">
        <f t="shared" si="40"/>
        <v>0</v>
      </c>
      <c r="S1128" s="601"/>
      <c r="T1128" s="681">
        <f t="shared" si="41"/>
        <v>0</v>
      </c>
    </row>
    <row r="1129" spans="1:256" s="602" customFormat="1" ht="12">
      <c r="A1129" s="63"/>
      <c r="B1129" s="663"/>
      <c r="C1129" s="663"/>
      <c r="D1129" s="663"/>
      <c r="E1129" s="663"/>
      <c r="F1129" s="664"/>
      <c r="G1129" s="663"/>
      <c r="H1129" s="663"/>
      <c r="I1129" s="601"/>
      <c r="J1129" s="663"/>
      <c r="K1129" s="663"/>
      <c r="L1129" s="663"/>
      <c r="M1129" s="663"/>
      <c r="N1129" s="663"/>
      <c r="O1129" s="663"/>
      <c r="P1129" s="663"/>
      <c r="Q1129" s="601"/>
      <c r="R1129" s="666">
        <f t="shared" si="40"/>
        <v>0</v>
      </c>
      <c r="S1129" s="601"/>
      <c r="T1129" s="681">
        <f t="shared" si="41"/>
        <v>0</v>
      </c>
    </row>
    <row r="1130" spans="1:256" s="602" customFormat="1" ht="12">
      <c r="A1130" s="663"/>
      <c r="B1130" s="663"/>
      <c r="C1130" s="663"/>
      <c r="D1130" s="663"/>
      <c r="E1130" s="663"/>
      <c r="F1130" s="664"/>
      <c r="G1130" s="663"/>
      <c r="H1130" s="663"/>
      <c r="I1130" s="601"/>
      <c r="J1130" s="663"/>
      <c r="K1130" s="663"/>
      <c r="L1130" s="663"/>
      <c r="M1130" s="663"/>
      <c r="N1130" s="663"/>
      <c r="O1130" s="663"/>
      <c r="P1130" s="663"/>
      <c r="Q1130" s="601"/>
      <c r="R1130" s="666">
        <f t="shared" si="40"/>
        <v>0</v>
      </c>
      <c r="S1130" s="601"/>
      <c r="T1130" s="681">
        <f t="shared" si="41"/>
        <v>0</v>
      </c>
    </row>
    <row r="1131" spans="1:256" s="602" customFormat="1" ht="12.6" thickBot="1">
      <c r="A1131" s="682" t="s">
        <v>145</v>
      </c>
      <c r="B1131" s="683">
        <f>(R1130+T1130)</f>
        <v>0</v>
      </c>
      <c r="C1131" s="684"/>
      <c r="D1131" s="684"/>
      <c r="E1131" s="684"/>
      <c r="F1131" s="685"/>
      <c r="G1131" s="684" t="s">
        <v>146</v>
      </c>
      <c r="H1131" s="684"/>
      <c r="I1131" s="686"/>
      <c r="J1131" s="684"/>
      <c r="K1131" s="684" t="s">
        <v>3</v>
      </c>
      <c r="L1131" s="687" t="s">
        <v>143</v>
      </c>
      <c r="M1131" s="687"/>
      <c r="N1131" s="687"/>
      <c r="O1131" s="687"/>
      <c r="P1131" s="687"/>
      <c r="Q1131" s="688"/>
      <c r="R1131" s="689">
        <f>SUM(R1124:R1130)</f>
        <v>0</v>
      </c>
      <c r="S1131" s="684"/>
      <c r="T1131" s="689">
        <f>SUM(T1124:T1130)</f>
        <v>0</v>
      </c>
      <c r="U1131" s="611"/>
      <c r="V1131" s="611"/>
      <c r="W1131" s="611"/>
      <c r="X1131" s="611"/>
      <c r="Y1131" s="611"/>
      <c r="Z1131" s="611"/>
      <c r="AA1131" s="611"/>
      <c r="AB1131" s="611"/>
      <c r="AC1131" s="611"/>
      <c r="AD1131" s="611"/>
      <c r="AE1131" s="611"/>
      <c r="AF1131" s="611"/>
      <c r="AG1131" s="611"/>
      <c r="AH1131" s="611"/>
      <c r="AI1131" s="611"/>
      <c r="AJ1131" s="611"/>
      <c r="AK1131" s="611"/>
      <c r="AL1131" s="611"/>
      <c r="AM1131" s="611"/>
      <c r="AN1131" s="611"/>
      <c r="AO1131" s="611"/>
    </row>
    <row r="1132" spans="1:256" s="602" customFormat="1" ht="12" thickTop="1">
      <c r="A1132" s="51" t="s">
        <v>154</v>
      </c>
      <c r="D1132" s="13"/>
      <c r="E1132" s="42"/>
      <c r="O1132" s="698"/>
    </row>
    <row r="1133" spans="1:256" s="602" customFormat="1" ht="13.2">
      <c r="B1133" s="3"/>
      <c r="O1133" s="698"/>
    </row>
    <row r="1134" spans="1:256" s="602" customFormat="1" ht="12">
      <c r="B1134" s="699">
        <f>$F1134/$C$2-($R1134*$S$2+$T1134*$T$2)</f>
        <v>0</v>
      </c>
      <c r="D1134" s="700" t="s">
        <v>412</v>
      </c>
      <c r="E1134" s="701"/>
      <c r="F1134" s="702">
        <f>SUMIF($L1112:$L1132,"ITEM",F1112:F1132)</f>
        <v>0</v>
      </c>
      <c r="G1134" s="663"/>
      <c r="H1134" s="663"/>
      <c r="I1134" s="601"/>
      <c r="J1134" s="663"/>
      <c r="K1134" s="663"/>
      <c r="L1134" s="678" t="s">
        <v>166</v>
      </c>
      <c r="M1134" s="678"/>
      <c r="N1134" s="678"/>
      <c r="O1134" s="678"/>
      <c r="P1134" s="678"/>
      <c r="R1134" s="702">
        <f>SUMIF($L1112:$L1132,"ITEM",R1112:R1132)</f>
        <v>0</v>
      </c>
      <c r="S1134" s="71"/>
      <c r="T1134" s="702">
        <f>SUMIF($L1112:$L1132,"ITEM",T1112:T1132)</f>
        <v>0</v>
      </c>
    </row>
    <row r="1135" spans="1:256" s="602" customFormat="1" ht="13.2">
      <c r="A1135" s="63"/>
      <c r="B1135" s="55" t="s">
        <v>413</v>
      </c>
      <c r="C1135" s="63"/>
      <c r="D1135" s="3"/>
      <c r="F1135" s="703" t="s">
        <v>168</v>
      </c>
      <c r="G1135" s="663"/>
      <c r="H1135" s="663"/>
      <c r="I1135" s="601"/>
      <c r="J1135" s="663"/>
      <c r="K1135" s="663"/>
      <c r="L1135" s="663"/>
      <c r="M1135" s="663"/>
      <c r="N1135" s="663"/>
      <c r="O1135" s="663"/>
      <c r="P1135" s="663"/>
      <c r="Q1135" s="665"/>
      <c r="R1135" s="703" t="s">
        <v>169</v>
      </c>
      <c r="S1135" s="38"/>
      <c r="T1135" s="703" t="s">
        <v>170</v>
      </c>
    </row>
    <row r="1136" spans="1:256" s="602" customFormat="1" ht="13.2">
      <c r="A1136" s="663"/>
      <c r="B1136" s="3"/>
      <c r="C1136" s="663"/>
      <c r="D1136" s="3"/>
      <c r="E1136" s="3"/>
      <c r="G1136" s="3"/>
      <c r="H1136" s="3"/>
      <c r="I1136" s="3"/>
      <c r="J1136" s="3"/>
      <c r="K1136" s="3"/>
      <c r="L1136" s="3"/>
      <c r="M1136" s="3"/>
      <c r="N1136" s="3"/>
      <c r="O1136" s="158"/>
      <c r="P1136" s="3"/>
      <c r="Q1136" s="3"/>
      <c r="R1136" s="3"/>
      <c r="S1136" s="3"/>
      <c r="T1136" s="3"/>
    </row>
    <row r="1137" spans="1:256" s="602" customFormat="1" ht="12" thickBot="1">
      <c r="A1137" s="611"/>
      <c r="B1137" s="684"/>
      <c r="C1137" s="684"/>
      <c r="D1137" s="611"/>
      <c r="E1137" s="39"/>
      <c r="F1137" s="704"/>
      <c r="G1137" s="684"/>
      <c r="H1137" s="684"/>
      <c r="I1137" s="686"/>
      <c r="J1137" s="684"/>
      <c r="K1137" s="684"/>
      <c r="L1137" s="687"/>
      <c r="M1137" s="687"/>
      <c r="N1137" s="687"/>
      <c r="O1137" s="687"/>
      <c r="P1137" s="687"/>
      <c r="Q1137" s="688"/>
      <c r="R1137" s="704"/>
      <c r="S1137" s="705"/>
      <c r="T1137" s="704"/>
      <c r="U1137" s="611"/>
      <c r="V1137" s="611"/>
      <c r="W1137" s="611"/>
      <c r="X1137" s="611"/>
      <c r="Y1137" s="611"/>
      <c r="Z1137" s="611"/>
      <c r="AA1137" s="611"/>
      <c r="AB1137" s="611"/>
      <c r="AC1137" s="611"/>
      <c r="AD1137" s="611"/>
      <c r="AE1137" s="611"/>
      <c r="AF1137" s="611"/>
      <c r="AG1137" s="611"/>
      <c r="AH1137" s="611"/>
      <c r="AI1137" s="611"/>
      <c r="AJ1137" s="611"/>
      <c r="AK1137" s="611"/>
    </row>
    <row r="1138" spans="1:256" s="602" customFormat="1" thickTop="1">
      <c r="A1138" s="51" t="s">
        <v>154</v>
      </c>
      <c r="B1138" s="3"/>
      <c r="C1138" s="63"/>
      <c r="D1138" s="63"/>
      <c r="E1138" s="63"/>
      <c r="F1138" s="63"/>
      <c r="G1138" s="63"/>
      <c r="H1138" s="63"/>
      <c r="I1138" s="63"/>
      <c r="J1138" s="63"/>
      <c r="K1138" s="63"/>
      <c r="L1138" s="63"/>
      <c r="M1138" s="63"/>
      <c r="N1138" s="63"/>
      <c r="O1138" s="64"/>
      <c r="P1138" s="63"/>
      <c r="Q1138" s="63"/>
      <c r="R1138" s="63"/>
      <c r="S1138" s="63"/>
      <c r="T1138" s="63"/>
    </row>
    <row r="1139" spans="1:256" s="602" customFormat="1" ht="13.2">
      <c r="A1139" s="63"/>
      <c r="B1139" s="3"/>
      <c r="C1139" s="3"/>
      <c r="E1139" s="3"/>
      <c r="F1139" s="3"/>
      <c r="G1139" s="3"/>
      <c r="H1139" s="3"/>
      <c r="I1139" s="3"/>
      <c r="J1139" s="3"/>
      <c r="K1139" s="3"/>
      <c r="L1139" s="3"/>
      <c r="M1139" s="3"/>
      <c r="N1139" s="3"/>
      <c r="O1139" s="158"/>
      <c r="P1139" s="3"/>
      <c r="Q1139" s="3"/>
      <c r="R1139" s="3"/>
      <c r="S1139" s="3"/>
      <c r="T1139" s="3"/>
    </row>
    <row r="1140" spans="1:256" s="602" customFormat="1" ht="12">
      <c r="A1140" s="63"/>
      <c r="B1140" s="699">
        <f>$F1140/$C$2-($R1140*$S$2+$T1140*$T$2)</f>
        <v>0</v>
      </c>
      <c r="C1140" s="63"/>
      <c r="D1140" s="706" t="e">
        <f>#REF!</f>
        <v>#REF!</v>
      </c>
      <c r="E1140" s="701"/>
      <c r="F1140" s="707">
        <f>SUMIF($L1118:$L1138,"PAGE",F1118:F1138)</f>
        <v>0</v>
      </c>
      <c r="G1140" s="663"/>
      <c r="H1140" s="663"/>
      <c r="I1140" s="601"/>
      <c r="J1140" s="663"/>
      <c r="K1140" s="663"/>
      <c r="L1140" s="172" t="s">
        <v>420</v>
      </c>
      <c r="M1140" s="172"/>
      <c r="N1140" s="172"/>
      <c r="O1140" s="173"/>
      <c r="P1140" s="172"/>
      <c r="Q1140" s="63"/>
      <c r="R1140" s="707">
        <f>SUMIF($L1118:$L1138,"PAGE",R1118:R1138)</f>
        <v>0</v>
      </c>
      <c r="S1140" s="63"/>
      <c r="T1140" s="707">
        <f>SUMIF($L1118:$L1138,"PAGE",T1118:T1138)</f>
        <v>0</v>
      </c>
    </row>
    <row r="1141" spans="1:256" s="602" customFormat="1" ht="12">
      <c r="A1141" s="63"/>
      <c r="B1141" s="55" t="s">
        <v>413</v>
      </c>
      <c r="C1141" s="63"/>
      <c r="D1141" s="706"/>
      <c r="F1141" s="708" t="s">
        <v>421</v>
      </c>
      <c r="G1141" s="663"/>
      <c r="H1141" s="663"/>
      <c r="I1141" s="601"/>
      <c r="J1141" s="663"/>
      <c r="K1141" s="663"/>
      <c r="L1141" s="63"/>
      <c r="M1141" s="63"/>
      <c r="N1141" s="63"/>
      <c r="O1141" s="64"/>
      <c r="P1141" s="63"/>
      <c r="Q1141" s="63"/>
      <c r="R1141" s="708" t="s">
        <v>422</v>
      </c>
      <c r="S1141" s="38"/>
      <c r="T1141" s="708" t="s">
        <v>423</v>
      </c>
    </row>
    <row r="1142" spans="1:256" s="602" customFormat="1" ht="11.4">
      <c r="O1142" s="698"/>
    </row>
    <row r="1143" spans="1:256" s="602" customFormat="1" ht="12" thickBot="1">
      <c r="A1143" s="684"/>
      <c r="B1143" s="684"/>
      <c r="C1143" s="684"/>
      <c r="D1143" s="684"/>
      <c r="E1143" s="684"/>
      <c r="F1143" s="39"/>
      <c r="G1143" s="611"/>
      <c r="H1143" s="611"/>
      <c r="I1143" s="611"/>
      <c r="J1143" s="611"/>
      <c r="K1143" s="611"/>
      <c r="L1143" s="684"/>
      <c r="M1143" s="684"/>
      <c r="N1143" s="684"/>
      <c r="O1143" s="684"/>
      <c r="P1143" s="684"/>
      <c r="Q1143" s="688"/>
      <c r="R1143" s="39"/>
      <c r="S1143" s="39"/>
      <c r="T1143" s="39"/>
      <c r="U1143" s="611"/>
      <c r="V1143" s="611"/>
      <c r="W1143" s="611"/>
      <c r="X1143" s="611"/>
      <c r="Y1143" s="611"/>
      <c r="Z1143" s="611"/>
      <c r="AA1143" s="611"/>
      <c r="AB1143" s="611"/>
      <c r="AC1143" s="611"/>
      <c r="AD1143" s="611"/>
      <c r="AE1143" s="611"/>
      <c r="AF1143" s="611"/>
      <c r="AG1143" s="611"/>
      <c r="AH1143" s="611"/>
      <c r="AI1143" s="611"/>
      <c r="AJ1143" s="611"/>
      <c r="AK1143" s="611"/>
    </row>
    <row r="1144" spans="1:256" s="602" customFormat="1" thickTop="1">
      <c r="A1144" s="63"/>
      <c r="B1144" s="63"/>
      <c r="C1144" s="3"/>
      <c r="D1144" s="3"/>
      <c r="E1144" s="63"/>
      <c r="F1144" s="63"/>
      <c r="G1144" s="63"/>
      <c r="H1144" s="63"/>
      <c r="I1144" s="63"/>
      <c r="J1144" s="63"/>
      <c r="K1144" s="63" t="s">
        <v>134</v>
      </c>
      <c r="L1144" s="63"/>
      <c r="M1144" s="63"/>
      <c r="N1144" s="63"/>
      <c r="O1144" s="64"/>
      <c r="P1144" s="63"/>
      <c r="Q1144" s="63"/>
      <c r="R1144" s="63"/>
      <c r="S1144" s="63"/>
      <c r="T1144" s="63"/>
    </row>
    <row r="1145" spans="1:256" s="602" customFormat="1" ht="12">
      <c r="A1145" s="63"/>
      <c r="B1145" s="63"/>
      <c r="C1145" s="63" t="s">
        <v>135</v>
      </c>
      <c r="D1145" s="37" t="s">
        <v>136</v>
      </c>
      <c r="E1145" s="63"/>
      <c r="F1145" s="63"/>
      <c r="G1145" s="63"/>
      <c r="H1145" s="63"/>
      <c r="I1145" s="63"/>
      <c r="J1145" s="63"/>
      <c r="K1145" s="63"/>
      <c r="L1145" s="63"/>
      <c r="M1145" s="63"/>
      <c r="N1145" s="63"/>
      <c r="O1145" s="64"/>
      <c r="P1145" s="63"/>
      <c r="Q1145" s="63"/>
      <c r="R1145" s="63"/>
      <c r="S1145" s="63"/>
      <c r="T1145" s="63"/>
    </row>
    <row r="1146" spans="1:256" s="3" customFormat="1" ht="13.2">
      <c r="A1146" s="63"/>
      <c r="B1146" s="63"/>
      <c r="C1146" s="63"/>
      <c r="D1146" s="37" t="s">
        <v>553</v>
      </c>
      <c r="E1146" s="63"/>
      <c r="F1146" s="63"/>
      <c r="G1146" s="63"/>
      <c r="H1146" s="63"/>
      <c r="I1146" s="63"/>
      <c r="J1146" s="63"/>
      <c r="K1146" s="63"/>
      <c r="L1146" s="63"/>
      <c r="M1146" s="63"/>
      <c r="N1146" s="63"/>
      <c r="O1146" s="64"/>
      <c r="P1146" s="63"/>
      <c r="Q1146" s="63"/>
      <c r="R1146" s="63"/>
      <c r="S1146" s="38"/>
      <c r="T1146" s="38"/>
      <c r="U1146" s="602"/>
      <c r="V1146" s="602"/>
      <c r="W1146" s="602"/>
      <c r="X1146" s="602"/>
      <c r="Y1146" s="602"/>
      <c r="Z1146" s="602"/>
      <c r="AA1146" s="602"/>
      <c r="AB1146" s="602"/>
      <c r="AC1146" s="602"/>
      <c r="AD1146" s="602"/>
      <c r="AE1146" s="602"/>
      <c r="AF1146" s="602"/>
      <c r="AG1146" s="602"/>
      <c r="AH1146" s="602"/>
      <c r="AI1146" s="602"/>
      <c r="AJ1146" s="602"/>
      <c r="AK1146" s="602"/>
      <c r="AL1146" s="602"/>
      <c r="AM1146" s="602"/>
      <c r="AN1146" s="602"/>
      <c r="AO1146" s="602"/>
      <c r="AP1146" s="602"/>
      <c r="AQ1146" s="602"/>
      <c r="AR1146" s="602"/>
      <c r="AS1146" s="602"/>
      <c r="AT1146" s="602"/>
      <c r="AU1146" s="602"/>
      <c r="AV1146" s="602"/>
      <c r="AW1146" s="602"/>
      <c r="AX1146" s="602"/>
      <c r="AY1146" s="602"/>
      <c r="AZ1146" s="602"/>
      <c r="BA1146" s="602"/>
      <c r="BB1146" s="602"/>
      <c r="BC1146" s="602"/>
      <c r="BD1146" s="602"/>
      <c r="BE1146" s="602"/>
      <c r="BF1146" s="602"/>
      <c r="BG1146" s="602"/>
      <c r="BH1146" s="602"/>
      <c r="BI1146" s="602"/>
      <c r="BJ1146" s="602"/>
      <c r="BK1146" s="602"/>
      <c r="BL1146" s="602"/>
      <c r="BM1146" s="602"/>
      <c r="BN1146" s="602"/>
      <c r="BO1146" s="602"/>
      <c r="BP1146" s="602"/>
      <c r="BQ1146" s="602"/>
      <c r="BR1146" s="602"/>
      <c r="BS1146" s="602"/>
      <c r="BT1146" s="602"/>
      <c r="BU1146" s="602"/>
      <c r="BV1146" s="602"/>
      <c r="BW1146" s="602"/>
      <c r="BX1146" s="602"/>
      <c r="BY1146" s="602"/>
      <c r="BZ1146" s="602"/>
      <c r="CA1146" s="602"/>
      <c r="CB1146" s="602"/>
      <c r="CC1146" s="602"/>
      <c r="CD1146" s="602"/>
      <c r="CE1146" s="602"/>
      <c r="CF1146" s="602"/>
      <c r="CG1146" s="602"/>
      <c r="CH1146" s="602"/>
      <c r="CI1146" s="602"/>
      <c r="CJ1146" s="602"/>
      <c r="CK1146" s="602"/>
      <c r="CL1146" s="602"/>
      <c r="CM1146" s="602"/>
      <c r="CN1146" s="602"/>
      <c r="CO1146" s="602"/>
      <c r="CP1146" s="602"/>
      <c r="CQ1146" s="602"/>
      <c r="CR1146" s="602"/>
      <c r="CS1146" s="602"/>
      <c r="CT1146" s="602"/>
      <c r="CU1146" s="602"/>
      <c r="CV1146" s="602"/>
      <c r="CW1146" s="602"/>
      <c r="CX1146" s="602"/>
      <c r="CY1146" s="602"/>
      <c r="CZ1146" s="602"/>
      <c r="DA1146" s="602"/>
      <c r="DB1146" s="602"/>
      <c r="DC1146" s="602"/>
      <c r="DD1146" s="602"/>
      <c r="DE1146" s="602"/>
      <c r="DF1146" s="602"/>
      <c r="DG1146" s="602"/>
      <c r="DH1146" s="602"/>
      <c r="DI1146" s="602"/>
      <c r="DJ1146" s="602"/>
      <c r="DK1146" s="602"/>
      <c r="DL1146" s="602"/>
      <c r="DM1146" s="602"/>
      <c r="DN1146" s="602"/>
      <c r="DO1146" s="602"/>
      <c r="DP1146" s="602"/>
      <c r="DQ1146" s="602"/>
      <c r="DR1146" s="602"/>
      <c r="DS1146" s="602"/>
      <c r="DT1146" s="602"/>
      <c r="DU1146" s="602"/>
      <c r="DV1146" s="602"/>
      <c r="DW1146" s="602"/>
      <c r="DX1146" s="602"/>
      <c r="DY1146" s="602"/>
      <c r="DZ1146" s="602"/>
      <c r="EA1146" s="602"/>
      <c r="EB1146" s="602"/>
      <c r="EC1146" s="602"/>
      <c r="ED1146" s="602"/>
      <c r="EE1146" s="602"/>
      <c r="EF1146" s="602"/>
      <c r="EG1146" s="602"/>
      <c r="EH1146" s="602"/>
      <c r="EI1146" s="602"/>
      <c r="EJ1146" s="602"/>
      <c r="EK1146" s="602"/>
      <c r="EL1146" s="602"/>
      <c r="EM1146" s="602"/>
      <c r="EN1146" s="602"/>
      <c r="EO1146" s="602"/>
      <c r="EP1146" s="602"/>
      <c r="EQ1146" s="602"/>
      <c r="ER1146" s="602"/>
      <c r="ES1146" s="602"/>
      <c r="ET1146" s="602"/>
      <c r="EU1146" s="602"/>
      <c r="EV1146" s="602"/>
      <c r="EW1146" s="602"/>
      <c r="EX1146" s="602"/>
      <c r="EY1146" s="602"/>
      <c r="EZ1146" s="602"/>
      <c r="FA1146" s="602"/>
      <c r="FB1146" s="602"/>
      <c r="FC1146" s="602"/>
      <c r="FD1146" s="602"/>
      <c r="FE1146" s="602"/>
      <c r="FF1146" s="602"/>
      <c r="FG1146" s="602"/>
      <c r="FH1146" s="602"/>
      <c r="FI1146" s="602"/>
      <c r="FJ1146" s="602"/>
      <c r="FK1146" s="602"/>
      <c r="FL1146" s="602"/>
      <c r="FM1146" s="602"/>
      <c r="FN1146" s="602"/>
      <c r="FO1146" s="602"/>
      <c r="FP1146" s="602"/>
      <c r="FQ1146" s="602"/>
      <c r="FR1146" s="602"/>
      <c r="FS1146" s="602"/>
      <c r="FT1146" s="602"/>
      <c r="FU1146" s="602"/>
      <c r="FV1146" s="602"/>
      <c r="FW1146" s="602"/>
      <c r="FX1146" s="602"/>
      <c r="FY1146" s="602"/>
      <c r="FZ1146" s="602"/>
      <c r="GA1146" s="602"/>
      <c r="GB1146" s="602"/>
      <c r="GC1146" s="602"/>
      <c r="GD1146" s="602"/>
      <c r="GE1146" s="602"/>
      <c r="GF1146" s="602"/>
      <c r="GG1146" s="602"/>
      <c r="GH1146" s="602"/>
      <c r="GI1146" s="602"/>
      <c r="GJ1146" s="602"/>
      <c r="GK1146" s="602"/>
      <c r="GL1146" s="602"/>
      <c r="GM1146" s="602"/>
      <c r="GN1146" s="602"/>
      <c r="GO1146" s="602"/>
      <c r="GP1146" s="602"/>
      <c r="GQ1146" s="602"/>
      <c r="GR1146" s="602"/>
      <c r="GS1146" s="602"/>
      <c r="GT1146" s="602"/>
      <c r="GU1146" s="602"/>
      <c r="GV1146" s="602"/>
      <c r="GW1146" s="602"/>
      <c r="GX1146" s="602"/>
      <c r="GY1146" s="602"/>
      <c r="GZ1146" s="602"/>
      <c r="HA1146" s="602"/>
      <c r="HB1146" s="602"/>
      <c r="HC1146" s="602"/>
      <c r="HD1146" s="602"/>
      <c r="HE1146" s="602"/>
      <c r="HF1146" s="602"/>
      <c r="HG1146" s="602"/>
      <c r="HH1146" s="602"/>
      <c r="HI1146" s="602"/>
      <c r="HJ1146" s="602"/>
      <c r="HK1146" s="602"/>
      <c r="HL1146" s="602"/>
      <c r="HM1146" s="602"/>
      <c r="HN1146" s="602"/>
      <c r="HO1146" s="602"/>
      <c r="HP1146" s="602"/>
      <c r="HQ1146" s="602"/>
      <c r="HR1146" s="602"/>
      <c r="HS1146" s="602"/>
      <c r="HT1146" s="602"/>
      <c r="HU1146" s="602"/>
      <c r="HV1146" s="602"/>
      <c r="HW1146" s="602"/>
      <c r="HX1146" s="602"/>
      <c r="HY1146" s="602"/>
      <c r="HZ1146" s="602"/>
      <c r="IA1146" s="602"/>
      <c r="IB1146" s="602"/>
      <c r="IC1146" s="602"/>
      <c r="ID1146" s="602"/>
      <c r="IE1146" s="602"/>
      <c r="IF1146" s="602"/>
      <c r="IG1146" s="602"/>
      <c r="IH1146" s="602"/>
      <c r="II1146" s="602"/>
      <c r="IJ1146" s="602"/>
      <c r="IK1146" s="602"/>
      <c r="IL1146" s="602"/>
      <c r="IM1146" s="602"/>
      <c r="IN1146" s="602"/>
      <c r="IO1146" s="602"/>
      <c r="IP1146" s="602"/>
      <c r="IQ1146" s="602"/>
      <c r="IR1146" s="602"/>
      <c r="IS1146" s="602"/>
      <c r="IT1146" s="602"/>
      <c r="IU1146" s="602"/>
      <c r="IV1146" s="602"/>
    </row>
    <row r="1147" spans="1:256" s="602" customFormat="1" thickBot="1">
      <c r="A1147" s="611"/>
      <c r="B1147" s="3"/>
      <c r="C1147" s="3"/>
      <c r="D1147" s="3"/>
      <c r="E1147" s="3"/>
      <c r="F1147" s="3"/>
      <c r="G1147" s="3"/>
      <c r="H1147" s="3"/>
      <c r="I1147" s="3"/>
      <c r="J1147" s="3"/>
      <c r="K1147" s="3"/>
      <c r="L1147" s="3"/>
      <c r="M1147" s="3"/>
      <c r="N1147" s="3"/>
      <c r="O1147" s="158"/>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c r="CO1147" s="3"/>
      <c r="CP1147" s="3"/>
      <c r="CQ1147" s="3"/>
      <c r="CR1147" s="3"/>
      <c r="CS1147" s="3"/>
      <c r="CT1147" s="3"/>
      <c r="CU1147" s="3"/>
      <c r="CV1147" s="3"/>
      <c r="CW1147" s="3"/>
      <c r="CX1147" s="3"/>
      <c r="CY1147" s="3"/>
      <c r="CZ1147" s="3"/>
      <c r="DA1147" s="3"/>
      <c r="DB1147" s="3"/>
      <c r="DC1147" s="3"/>
      <c r="DD1147" s="3"/>
      <c r="DE1147" s="3"/>
      <c r="DF1147" s="3"/>
      <c r="DG1147" s="3"/>
      <c r="DH1147" s="3"/>
      <c r="DI1147" s="3"/>
      <c r="DJ1147" s="3"/>
      <c r="DK1147" s="3"/>
      <c r="DL1147" s="3"/>
      <c r="DM1147" s="3"/>
      <c r="DN1147" s="3"/>
      <c r="DO1147" s="3"/>
      <c r="DP1147" s="3"/>
      <c r="DQ1147" s="3"/>
      <c r="DR1147" s="3"/>
      <c r="DS1147" s="3"/>
      <c r="DT1147" s="3"/>
      <c r="DU1147" s="3"/>
      <c r="DV1147" s="3"/>
      <c r="DW1147" s="3"/>
      <c r="DX1147" s="3"/>
      <c r="DY1147" s="3"/>
      <c r="DZ1147" s="3"/>
      <c r="EA1147" s="3"/>
      <c r="EB1147" s="3"/>
      <c r="EC1147" s="3"/>
      <c r="ED1147" s="3"/>
      <c r="EE1147" s="3"/>
      <c r="EF1147" s="3"/>
      <c r="EG1147" s="3"/>
      <c r="EH1147" s="3"/>
      <c r="EI1147" s="3"/>
      <c r="EJ1147" s="3"/>
      <c r="EK1147" s="3"/>
      <c r="EL1147" s="3"/>
      <c r="EM1147" s="3"/>
      <c r="EN1147" s="3"/>
      <c r="EO1147" s="3"/>
      <c r="EP1147" s="3"/>
      <c r="EQ1147" s="3"/>
      <c r="ER1147" s="3"/>
      <c r="ES1147" s="3"/>
      <c r="ET1147" s="3"/>
      <c r="EU1147" s="3"/>
      <c r="EV1147" s="3"/>
      <c r="EW1147" s="3"/>
      <c r="EX1147" s="3"/>
      <c r="EY1147" s="3"/>
      <c r="EZ1147" s="3"/>
      <c r="FA1147" s="3"/>
      <c r="FB1147" s="3"/>
      <c r="FC1147" s="3"/>
      <c r="FD1147" s="3"/>
      <c r="FE1147" s="3"/>
      <c r="FF1147" s="3"/>
      <c r="FG1147" s="3"/>
      <c r="FH1147" s="3"/>
      <c r="FI1147" s="3"/>
      <c r="FJ1147" s="3"/>
      <c r="FK1147" s="3"/>
      <c r="FL1147" s="3"/>
      <c r="FM1147" s="3"/>
      <c r="FN1147" s="3"/>
      <c r="FO1147" s="3"/>
      <c r="FP1147" s="3"/>
      <c r="FQ1147" s="3"/>
      <c r="FR1147" s="3"/>
      <c r="FS1147" s="3"/>
      <c r="FT1147" s="3"/>
      <c r="FU1147" s="3"/>
      <c r="FV1147" s="3"/>
      <c r="FW1147" s="3"/>
      <c r="FX1147" s="3"/>
      <c r="FY1147" s="3"/>
      <c r="FZ1147" s="3"/>
      <c r="GA1147" s="3"/>
      <c r="GB1147" s="3"/>
      <c r="GC1147" s="3"/>
      <c r="GD1147" s="3"/>
      <c r="GE1147" s="3"/>
      <c r="GF1147" s="3"/>
      <c r="GG1147" s="3"/>
      <c r="GH1147" s="3"/>
      <c r="GI1147" s="3"/>
      <c r="GJ1147" s="3"/>
      <c r="GK1147" s="3"/>
      <c r="GL1147" s="3"/>
      <c r="GM1147" s="3"/>
      <c r="GN1147" s="3"/>
      <c r="GO1147" s="3"/>
      <c r="GP1147" s="3"/>
      <c r="GQ1147" s="3"/>
      <c r="GR1147" s="3"/>
      <c r="GS1147" s="3"/>
      <c r="GT1147" s="3"/>
      <c r="GU1147" s="3"/>
      <c r="GV1147" s="3"/>
      <c r="GW1147" s="3"/>
      <c r="GX1147" s="3"/>
      <c r="GY1147" s="3"/>
      <c r="GZ1147" s="3"/>
      <c r="HA1147" s="3"/>
      <c r="HB1147" s="3"/>
      <c r="HC1147" s="3"/>
      <c r="HD1147" s="3"/>
      <c r="HE1147" s="3"/>
      <c r="HF1147" s="3"/>
      <c r="HG1147" s="3"/>
      <c r="HH1147" s="3"/>
      <c r="HI1147" s="3"/>
      <c r="HJ1147" s="3"/>
      <c r="HK1147" s="3"/>
      <c r="HL1147" s="3"/>
      <c r="HM1147" s="3"/>
      <c r="HN1147" s="3"/>
      <c r="HO1147" s="3"/>
      <c r="HP1147" s="3"/>
      <c r="HQ1147" s="3"/>
      <c r="HR1147" s="3"/>
      <c r="HS1147" s="3"/>
      <c r="HT1147" s="3"/>
      <c r="HU1147" s="3"/>
      <c r="HV1147" s="3"/>
      <c r="HW1147" s="3"/>
      <c r="HX1147" s="3"/>
      <c r="HY1147" s="3"/>
      <c r="HZ1147" s="3"/>
      <c r="IA1147" s="3"/>
      <c r="IB1147" s="3"/>
      <c r="IC1147" s="3"/>
      <c r="ID1147" s="3"/>
      <c r="IE1147" s="3"/>
      <c r="IF1147" s="3"/>
      <c r="IG1147" s="3"/>
      <c r="IH1147" s="3"/>
      <c r="II1147" s="3"/>
      <c r="IJ1147" s="3"/>
      <c r="IK1147" s="3"/>
      <c r="IL1147" s="3"/>
      <c r="IM1147" s="3"/>
      <c r="IN1147" s="3"/>
      <c r="IO1147" s="3"/>
      <c r="IP1147" s="3"/>
      <c r="IQ1147" s="3"/>
      <c r="IR1147" s="3"/>
      <c r="IS1147" s="3"/>
      <c r="IT1147" s="3"/>
      <c r="IU1147" s="3"/>
      <c r="IV1147" s="3"/>
    </row>
    <row r="1148" spans="1:256" s="602" customFormat="1" ht="12" customHeight="1" thickTop="1">
      <c r="A1148" s="63"/>
      <c r="B1148" s="41"/>
      <c r="C1148" s="63"/>
      <c r="E1148" s="42" t="s">
        <v>138</v>
      </c>
      <c r="F1148" s="42" t="s">
        <v>139</v>
      </c>
      <c r="G1148" s="63"/>
      <c r="H1148" s="63"/>
      <c r="I1148" s="63"/>
      <c r="J1148" s="63"/>
      <c r="K1148" s="63" t="s">
        <v>140</v>
      </c>
      <c r="L1148" s="63"/>
      <c r="M1148" s="63"/>
      <c r="N1148" s="63"/>
      <c r="O1148" s="64"/>
      <c r="P1148" s="63"/>
      <c r="Q1148" s="63"/>
      <c r="R1148" s="63"/>
      <c r="S1148" s="63"/>
      <c r="T1148" s="41"/>
      <c r="AG1148" s="667" t="s">
        <v>278</v>
      </c>
      <c r="AH1148" s="667" t="s">
        <v>279</v>
      </c>
      <c r="AI1148" s="667" t="s">
        <v>280</v>
      </c>
      <c r="AJ1148" s="667" t="s">
        <v>281</v>
      </c>
      <c r="AK1148" s="667" t="s">
        <v>282</v>
      </c>
      <c r="AM1148" s="668" t="s">
        <v>291</v>
      </c>
      <c r="AN1148" s="669" t="s">
        <v>292</v>
      </c>
      <c r="AO1148" s="603" t="s">
        <v>288</v>
      </c>
    </row>
    <row r="1149" spans="1:256" s="602" customFormat="1" ht="39.9" customHeight="1">
      <c r="A1149" s="670">
        <v>1</v>
      </c>
      <c r="B1149" s="671" t="s">
        <v>312</v>
      </c>
      <c r="C1149" s="672"/>
      <c r="D1149" s="673" t="s">
        <v>402</v>
      </c>
      <c r="E1149" s="674">
        <f>IF(AND($A1149=0,$A$1="DIF"),0, ROUND(ROUND(($R1158*$S$2+($T1158*$T$2))/A1149,2)*$C$2,2))</f>
        <v>1588.37</v>
      </c>
      <c r="F1149" s="675">
        <f>ROUND($A1149*$E1149,2)</f>
        <v>1588.37</v>
      </c>
      <c r="G1149" s="676" t="s">
        <v>142</v>
      </c>
      <c r="H1149" s="664"/>
      <c r="I1149" s="677"/>
      <c r="J1149" s="664"/>
      <c r="K1149" s="664" t="s">
        <v>3</v>
      </c>
      <c r="L1149" s="678" t="s">
        <v>143</v>
      </c>
      <c r="M1149" s="678"/>
      <c r="N1149" s="678"/>
      <c r="O1149" s="678"/>
      <c r="P1149" s="678"/>
      <c r="Q1149" s="63"/>
      <c r="T1149" s="679" t="str">
        <f>IF(AND($R1158=0,$T1158=0),"0.00","mu :" &amp; ROUND($F1149/$C$2/($R1158+$T1158*$D$9),2))</f>
        <v>mu :1.35</v>
      </c>
      <c r="W1149" s="604"/>
      <c r="AG1149" s="549">
        <f>IF($E1149=0,0,ROUND($R1158*$S$2*$C$2/$A1149,2))</f>
        <v>0</v>
      </c>
      <c r="AH1149" s="549">
        <f>$AG1149*$A1149</f>
        <v>0</v>
      </c>
      <c r="AI1149" s="605">
        <f>$E1149-$AG1149</f>
        <v>1588.37</v>
      </c>
      <c r="AJ1149" s="605">
        <f>$A1149*$AI1149</f>
        <v>1588.37</v>
      </c>
      <c r="AK1149" s="606">
        <f>ROUND(($AG1149+$AI1149)*$A1149,2)</f>
        <v>1588.37</v>
      </c>
      <c r="AM1149" s="607">
        <f>ROUND(R1158,2)</f>
        <v>0</v>
      </c>
      <c r="AN1149" s="608">
        <f>ROUND(T1158,2)</f>
        <v>44</v>
      </c>
      <c r="AO1149" s="609">
        <f>ROUND(AM1149+AN1149,2)*A1149</f>
        <v>44</v>
      </c>
    </row>
    <row r="1150" spans="1:256" s="730" customFormat="1" ht="13.2">
      <c r="A1150" s="672"/>
      <c r="B1150"/>
      <c r="C1150" s="672"/>
      <c r="D1150" s="1368" t="s">
        <v>554</v>
      </c>
      <c r="E1150" s="1369"/>
      <c r="F1150" s="1369"/>
      <c r="G1150" s="1369"/>
      <c r="H1150" s="1369"/>
      <c r="I1150" s="1369"/>
      <c r="J1150" s="1369"/>
      <c r="K1150" s="1369"/>
      <c r="L1150" s="1369"/>
      <c r="M1150" s="1369"/>
      <c r="N1150" s="1369"/>
      <c r="O1150" s="1369"/>
      <c r="P1150" s="1369"/>
      <c r="Q1150" s="1369"/>
      <c r="R1150" s="1369"/>
      <c r="S1150" s="1369"/>
      <c r="T1150" s="1369"/>
      <c r="U1150" s="602"/>
      <c r="V1150" s="602"/>
      <c r="W1150" s="602"/>
      <c r="X1150" s="602"/>
      <c r="Y1150" s="602"/>
      <c r="Z1150" s="602"/>
      <c r="AA1150" s="602"/>
      <c r="AB1150" s="602"/>
      <c r="AC1150" s="602"/>
      <c r="AD1150" s="602"/>
      <c r="AE1150" s="602"/>
      <c r="AF1150" s="602"/>
      <c r="AG1150" s="602"/>
      <c r="AH1150" s="602"/>
      <c r="AI1150" s="602"/>
      <c r="AJ1150" s="602"/>
      <c r="AK1150" s="602"/>
      <c r="AL1150" s="602"/>
      <c r="AM1150" s="602"/>
      <c r="AN1150" s="602"/>
      <c r="AO1150" s="602"/>
      <c r="AP1150" s="602"/>
      <c r="AQ1150" s="602"/>
      <c r="AR1150" s="602"/>
      <c r="AS1150" s="602"/>
      <c r="AT1150" s="602"/>
      <c r="AU1150" s="602"/>
      <c r="AV1150" s="602"/>
      <c r="AW1150" s="602"/>
      <c r="AX1150" s="602"/>
      <c r="AY1150" s="602"/>
      <c r="AZ1150" s="602"/>
      <c r="BA1150" s="602"/>
      <c r="BB1150" s="602"/>
      <c r="BC1150" s="602"/>
      <c r="BD1150" s="602"/>
      <c r="BE1150" s="602"/>
      <c r="BF1150" s="602"/>
      <c r="BG1150" s="602"/>
      <c r="BH1150" s="602"/>
      <c r="BI1150" s="602"/>
      <c r="BJ1150" s="602"/>
      <c r="BK1150" s="602"/>
      <c r="BL1150" s="602"/>
      <c r="BM1150" s="602"/>
      <c r="BN1150" s="602"/>
      <c r="BO1150" s="602"/>
      <c r="BP1150" s="602"/>
      <c r="BQ1150" s="602"/>
      <c r="BR1150" s="602"/>
      <c r="BS1150" s="602"/>
      <c r="BT1150" s="602"/>
      <c r="BU1150" s="602"/>
      <c r="BV1150" s="602"/>
      <c r="BW1150" s="602"/>
      <c r="BX1150" s="602"/>
      <c r="BY1150" s="602"/>
      <c r="BZ1150" s="602"/>
      <c r="CA1150" s="602"/>
      <c r="CB1150" s="602"/>
      <c r="CC1150" s="602"/>
      <c r="CD1150" s="602"/>
      <c r="CE1150" s="602"/>
      <c r="CF1150" s="602"/>
      <c r="CG1150" s="602"/>
      <c r="CH1150" s="602"/>
      <c r="CI1150" s="602"/>
      <c r="CJ1150" s="602"/>
      <c r="CK1150" s="602"/>
      <c r="CL1150" s="602"/>
      <c r="CM1150" s="602"/>
      <c r="CN1150" s="602"/>
      <c r="CO1150" s="602"/>
      <c r="CP1150" s="602"/>
      <c r="CQ1150" s="602"/>
      <c r="CR1150" s="602"/>
      <c r="CS1150" s="602"/>
      <c r="CT1150" s="602"/>
      <c r="CU1150" s="602"/>
      <c r="CV1150" s="602"/>
      <c r="CW1150" s="602"/>
      <c r="CX1150" s="602"/>
      <c r="CY1150" s="602"/>
      <c r="CZ1150" s="602"/>
      <c r="DA1150" s="602"/>
      <c r="DB1150" s="602"/>
      <c r="DC1150" s="602"/>
      <c r="DD1150" s="602"/>
      <c r="DE1150" s="602"/>
      <c r="DF1150" s="602"/>
      <c r="DG1150" s="602"/>
      <c r="DH1150" s="602"/>
      <c r="DI1150" s="602"/>
      <c r="DJ1150" s="602"/>
      <c r="DK1150" s="602"/>
      <c r="DL1150" s="602"/>
      <c r="DM1150" s="602"/>
      <c r="DN1150" s="602"/>
      <c r="DO1150" s="602"/>
      <c r="DP1150" s="602"/>
      <c r="DQ1150" s="602"/>
      <c r="DR1150" s="602"/>
      <c r="DS1150" s="602"/>
      <c r="DT1150" s="602"/>
      <c r="DU1150" s="602"/>
      <c r="DV1150" s="602"/>
      <c r="DW1150" s="602"/>
      <c r="DX1150" s="602"/>
      <c r="DY1150" s="602"/>
      <c r="DZ1150" s="602"/>
      <c r="EA1150" s="602"/>
      <c r="EB1150" s="602"/>
      <c r="EC1150" s="602"/>
      <c r="ED1150" s="602"/>
      <c r="EE1150" s="602"/>
      <c r="EF1150" s="602"/>
      <c r="EG1150" s="602"/>
      <c r="EH1150" s="602"/>
      <c r="EI1150" s="602"/>
      <c r="EJ1150" s="602"/>
      <c r="EK1150" s="602"/>
      <c r="EL1150" s="602"/>
      <c r="EM1150" s="602"/>
      <c r="EN1150" s="602"/>
      <c r="EO1150" s="602"/>
      <c r="EP1150" s="602"/>
      <c r="EQ1150" s="602"/>
      <c r="ER1150" s="602"/>
      <c r="ES1150" s="602"/>
      <c r="ET1150" s="602"/>
      <c r="EU1150" s="602"/>
      <c r="EV1150" s="602"/>
      <c r="EW1150" s="602"/>
      <c r="EX1150" s="602"/>
      <c r="EY1150" s="602"/>
      <c r="EZ1150" s="602"/>
      <c r="FA1150" s="602"/>
      <c r="FB1150" s="602"/>
      <c r="FC1150" s="602"/>
      <c r="FD1150" s="602"/>
      <c r="FE1150" s="602"/>
      <c r="FF1150" s="602"/>
      <c r="FG1150" s="602"/>
      <c r="FH1150" s="602"/>
      <c r="FI1150" s="602"/>
      <c r="FJ1150" s="602"/>
      <c r="FK1150" s="602"/>
      <c r="FL1150" s="602"/>
      <c r="FM1150" s="602"/>
      <c r="FN1150" s="602"/>
      <c r="FO1150" s="602"/>
      <c r="FP1150" s="602"/>
      <c r="FQ1150" s="602"/>
      <c r="FR1150" s="602"/>
      <c r="FS1150" s="602"/>
      <c r="FT1150" s="602"/>
      <c r="FU1150" s="602"/>
      <c r="FV1150" s="602"/>
      <c r="FW1150" s="602"/>
      <c r="FX1150" s="602"/>
      <c r="FY1150" s="602"/>
      <c r="FZ1150" s="602"/>
      <c r="GA1150" s="602"/>
      <c r="GB1150" s="602"/>
      <c r="GC1150" s="602"/>
      <c r="GD1150" s="602"/>
      <c r="GE1150" s="602"/>
      <c r="GF1150" s="602"/>
      <c r="GG1150" s="602"/>
      <c r="GH1150" s="602"/>
      <c r="GI1150" s="602"/>
      <c r="GJ1150" s="602"/>
      <c r="GK1150" s="602"/>
      <c r="GL1150" s="602"/>
      <c r="GM1150" s="602"/>
      <c r="GN1150" s="602"/>
      <c r="GO1150" s="602"/>
      <c r="GP1150" s="602"/>
      <c r="GQ1150" s="602"/>
      <c r="GR1150" s="602"/>
      <c r="GS1150" s="602"/>
      <c r="GT1150" s="602"/>
      <c r="GU1150" s="602"/>
      <c r="GV1150" s="602"/>
      <c r="GW1150" s="602"/>
      <c r="GX1150" s="602"/>
      <c r="GY1150" s="602"/>
      <c r="GZ1150" s="602"/>
      <c r="HA1150" s="602"/>
      <c r="HB1150" s="602"/>
      <c r="HC1150" s="602"/>
      <c r="HD1150" s="602"/>
      <c r="HE1150" s="602"/>
      <c r="HF1150" s="602"/>
      <c r="HG1150" s="602"/>
      <c r="HH1150" s="602"/>
      <c r="HI1150" s="602"/>
      <c r="HJ1150" s="602"/>
      <c r="HK1150" s="602"/>
      <c r="HL1150" s="602"/>
      <c r="HM1150" s="602"/>
      <c r="HN1150" s="602"/>
      <c r="HO1150" s="602"/>
      <c r="HP1150" s="602"/>
      <c r="HQ1150" s="602"/>
      <c r="HR1150" s="602"/>
      <c r="HS1150" s="602"/>
      <c r="HT1150" s="602"/>
      <c r="HU1150" s="602"/>
      <c r="HV1150" s="602"/>
      <c r="HW1150" s="602"/>
      <c r="HX1150" s="602"/>
      <c r="HY1150" s="602"/>
      <c r="HZ1150" s="602"/>
      <c r="IA1150" s="602"/>
      <c r="IB1150" s="602"/>
      <c r="IC1150" s="602"/>
      <c r="ID1150" s="602"/>
      <c r="IE1150" s="602"/>
      <c r="IF1150" s="602"/>
      <c r="IG1150" s="602"/>
      <c r="IH1150" s="602"/>
      <c r="II1150" s="602"/>
      <c r="IJ1150" s="602"/>
      <c r="IK1150" s="602"/>
      <c r="IL1150" s="602"/>
      <c r="IM1150" s="602"/>
      <c r="IN1150" s="602"/>
      <c r="IO1150" s="602"/>
      <c r="IP1150" s="602"/>
      <c r="IQ1150" s="602"/>
      <c r="IR1150" s="602"/>
      <c r="IS1150" s="602"/>
      <c r="IT1150" s="602"/>
      <c r="IU1150" s="602"/>
      <c r="IV1150" s="602"/>
    </row>
    <row r="1151" spans="1:256" s="730" customFormat="1" ht="13.2">
      <c r="A1151" s="167">
        <v>1</v>
      </c>
      <c r="B1151" s="730" t="s">
        <v>312</v>
      </c>
      <c r="D1151" s="730" t="s">
        <v>956</v>
      </c>
      <c r="F1151" s="730" t="s">
        <v>963</v>
      </c>
      <c r="G1151" s="731" t="s">
        <v>957</v>
      </c>
      <c r="H1151" s="732">
        <v>902</v>
      </c>
      <c r="I1151" s="730" t="s">
        <v>686</v>
      </c>
      <c r="O1151" s="733">
        <v>3</v>
      </c>
      <c r="P1151" s="734">
        <v>38317</v>
      </c>
      <c r="Q1151" s="735"/>
      <c r="R1151" s="736">
        <f t="shared" ref="R1151:R1157" si="42">$A1151*Q1151</f>
        <v>0</v>
      </c>
      <c r="S1151" s="735">
        <v>16</v>
      </c>
      <c r="T1151" s="737">
        <f t="shared" ref="T1151:T1157" si="43">$A1151*S1151*$T$1</f>
        <v>16</v>
      </c>
    </row>
    <row r="1152" spans="1:256" s="730" customFormat="1" ht="13.2">
      <c r="A1152" s="167">
        <v>1</v>
      </c>
      <c r="B1152" s="730" t="s">
        <v>312</v>
      </c>
      <c r="D1152" s="730" t="s">
        <v>956</v>
      </c>
      <c r="F1152" s="730" t="s">
        <v>959</v>
      </c>
      <c r="G1152" s="731" t="s">
        <v>957</v>
      </c>
      <c r="H1152" s="732">
        <v>902</v>
      </c>
      <c r="I1152" s="730" t="s">
        <v>686</v>
      </c>
      <c r="O1152" s="733">
        <v>3</v>
      </c>
      <c r="P1152" s="734">
        <v>38317</v>
      </c>
      <c r="Q1152" s="735"/>
      <c r="R1152" s="736">
        <f t="shared" si="42"/>
        <v>0</v>
      </c>
      <c r="S1152" s="735">
        <v>8</v>
      </c>
      <c r="T1152" s="737">
        <f t="shared" si="43"/>
        <v>8</v>
      </c>
    </row>
    <row r="1153" spans="1:256" s="730" customFormat="1" ht="13.2">
      <c r="A1153" s="167">
        <v>1</v>
      </c>
      <c r="B1153" s="730" t="s">
        <v>312</v>
      </c>
      <c r="D1153" s="730" t="s">
        <v>956</v>
      </c>
      <c r="F1153" s="730" t="s">
        <v>960</v>
      </c>
      <c r="G1153" s="731" t="s">
        <v>957</v>
      </c>
      <c r="H1153" s="732">
        <v>902</v>
      </c>
      <c r="I1153" s="730" t="s">
        <v>686</v>
      </c>
      <c r="O1153" s="733">
        <v>3</v>
      </c>
      <c r="P1153" s="734">
        <v>38317</v>
      </c>
      <c r="Q1153" s="735"/>
      <c r="R1153" s="736">
        <f t="shared" si="42"/>
        <v>0</v>
      </c>
      <c r="S1153" s="735">
        <v>8</v>
      </c>
      <c r="T1153" s="737">
        <f t="shared" si="43"/>
        <v>8</v>
      </c>
    </row>
    <row r="1154" spans="1:256" s="730" customFormat="1" ht="13.2">
      <c r="A1154" s="167">
        <v>3</v>
      </c>
      <c r="B1154" s="730" t="s">
        <v>312</v>
      </c>
      <c r="D1154" s="730" t="s">
        <v>956</v>
      </c>
      <c r="F1154" s="730" t="s">
        <v>961</v>
      </c>
      <c r="G1154" s="731" t="s">
        <v>957</v>
      </c>
      <c r="H1154" s="732">
        <v>902</v>
      </c>
      <c r="I1154" s="730" t="s">
        <v>686</v>
      </c>
      <c r="O1154" s="733">
        <v>3</v>
      </c>
      <c r="P1154" s="734">
        <v>38317</v>
      </c>
      <c r="Q1154" s="735"/>
      <c r="R1154" s="736">
        <f t="shared" si="42"/>
        <v>0</v>
      </c>
      <c r="S1154" s="735">
        <v>2</v>
      </c>
      <c r="T1154" s="737">
        <f t="shared" si="43"/>
        <v>6</v>
      </c>
    </row>
    <row r="1155" spans="1:256" s="730" customFormat="1" ht="13.2">
      <c r="A1155" s="167">
        <v>2</v>
      </c>
      <c r="B1155" s="730" t="s">
        <v>312</v>
      </c>
      <c r="D1155" s="730" t="s">
        <v>956</v>
      </c>
      <c r="F1155" s="730" t="s">
        <v>958</v>
      </c>
      <c r="G1155" s="731" t="s">
        <v>957</v>
      </c>
      <c r="H1155" s="732">
        <v>902</v>
      </c>
      <c r="I1155" s="730" t="s">
        <v>686</v>
      </c>
      <c r="O1155" s="733">
        <v>3</v>
      </c>
      <c r="P1155" s="734">
        <v>38317</v>
      </c>
      <c r="Q1155" s="735"/>
      <c r="R1155" s="736">
        <f t="shared" si="42"/>
        <v>0</v>
      </c>
      <c r="S1155" s="735">
        <v>1</v>
      </c>
      <c r="T1155" s="737">
        <f t="shared" si="43"/>
        <v>2</v>
      </c>
    </row>
    <row r="1156" spans="1:256" s="602" customFormat="1" ht="13.2">
      <c r="A1156" s="167">
        <v>1</v>
      </c>
      <c r="B1156" s="730" t="s">
        <v>312</v>
      </c>
      <c r="C1156" s="730"/>
      <c r="D1156" s="730" t="s">
        <v>956</v>
      </c>
      <c r="E1156" s="730"/>
      <c r="F1156" s="730" t="s">
        <v>962</v>
      </c>
      <c r="G1156" s="731" t="s">
        <v>957</v>
      </c>
      <c r="H1156" s="732">
        <v>902</v>
      </c>
      <c r="I1156" s="730" t="s">
        <v>686</v>
      </c>
      <c r="J1156" s="730"/>
      <c r="K1156" s="730"/>
      <c r="L1156" s="730"/>
      <c r="M1156" s="730"/>
      <c r="N1156" s="730"/>
      <c r="O1156" s="733">
        <v>3</v>
      </c>
      <c r="P1156" s="734">
        <v>38317</v>
      </c>
      <c r="Q1156" s="735"/>
      <c r="R1156" s="736">
        <f t="shared" si="42"/>
        <v>0</v>
      </c>
      <c r="S1156" s="735">
        <v>4</v>
      </c>
      <c r="T1156" s="737">
        <f t="shared" si="43"/>
        <v>4</v>
      </c>
      <c r="U1156" s="730"/>
      <c r="V1156" s="730"/>
      <c r="W1156" s="730"/>
      <c r="X1156" s="730"/>
      <c r="Y1156" s="730"/>
      <c r="Z1156" s="730"/>
      <c r="AA1156" s="730"/>
      <c r="AB1156" s="730"/>
      <c r="AC1156" s="730"/>
      <c r="AD1156" s="730"/>
      <c r="AE1156" s="730"/>
      <c r="AF1156" s="730"/>
      <c r="AG1156" s="730"/>
      <c r="AH1156" s="730"/>
      <c r="AI1156" s="730"/>
      <c r="AJ1156" s="730"/>
      <c r="AK1156" s="730"/>
      <c r="AL1156" s="730"/>
      <c r="AM1156" s="730"/>
      <c r="AN1156" s="730"/>
      <c r="AO1156" s="730"/>
      <c r="AP1156" s="730"/>
      <c r="AQ1156" s="730"/>
      <c r="AR1156" s="730"/>
      <c r="AS1156" s="730"/>
      <c r="AT1156" s="730"/>
      <c r="AU1156" s="730"/>
      <c r="AV1156" s="730"/>
      <c r="AW1156" s="730"/>
      <c r="AX1156" s="730"/>
      <c r="AY1156" s="730"/>
      <c r="AZ1156" s="730"/>
      <c r="BA1156" s="730"/>
      <c r="BB1156" s="730"/>
      <c r="BC1156" s="730"/>
      <c r="BD1156" s="730"/>
      <c r="BE1156" s="730"/>
      <c r="BF1156" s="730"/>
      <c r="BG1156" s="730"/>
      <c r="BH1156" s="730"/>
      <c r="BI1156" s="730"/>
      <c r="BJ1156" s="730"/>
      <c r="BK1156" s="730"/>
      <c r="BL1156" s="730"/>
      <c r="BM1156" s="730"/>
      <c r="BN1156" s="730"/>
      <c r="BO1156" s="730"/>
      <c r="BP1156" s="730"/>
      <c r="BQ1156" s="730"/>
      <c r="BR1156" s="730"/>
      <c r="BS1156" s="730"/>
      <c r="BT1156" s="730"/>
      <c r="BU1156" s="730"/>
      <c r="BV1156" s="730"/>
      <c r="BW1156" s="730"/>
      <c r="BX1156" s="730"/>
      <c r="BY1156" s="730"/>
      <c r="BZ1156" s="730"/>
      <c r="CA1156" s="730"/>
      <c r="CB1156" s="730"/>
      <c r="CC1156" s="730"/>
      <c r="CD1156" s="730"/>
      <c r="CE1156" s="730"/>
      <c r="CF1156" s="730"/>
      <c r="CG1156" s="730"/>
      <c r="CH1156" s="730"/>
      <c r="CI1156" s="730"/>
      <c r="CJ1156" s="730"/>
      <c r="CK1156" s="730"/>
      <c r="CL1156" s="730"/>
      <c r="CM1156" s="730"/>
      <c r="CN1156" s="730"/>
      <c r="CO1156" s="730"/>
      <c r="CP1156" s="730"/>
      <c r="CQ1156" s="730"/>
      <c r="CR1156" s="730"/>
      <c r="CS1156" s="730"/>
      <c r="CT1156" s="730"/>
      <c r="CU1156" s="730"/>
      <c r="CV1156" s="730"/>
      <c r="CW1156" s="730"/>
      <c r="CX1156" s="730"/>
      <c r="CY1156" s="730"/>
      <c r="CZ1156" s="730"/>
      <c r="DA1156" s="730"/>
      <c r="DB1156" s="730"/>
      <c r="DC1156" s="730"/>
      <c r="DD1156" s="730"/>
      <c r="DE1156" s="730"/>
      <c r="DF1156" s="730"/>
      <c r="DG1156" s="730"/>
      <c r="DH1156" s="730"/>
      <c r="DI1156" s="730"/>
      <c r="DJ1156" s="730"/>
      <c r="DK1156" s="730"/>
      <c r="DL1156" s="730"/>
      <c r="DM1156" s="730"/>
      <c r="DN1156" s="730"/>
      <c r="DO1156" s="730"/>
      <c r="DP1156" s="730"/>
      <c r="DQ1156" s="730"/>
      <c r="DR1156" s="730"/>
      <c r="DS1156" s="730"/>
      <c r="DT1156" s="730"/>
      <c r="DU1156" s="730"/>
      <c r="DV1156" s="730"/>
      <c r="DW1156" s="730"/>
      <c r="DX1156" s="730"/>
      <c r="DY1156" s="730"/>
      <c r="DZ1156" s="730"/>
      <c r="EA1156" s="730"/>
      <c r="EB1156" s="730"/>
      <c r="EC1156" s="730"/>
      <c r="ED1156" s="730"/>
      <c r="EE1156" s="730"/>
      <c r="EF1156" s="730"/>
      <c r="EG1156" s="730"/>
      <c r="EH1156" s="730"/>
      <c r="EI1156" s="730"/>
      <c r="EJ1156" s="730"/>
      <c r="EK1156" s="730"/>
      <c r="EL1156" s="730"/>
      <c r="EM1156" s="730"/>
      <c r="EN1156" s="730"/>
      <c r="EO1156" s="730"/>
      <c r="EP1156" s="730"/>
      <c r="EQ1156" s="730"/>
      <c r="ER1156" s="730"/>
      <c r="ES1156" s="730"/>
      <c r="ET1156" s="730"/>
      <c r="EU1156" s="730"/>
      <c r="EV1156" s="730"/>
      <c r="EW1156" s="730"/>
      <c r="EX1156" s="730"/>
      <c r="EY1156" s="730"/>
      <c r="EZ1156" s="730"/>
      <c r="FA1156" s="730"/>
      <c r="FB1156" s="730"/>
      <c r="FC1156" s="730"/>
      <c r="FD1156" s="730"/>
      <c r="FE1156" s="730"/>
      <c r="FF1156" s="730"/>
      <c r="FG1156" s="730"/>
      <c r="FH1156" s="730"/>
      <c r="FI1156" s="730"/>
      <c r="FJ1156" s="730"/>
      <c r="FK1156" s="730"/>
      <c r="FL1156" s="730"/>
      <c r="FM1156" s="730"/>
      <c r="FN1156" s="730"/>
      <c r="FO1156" s="730"/>
      <c r="FP1156" s="730"/>
      <c r="FQ1156" s="730"/>
      <c r="FR1156" s="730"/>
      <c r="FS1156" s="730"/>
      <c r="FT1156" s="730"/>
      <c r="FU1156" s="730"/>
      <c r="FV1156" s="730"/>
      <c r="FW1156" s="730"/>
      <c r="FX1156" s="730"/>
      <c r="FY1156" s="730"/>
      <c r="FZ1156" s="730"/>
      <c r="GA1156" s="730"/>
      <c r="GB1156" s="730"/>
      <c r="GC1156" s="730"/>
      <c r="GD1156" s="730"/>
      <c r="GE1156" s="730"/>
      <c r="GF1156" s="730"/>
      <c r="GG1156" s="730"/>
      <c r="GH1156" s="730"/>
      <c r="GI1156" s="730"/>
      <c r="GJ1156" s="730"/>
      <c r="GK1156" s="730"/>
      <c r="GL1156" s="730"/>
      <c r="GM1156" s="730"/>
      <c r="GN1156" s="730"/>
      <c r="GO1156" s="730"/>
      <c r="GP1156" s="730"/>
      <c r="GQ1156" s="730"/>
      <c r="GR1156" s="730"/>
      <c r="GS1156" s="730"/>
      <c r="GT1156" s="730"/>
      <c r="GU1156" s="730"/>
      <c r="GV1156" s="730"/>
      <c r="GW1156" s="730"/>
      <c r="GX1156" s="730"/>
      <c r="GY1156" s="730"/>
      <c r="GZ1156" s="730"/>
      <c r="HA1156" s="730"/>
      <c r="HB1156" s="730"/>
      <c r="HC1156" s="730"/>
      <c r="HD1156" s="730"/>
      <c r="HE1156" s="730"/>
      <c r="HF1156" s="730"/>
      <c r="HG1156" s="730"/>
      <c r="HH1156" s="730"/>
      <c r="HI1156" s="730"/>
      <c r="HJ1156" s="730"/>
      <c r="HK1156" s="730"/>
      <c r="HL1156" s="730"/>
      <c r="HM1156" s="730"/>
      <c r="HN1156" s="730"/>
      <c r="HO1156" s="730"/>
      <c r="HP1156" s="730"/>
      <c r="HQ1156" s="730"/>
      <c r="HR1156" s="730"/>
      <c r="HS1156" s="730"/>
      <c r="HT1156" s="730"/>
      <c r="HU1156" s="730"/>
      <c r="HV1156" s="730"/>
      <c r="HW1156" s="730"/>
      <c r="HX1156" s="730"/>
      <c r="HY1156" s="730"/>
      <c r="HZ1156" s="730"/>
      <c r="IA1156" s="730"/>
      <c r="IB1156" s="730"/>
      <c r="IC1156" s="730"/>
      <c r="ID1156" s="730"/>
      <c r="IE1156" s="730"/>
      <c r="IF1156" s="730"/>
      <c r="IG1156" s="730"/>
      <c r="IH1156" s="730"/>
      <c r="II1156" s="730"/>
      <c r="IJ1156" s="730"/>
      <c r="IK1156" s="730"/>
      <c r="IL1156" s="730"/>
      <c r="IM1156" s="730"/>
      <c r="IN1156" s="730"/>
      <c r="IO1156" s="730"/>
      <c r="IP1156" s="730"/>
      <c r="IQ1156" s="730"/>
      <c r="IR1156" s="730"/>
      <c r="IS1156" s="730"/>
      <c r="IT1156" s="730"/>
      <c r="IU1156" s="730"/>
      <c r="IV1156" s="730"/>
    </row>
    <row r="1157" spans="1:256" s="602" customFormat="1" ht="12">
      <c r="A1157" s="663"/>
      <c r="B1157" s="663"/>
      <c r="C1157" s="663"/>
      <c r="D1157" s="663"/>
      <c r="E1157" s="663"/>
      <c r="F1157" s="664"/>
      <c r="G1157" s="663"/>
      <c r="H1157" s="663"/>
      <c r="I1157" s="601"/>
      <c r="J1157" s="663"/>
      <c r="K1157" s="663"/>
      <c r="L1157" s="663"/>
      <c r="M1157" s="663"/>
      <c r="N1157" s="663"/>
      <c r="O1157" s="663"/>
      <c r="P1157" s="663"/>
      <c r="Q1157" s="601"/>
      <c r="R1157" s="666">
        <f t="shared" si="42"/>
        <v>0</v>
      </c>
      <c r="S1157" s="601"/>
      <c r="T1157" s="681">
        <f t="shared" si="43"/>
        <v>0</v>
      </c>
    </row>
    <row r="1158" spans="1:256" s="602" customFormat="1" ht="12.6" thickBot="1">
      <c r="A1158" s="682" t="s">
        <v>145</v>
      </c>
      <c r="B1158" s="683">
        <f>(R1157+T1157)</f>
        <v>0</v>
      </c>
      <c r="C1158" s="684"/>
      <c r="D1158" s="684"/>
      <c r="E1158" s="684"/>
      <c r="F1158" s="685"/>
      <c r="G1158" s="684" t="s">
        <v>146</v>
      </c>
      <c r="H1158" s="684"/>
      <c r="I1158" s="686"/>
      <c r="J1158" s="684"/>
      <c r="K1158" s="684" t="s">
        <v>3</v>
      </c>
      <c r="L1158" s="687" t="s">
        <v>143</v>
      </c>
      <c r="M1158" s="687"/>
      <c r="N1158" s="687"/>
      <c r="O1158" s="687"/>
      <c r="P1158" s="687"/>
      <c r="Q1158" s="688"/>
      <c r="R1158" s="689">
        <f>SUM(R1150:R1157)</f>
        <v>0</v>
      </c>
      <c r="S1158" s="684"/>
      <c r="T1158" s="689">
        <f>SUM(T1150:T1157)</f>
        <v>44</v>
      </c>
      <c r="U1158" s="611"/>
      <c r="V1158" s="611"/>
      <c r="W1158" s="611"/>
      <c r="X1158" s="611"/>
      <c r="Y1158" s="611"/>
      <c r="Z1158" s="611"/>
      <c r="AA1158" s="611"/>
      <c r="AB1158" s="611"/>
      <c r="AC1158" s="611"/>
      <c r="AD1158" s="611"/>
      <c r="AE1158" s="611"/>
      <c r="AF1158" s="611"/>
      <c r="AG1158" s="611"/>
      <c r="AH1158" s="611"/>
      <c r="AI1158" s="611"/>
      <c r="AJ1158" s="611"/>
      <c r="AK1158" s="611"/>
      <c r="AL1158" s="611"/>
      <c r="AM1158" s="611"/>
      <c r="AN1158" s="611"/>
      <c r="AO1158" s="611"/>
    </row>
    <row r="1159" spans="1:256" s="602" customFormat="1" ht="12" customHeight="1" thickTop="1">
      <c r="A1159" s="63"/>
      <c r="B1159" s="41"/>
      <c r="C1159" s="63"/>
      <c r="E1159" s="42" t="s">
        <v>138</v>
      </c>
      <c r="F1159" s="42" t="s">
        <v>139</v>
      </c>
      <c r="G1159" s="63"/>
      <c r="H1159" s="63"/>
      <c r="I1159" s="63"/>
      <c r="J1159" s="63"/>
      <c r="K1159" s="63" t="s">
        <v>140</v>
      </c>
      <c r="L1159" s="63"/>
      <c r="M1159" s="63"/>
      <c r="N1159" s="63"/>
      <c r="O1159" s="64"/>
      <c r="P1159" s="63"/>
      <c r="Q1159" s="63"/>
      <c r="R1159" s="63"/>
      <c r="S1159" s="63"/>
      <c r="T1159" s="41"/>
      <c r="AG1159" s="667" t="s">
        <v>278</v>
      </c>
      <c r="AH1159" s="667" t="s">
        <v>279</v>
      </c>
      <c r="AI1159" s="667" t="s">
        <v>280</v>
      </c>
      <c r="AJ1159" s="667" t="s">
        <v>281</v>
      </c>
      <c r="AK1159" s="667" t="s">
        <v>282</v>
      </c>
      <c r="AM1159" s="668" t="s">
        <v>291</v>
      </c>
      <c r="AN1159" s="669" t="s">
        <v>292</v>
      </c>
      <c r="AO1159" s="603" t="s">
        <v>288</v>
      </c>
    </row>
    <row r="1160" spans="1:256" s="602" customFormat="1" ht="39.9" customHeight="1">
      <c r="A1160" s="670">
        <v>1</v>
      </c>
      <c r="B1160" s="671" t="s">
        <v>312</v>
      </c>
      <c r="C1160" s="672"/>
      <c r="D1160" s="673" t="s">
        <v>403</v>
      </c>
      <c r="E1160" s="674">
        <f>IF(AND($A1160=0,$A$1="DIF"),0, ROUND(ROUND(($R1164*$S$2+($T1164*$T$2))/A1160,2)*$C$2,2))</f>
        <v>288.8</v>
      </c>
      <c r="F1160" s="675">
        <f>ROUND($A1160*$E1160,2)</f>
        <v>288.8</v>
      </c>
      <c r="G1160" s="676" t="s">
        <v>142</v>
      </c>
      <c r="H1160" s="664"/>
      <c r="I1160" s="677"/>
      <c r="J1160" s="664"/>
      <c r="K1160" s="664" t="s">
        <v>3</v>
      </c>
      <c r="L1160" s="678" t="s">
        <v>143</v>
      </c>
      <c r="M1160" s="678"/>
      <c r="N1160" s="678"/>
      <c r="O1160" s="678"/>
      <c r="P1160" s="678"/>
      <c r="Q1160" s="63"/>
      <c r="T1160" s="679" t="str">
        <f>IF(AND($R1164=0,$T1164=0),"0.00","mu :" &amp; ROUND($F1160/$C$2/($R1164+$T1164*$D$9),2))</f>
        <v>mu :1.35</v>
      </c>
      <c r="W1160" s="604"/>
      <c r="AG1160" s="549">
        <f>IF($E1160=0,0,ROUND($R1164*$S$2*$C$2/$A1160,2))</f>
        <v>0</v>
      </c>
      <c r="AH1160" s="549">
        <f>$AG1160*$A1160</f>
        <v>0</v>
      </c>
      <c r="AI1160" s="605">
        <f>$E1160-$AG1160</f>
        <v>288.8</v>
      </c>
      <c r="AJ1160" s="605">
        <f>$A1160*$AI1160</f>
        <v>288.8</v>
      </c>
      <c r="AK1160" s="606">
        <f>ROUND(($AG1160+$AI1160)*$A1160,2)</f>
        <v>288.8</v>
      </c>
      <c r="AM1160" s="607">
        <f>ROUND(R1164,2)</f>
        <v>0</v>
      </c>
      <c r="AN1160" s="608">
        <f>ROUND(T1164,2)</f>
        <v>8</v>
      </c>
      <c r="AO1160" s="609">
        <f>ROUND(AM1160+AN1160,2)*A1160</f>
        <v>8</v>
      </c>
    </row>
    <row r="1161" spans="1:256" s="730" customFormat="1" ht="13.2">
      <c r="A1161" s="672"/>
      <c r="B1161"/>
      <c r="C1161" s="672"/>
      <c r="D1161" s="1368" t="s">
        <v>365</v>
      </c>
      <c r="E1161" s="1369"/>
      <c r="F1161" s="1369"/>
      <c r="G1161" s="1369"/>
      <c r="H1161" s="1369"/>
      <c r="I1161" s="1369"/>
      <c r="J1161" s="1369"/>
      <c r="K1161" s="1369"/>
      <c r="L1161" s="1369"/>
      <c r="M1161" s="1369"/>
      <c r="N1161" s="1369"/>
      <c r="O1161" s="1369"/>
      <c r="P1161" s="1369"/>
      <c r="Q1161" s="1369"/>
      <c r="R1161" s="1369"/>
      <c r="S1161" s="1369"/>
      <c r="T1161" s="1369"/>
      <c r="U1161" s="602"/>
      <c r="V1161" s="602"/>
      <c r="W1161" s="602"/>
      <c r="X1161" s="602"/>
      <c r="Y1161" s="602"/>
      <c r="Z1161" s="602"/>
      <c r="AA1161" s="602"/>
      <c r="AB1161" s="602"/>
      <c r="AC1161" s="602"/>
      <c r="AD1161" s="602"/>
      <c r="AE1161" s="602"/>
      <c r="AF1161" s="602"/>
      <c r="AG1161" s="602"/>
      <c r="AH1161" s="602"/>
      <c r="AI1161" s="602"/>
      <c r="AJ1161" s="602"/>
      <c r="AK1161" s="602"/>
      <c r="AL1161" s="602"/>
      <c r="AM1161" s="602"/>
      <c r="AN1161" s="602"/>
      <c r="AO1161" s="602"/>
      <c r="AP1161" s="602"/>
      <c r="AQ1161" s="602"/>
      <c r="AR1161" s="602"/>
      <c r="AS1161" s="602"/>
      <c r="AT1161" s="602"/>
      <c r="AU1161" s="602"/>
      <c r="AV1161" s="602"/>
      <c r="AW1161" s="602"/>
      <c r="AX1161" s="602"/>
      <c r="AY1161" s="602"/>
      <c r="AZ1161" s="602"/>
      <c r="BA1161" s="602"/>
      <c r="BB1161" s="602"/>
      <c r="BC1161" s="602"/>
      <c r="BD1161" s="602"/>
      <c r="BE1161" s="602"/>
      <c r="BF1161" s="602"/>
      <c r="BG1161" s="602"/>
      <c r="BH1161" s="602"/>
      <c r="BI1161" s="602"/>
      <c r="BJ1161" s="602"/>
      <c r="BK1161" s="602"/>
      <c r="BL1161" s="602"/>
      <c r="BM1161" s="602"/>
      <c r="BN1161" s="602"/>
      <c r="BO1161" s="602"/>
      <c r="BP1161" s="602"/>
      <c r="BQ1161" s="602"/>
      <c r="BR1161" s="602"/>
      <c r="BS1161" s="602"/>
      <c r="BT1161" s="602"/>
      <c r="BU1161" s="602"/>
      <c r="BV1161" s="602"/>
      <c r="BW1161" s="602"/>
      <c r="BX1161" s="602"/>
      <c r="BY1161" s="602"/>
      <c r="BZ1161" s="602"/>
      <c r="CA1161" s="602"/>
      <c r="CB1161" s="602"/>
      <c r="CC1161" s="602"/>
      <c r="CD1161" s="602"/>
      <c r="CE1161" s="602"/>
      <c r="CF1161" s="602"/>
      <c r="CG1161" s="602"/>
      <c r="CH1161" s="602"/>
      <c r="CI1161" s="602"/>
      <c r="CJ1161" s="602"/>
      <c r="CK1161" s="602"/>
      <c r="CL1161" s="602"/>
      <c r="CM1161" s="602"/>
      <c r="CN1161" s="602"/>
      <c r="CO1161" s="602"/>
      <c r="CP1161" s="602"/>
      <c r="CQ1161" s="602"/>
      <c r="CR1161" s="602"/>
      <c r="CS1161" s="602"/>
      <c r="CT1161" s="602"/>
      <c r="CU1161" s="602"/>
      <c r="CV1161" s="602"/>
      <c r="CW1161" s="602"/>
      <c r="CX1161" s="602"/>
      <c r="CY1161" s="602"/>
      <c r="CZ1161" s="602"/>
      <c r="DA1161" s="602"/>
      <c r="DB1161" s="602"/>
      <c r="DC1161" s="602"/>
      <c r="DD1161" s="602"/>
      <c r="DE1161" s="602"/>
      <c r="DF1161" s="602"/>
      <c r="DG1161" s="602"/>
      <c r="DH1161" s="602"/>
      <c r="DI1161" s="602"/>
      <c r="DJ1161" s="602"/>
      <c r="DK1161" s="602"/>
      <c r="DL1161" s="602"/>
      <c r="DM1161" s="602"/>
      <c r="DN1161" s="602"/>
      <c r="DO1161" s="602"/>
      <c r="DP1161" s="602"/>
      <c r="DQ1161" s="602"/>
      <c r="DR1161" s="602"/>
      <c r="DS1161" s="602"/>
      <c r="DT1161" s="602"/>
      <c r="DU1161" s="602"/>
      <c r="DV1161" s="602"/>
      <c r="DW1161" s="602"/>
      <c r="DX1161" s="602"/>
      <c r="DY1161" s="602"/>
      <c r="DZ1161" s="602"/>
      <c r="EA1161" s="602"/>
      <c r="EB1161" s="602"/>
      <c r="EC1161" s="602"/>
      <c r="ED1161" s="602"/>
      <c r="EE1161" s="602"/>
      <c r="EF1161" s="602"/>
      <c r="EG1161" s="602"/>
      <c r="EH1161" s="602"/>
      <c r="EI1161" s="602"/>
      <c r="EJ1161" s="602"/>
      <c r="EK1161" s="602"/>
      <c r="EL1161" s="602"/>
      <c r="EM1161" s="602"/>
      <c r="EN1161" s="602"/>
      <c r="EO1161" s="602"/>
      <c r="EP1161" s="602"/>
      <c r="EQ1161" s="602"/>
      <c r="ER1161" s="602"/>
      <c r="ES1161" s="602"/>
      <c r="ET1161" s="602"/>
      <c r="EU1161" s="602"/>
      <c r="EV1161" s="602"/>
      <c r="EW1161" s="602"/>
      <c r="EX1161" s="602"/>
      <c r="EY1161" s="602"/>
      <c r="EZ1161" s="602"/>
      <c r="FA1161" s="602"/>
      <c r="FB1161" s="602"/>
      <c r="FC1161" s="602"/>
      <c r="FD1161" s="602"/>
      <c r="FE1161" s="602"/>
      <c r="FF1161" s="602"/>
      <c r="FG1161" s="602"/>
      <c r="FH1161" s="602"/>
      <c r="FI1161" s="602"/>
      <c r="FJ1161" s="602"/>
      <c r="FK1161" s="602"/>
      <c r="FL1161" s="602"/>
      <c r="FM1161" s="602"/>
      <c r="FN1161" s="602"/>
      <c r="FO1161" s="602"/>
      <c r="FP1161" s="602"/>
      <c r="FQ1161" s="602"/>
      <c r="FR1161" s="602"/>
      <c r="FS1161" s="602"/>
      <c r="FT1161" s="602"/>
      <c r="FU1161" s="602"/>
      <c r="FV1161" s="602"/>
      <c r="FW1161" s="602"/>
      <c r="FX1161" s="602"/>
      <c r="FY1161" s="602"/>
      <c r="FZ1161" s="602"/>
      <c r="GA1161" s="602"/>
      <c r="GB1161" s="602"/>
      <c r="GC1161" s="602"/>
      <c r="GD1161" s="602"/>
      <c r="GE1161" s="602"/>
      <c r="GF1161" s="602"/>
      <c r="GG1161" s="602"/>
      <c r="GH1161" s="602"/>
      <c r="GI1161" s="602"/>
      <c r="GJ1161" s="602"/>
      <c r="GK1161" s="602"/>
      <c r="GL1161" s="602"/>
      <c r="GM1161" s="602"/>
      <c r="GN1161" s="602"/>
      <c r="GO1161" s="602"/>
      <c r="GP1161" s="602"/>
      <c r="GQ1161" s="602"/>
      <c r="GR1161" s="602"/>
      <c r="GS1161" s="602"/>
      <c r="GT1161" s="602"/>
      <c r="GU1161" s="602"/>
      <c r="GV1161" s="602"/>
      <c r="GW1161" s="602"/>
      <c r="GX1161" s="602"/>
      <c r="GY1161" s="602"/>
      <c r="GZ1161" s="602"/>
      <c r="HA1161" s="602"/>
      <c r="HB1161" s="602"/>
      <c r="HC1161" s="602"/>
      <c r="HD1161" s="602"/>
      <c r="HE1161" s="602"/>
      <c r="HF1161" s="602"/>
      <c r="HG1161" s="602"/>
      <c r="HH1161" s="602"/>
      <c r="HI1161" s="602"/>
      <c r="HJ1161" s="602"/>
      <c r="HK1161" s="602"/>
      <c r="HL1161" s="602"/>
      <c r="HM1161" s="602"/>
      <c r="HN1161" s="602"/>
      <c r="HO1161" s="602"/>
      <c r="HP1161" s="602"/>
      <c r="HQ1161" s="602"/>
      <c r="HR1161" s="602"/>
      <c r="HS1161" s="602"/>
      <c r="HT1161" s="602"/>
      <c r="HU1161" s="602"/>
      <c r="HV1161" s="602"/>
      <c r="HW1161" s="602"/>
      <c r="HX1161" s="602"/>
      <c r="HY1161" s="602"/>
      <c r="HZ1161" s="602"/>
      <c r="IA1161" s="602"/>
      <c r="IB1161" s="602"/>
      <c r="IC1161" s="602"/>
      <c r="ID1161" s="602"/>
      <c r="IE1161" s="602"/>
      <c r="IF1161" s="602"/>
      <c r="IG1161" s="602"/>
      <c r="IH1161" s="602"/>
      <c r="II1161" s="602"/>
      <c r="IJ1161" s="602"/>
      <c r="IK1161" s="602"/>
      <c r="IL1161" s="602"/>
      <c r="IM1161" s="602"/>
      <c r="IN1161" s="602"/>
      <c r="IO1161" s="602"/>
      <c r="IP1161" s="602"/>
      <c r="IQ1161" s="602"/>
      <c r="IR1161" s="602"/>
      <c r="IS1161" s="602"/>
      <c r="IT1161" s="602"/>
      <c r="IU1161" s="602"/>
      <c r="IV1161" s="602"/>
    </row>
    <row r="1162" spans="1:256" s="602" customFormat="1" ht="13.2">
      <c r="A1162" s="167">
        <v>1</v>
      </c>
      <c r="B1162" s="730" t="s">
        <v>312</v>
      </c>
      <c r="C1162" s="730"/>
      <c r="D1162" s="730" t="s">
        <v>964</v>
      </c>
      <c r="E1162" s="730"/>
      <c r="F1162" s="730"/>
      <c r="G1162" s="731" t="s">
        <v>957</v>
      </c>
      <c r="H1162" s="732">
        <v>902</v>
      </c>
      <c r="I1162" s="730" t="s">
        <v>686</v>
      </c>
      <c r="J1162" s="730"/>
      <c r="K1162" s="730"/>
      <c r="L1162" s="730"/>
      <c r="M1162" s="730"/>
      <c r="N1162" s="730"/>
      <c r="O1162" s="733">
        <v>3</v>
      </c>
      <c r="P1162" s="734">
        <v>38317</v>
      </c>
      <c r="Q1162" s="735"/>
      <c r="R1162" s="736">
        <f>$A1162*Q1162</f>
        <v>0</v>
      </c>
      <c r="S1162" s="735">
        <v>8</v>
      </c>
      <c r="T1162" s="737">
        <f>$A1162*S1162*$T$1</f>
        <v>8</v>
      </c>
      <c r="U1162" s="730"/>
      <c r="V1162" s="730"/>
      <c r="W1162" s="730"/>
      <c r="X1162" s="730"/>
      <c r="Y1162" s="730"/>
      <c r="Z1162" s="730"/>
      <c r="AA1162" s="730"/>
      <c r="AB1162" s="730"/>
      <c r="AC1162" s="730"/>
      <c r="AD1162" s="730"/>
      <c r="AE1162" s="730"/>
      <c r="AF1162" s="730"/>
      <c r="AG1162" s="730"/>
      <c r="AH1162" s="730"/>
      <c r="AI1162" s="730"/>
      <c r="AJ1162" s="730"/>
      <c r="AK1162" s="730"/>
      <c r="AL1162" s="730"/>
      <c r="AM1162" s="730"/>
      <c r="AN1162" s="730"/>
      <c r="AO1162" s="730"/>
      <c r="AP1162" s="730"/>
      <c r="AQ1162" s="730"/>
      <c r="AR1162" s="730"/>
      <c r="AS1162" s="730"/>
      <c r="AT1162" s="730"/>
      <c r="AU1162" s="730"/>
      <c r="AV1162" s="730"/>
      <c r="AW1162" s="730"/>
      <c r="AX1162" s="730"/>
      <c r="AY1162" s="730"/>
      <c r="AZ1162" s="730"/>
      <c r="BA1162" s="730"/>
      <c r="BB1162" s="730"/>
      <c r="BC1162" s="730"/>
      <c r="BD1162" s="730"/>
      <c r="BE1162" s="730"/>
      <c r="BF1162" s="730"/>
      <c r="BG1162" s="730"/>
      <c r="BH1162" s="730"/>
      <c r="BI1162" s="730"/>
      <c r="BJ1162" s="730"/>
      <c r="BK1162" s="730"/>
      <c r="BL1162" s="730"/>
      <c r="BM1162" s="730"/>
      <c r="BN1162" s="730"/>
      <c r="BO1162" s="730"/>
      <c r="BP1162" s="730"/>
      <c r="BQ1162" s="730"/>
      <c r="BR1162" s="730"/>
      <c r="BS1162" s="730"/>
      <c r="BT1162" s="730"/>
      <c r="BU1162" s="730"/>
      <c r="BV1162" s="730"/>
      <c r="BW1162" s="730"/>
      <c r="BX1162" s="730"/>
      <c r="BY1162" s="730"/>
      <c r="BZ1162" s="730"/>
      <c r="CA1162" s="730"/>
      <c r="CB1162" s="730"/>
      <c r="CC1162" s="730"/>
      <c r="CD1162" s="730"/>
      <c r="CE1162" s="730"/>
      <c r="CF1162" s="730"/>
      <c r="CG1162" s="730"/>
      <c r="CH1162" s="730"/>
      <c r="CI1162" s="730"/>
      <c r="CJ1162" s="730"/>
      <c r="CK1162" s="730"/>
      <c r="CL1162" s="730"/>
      <c r="CM1162" s="730"/>
      <c r="CN1162" s="730"/>
      <c r="CO1162" s="730"/>
      <c r="CP1162" s="730"/>
      <c r="CQ1162" s="730"/>
      <c r="CR1162" s="730"/>
      <c r="CS1162" s="730"/>
      <c r="CT1162" s="730"/>
      <c r="CU1162" s="730"/>
      <c r="CV1162" s="730"/>
      <c r="CW1162" s="730"/>
      <c r="CX1162" s="730"/>
      <c r="CY1162" s="730"/>
      <c r="CZ1162" s="730"/>
      <c r="DA1162" s="730"/>
      <c r="DB1162" s="730"/>
      <c r="DC1162" s="730"/>
      <c r="DD1162" s="730"/>
      <c r="DE1162" s="730"/>
      <c r="DF1162" s="730"/>
      <c r="DG1162" s="730"/>
      <c r="DH1162" s="730"/>
      <c r="DI1162" s="730"/>
      <c r="DJ1162" s="730"/>
      <c r="DK1162" s="730"/>
      <c r="DL1162" s="730"/>
      <c r="DM1162" s="730"/>
      <c r="DN1162" s="730"/>
      <c r="DO1162" s="730"/>
      <c r="DP1162" s="730"/>
      <c r="DQ1162" s="730"/>
      <c r="DR1162" s="730"/>
      <c r="DS1162" s="730"/>
      <c r="DT1162" s="730"/>
      <c r="DU1162" s="730"/>
      <c r="DV1162" s="730"/>
      <c r="DW1162" s="730"/>
      <c r="DX1162" s="730"/>
      <c r="DY1162" s="730"/>
      <c r="DZ1162" s="730"/>
      <c r="EA1162" s="730"/>
      <c r="EB1162" s="730"/>
      <c r="EC1162" s="730"/>
      <c r="ED1162" s="730"/>
      <c r="EE1162" s="730"/>
      <c r="EF1162" s="730"/>
      <c r="EG1162" s="730"/>
      <c r="EH1162" s="730"/>
      <c r="EI1162" s="730"/>
      <c r="EJ1162" s="730"/>
      <c r="EK1162" s="730"/>
      <c r="EL1162" s="730"/>
      <c r="EM1162" s="730"/>
      <c r="EN1162" s="730"/>
      <c r="EO1162" s="730"/>
      <c r="EP1162" s="730"/>
      <c r="EQ1162" s="730"/>
      <c r="ER1162" s="730"/>
      <c r="ES1162" s="730"/>
      <c r="ET1162" s="730"/>
      <c r="EU1162" s="730"/>
      <c r="EV1162" s="730"/>
      <c r="EW1162" s="730"/>
      <c r="EX1162" s="730"/>
      <c r="EY1162" s="730"/>
      <c r="EZ1162" s="730"/>
      <c r="FA1162" s="730"/>
      <c r="FB1162" s="730"/>
      <c r="FC1162" s="730"/>
      <c r="FD1162" s="730"/>
      <c r="FE1162" s="730"/>
      <c r="FF1162" s="730"/>
      <c r="FG1162" s="730"/>
      <c r="FH1162" s="730"/>
      <c r="FI1162" s="730"/>
      <c r="FJ1162" s="730"/>
      <c r="FK1162" s="730"/>
      <c r="FL1162" s="730"/>
      <c r="FM1162" s="730"/>
      <c r="FN1162" s="730"/>
      <c r="FO1162" s="730"/>
      <c r="FP1162" s="730"/>
      <c r="FQ1162" s="730"/>
      <c r="FR1162" s="730"/>
      <c r="FS1162" s="730"/>
      <c r="FT1162" s="730"/>
      <c r="FU1162" s="730"/>
      <c r="FV1162" s="730"/>
      <c r="FW1162" s="730"/>
      <c r="FX1162" s="730"/>
      <c r="FY1162" s="730"/>
      <c r="FZ1162" s="730"/>
      <c r="GA1162" s="730"/>
      <c r="GB1162" s="730"/>
      <c r="GC1162" s="730"/>
      <c r="GD1162" s="730"/>
      <c r="GE1162" s="730"/>
      <c r="GF1162" s="730"/>
      <c r="GG1162" s="730"/>
      <c r="GH1162" s="730"/>
      <c r="GI1162" s="730"/>
      <c r="GJ1162" s="730"/>
      <c r="GK1162" s="730"/>
      <c r="GL1162" s="730"/>
      <c r="GM1162" s="730"/>
      <c r="GN1162" s="730"/>
      <c r="GO1162" s="730"/>
      <c r="GP1162" s="730"/>
      <c r="GQ1162" s="730"/>
      <c r="GR1162" s="730"/>
      <c r="GS1162" s="730"/>
      <c r="GT1162" s="730"/>
      <c r="GU1162" s="730"/>
      <c r="GV1162" s="730"/>
      <c r="GW1162" s="730"/>
      <c r="GX1162" s="730"/>
      <c r="GY1162" s="730"/>
      <c r="GZ1162" s="730"/>
      <c r="HA1162" s="730"/>
      <c r="HB1162" s="730"/>
      <c r="HC1162" s="730"/>
      <c r="HD1162" s="730"/>
      <c r="HE1162" s="730"/>
      <c r="HF1162" s="730"/>
      <c r="HG1162" s="730"/>
      <c r="HH1162" s="730"/>
      <c r="HI1162" s="730"/>
      <c r="HJ1162" s="730"/>
      <c r="HK1162" s="730"/>
      <c r="HL1162" s="730"/>
      <c r="HM1162" s="730"/>
      <c r="HN1162" s="730"/>
      <c r="HO1162" s="730"/>
      <c r="HP1162" s="730"/>
      <c r="HQ1162" s="730"/>
      <c r="HR1162" s="730"/>
      <c r="HS1162" s="730"/>
      <c r="HT1162" s="730"/>
      <c r="HU1162" s="730"/>
      <c r="HV1162" s="730"/>
      <c r="HW1162" s="730"/>
      <c r="HX1162" s="730"/>
      <c r="HY1162" s="730"/>
      <c r="HZ1162" s="730"/>
      <c r="IA1162" s="730"/>
      <c r="IB1162" s="730"/>
      <c r="IC1162" s="730"/>
      <c r="ID1162" s="730"/>
      <c r="IE1162" s="730"/>
      <c r="IF1162" s="730"/>
      <c r="IG1162" s="730"/>
      <c r="IH1162" s="730"/>
      <c r="II1162" s="730"/>
      <c r="IJ1162" s="730"/>
      <c r="IK1162" s="730"/>
      <c r="IL1162" s="730"/>
      <c r="IM1162" s="730"/>
      <c r="IN1162" s="730"/>
      <c r="IO1162" s="730"/>
      <c r="IP1162" s="730"/>
      <c r="IQ1162" s="730"/>
      <c r="IR1162" s="730"/>
      <c r="IS1162" s="730"/>
      <c r="IT1162" s="730"/>
      <c r="IU1162" s="730"/>
      <c r="IV1162" s="730"/>
    </row>
    <row r="1163" spans="1:256" s="602" customFormat="1" ht="12">
      <c r="A1163" s="663"/>
      <c r="B1163" s="663"/>
      <c r="C1163" s="663"/>
      <c r="D1163" s="663"/>
      <c r="E1163" s="663"/>
      <c r="F1163" s="664"/>
      <c r="G1163" s="663"/>
      <c r="H1163" s="663"/>
      <c r="I1163" s="601"/>
      <c r="J1163" s="663"/>
      <c r="K1163" s="663"/>
      <c r="L1163" s="663"/>
      <c r="M1163" s="663"/>
      <c r="N1163" s="663"/>
      <c r="O1163" s="663"/>
      <c r="P1163" s="663"/>
      <c r="Q1163" s="601"/>
      <c r="R1163" s="666">
        <f>$A1163*Q1163</f>
        <v>0</v>
      </c>
      <c r="S1163" s="601"/>
      <c r="T1163" s="681">
        <f>$A1163*S1163*$T$1</f>
        <v>0</v>
      </c>
    </row>
    <row r="1164" spans="1:256" s="602" customFormat="1" ht="12.6" thickBot="1">
      <c r="A1164" s="682" t="s">
        <v>145</v>
      </c>
      <c r="B1164" s="683">
        <f>(R1163+T1163)</f>
        <v>0</v>
      </c>
      <c r="C1164" s="684"/>
      <c r="D1164" s="684"/>
      <c r="E1164" s="684"/>
      <c r="F1164" s="685"/>
      <c r="G1164" s="684" t="s">
        <v>146</v>
      </c>
      <c r="H1164" s="684"/>
      <c r="I1164" s="686"/>
      <c r="J1164" s="684"/>
      <c r="K1164" s="684" t="s">
        <v>3</v>
      </c>
      <c r="L1164" s="687" t="s">
        <v>143</v>
      </c>
      <c r="M1164" s="687"/>
      <c r="N1164" s="687"/>
      <c r="O1164" s="687"/>
      <c r="P1164" s="687"/>
      <c r="Q1164" s="688"/>
      <c r="R1164" s="689">
        <f>SUM(R1161:R1163)</f>
        <v>0</v>
      </c>
      <c r="S1164" s="684"/>
      <c r="T1164" s="689">
        <f>SUM(T1161:T1163)</f>
        <v>8</v>
      </c>
      <c r="U1164" s="611"/>
      <c r="V1164" s="611"/>
      <c r="W1164" s="611"/>
      <c r="X1164" s="611"/>
      <c r="Y1164" s="611"/>
      <c r="Z1164" s="611"/>
      <c r="AA1164" s="611"/>
      <c r="AB1164" s="611"/>
      <c r="AC1164" s="611"/>
      <c r="AD1164" s="611"/>
      <c r="AE1164" s="611"/>
      <c r="AF1164" s="611"/>
      <c r="AG1164" s="611"/>
      <c r="AH1164" s="611"/>
      <c r="AI1164" s="611"/>
      <c r="AJ1164" s="611"/>
      <c r="AK1164" s="611"/>
      <c r="AL1164" s="611"/>
      <c r="AM1164" s="611"/>
      <c r="AN1164" s="611"/>
      <c r="AO1164" s="611"/>
    </row>
    <row r="1165" spans="1:256" s="602" customFormat="1" ht="12" customHeight="1" thickTop="1">
      <c r="A1165" s="63"/>
      <c r="B1165" s="41"/>
      <c r="C1165" s="63"/>
      <c r="E1165" s="42" t="s">
        <v>138</v>
      </c>
      <c r="F1165" s="42" t="s">
        <v>139</v>
      </c>
      <c r="G1165" s="63"/>
      <c r="H1165" s="63"/>
      <c r="I1165" s="63"/>
      <c r="J1165" s="63"/>
      <c r="K1165" s="63" t="s">
        <v>140</v>
      </c>
      <c r="L1165" s="63"/>
      <c r="M1165" s="63"/>
      <c r="N1165" s="63"/>
      <c r="O1165" s="64"/>
      <c r="P1165" s="63"/>
      <c r="Q1165" s="63"/>
      <c r="R1165" s="63"/>
      <c r="S1165" s="63"/>
      <c r="T1165" s="41"/>
      <c r="AG1165" s="667" t="s">
        <v>278</v>
      </c>
      <c r="AH1165" s="667" t="s">
        <v>279</v>
      </c>
      <c r="AI1165" s="667" t="s">
        <v>280</v>
      </c>
      <c r="AJ1165" s="667" t="s">
        <v>281</v>
      </c>
      <c r="AK1165" s="667" t="s">
        <v>282</v>
      </c>
      <c r="AM1165" s="668" t="s">
        <v>291</v>
      </c>
      <c r="AN1165" s="669" t="s">
        <v>292</v>
      </c>
      <c r="AO1165" s="603" t="s">
        <v>288</v>
      </c>
    </row>
    <row r="1166" spans="1:256" s="602" customFormat="1" ht="39.9" customHeight="1">
      <c r="A1166" s="670">
        <v>1</v>
      </c>
      <c r="B1166" s="671" t="s">
        <v>312</v>
      </c>
      <c r="C1166" s="672"/>
      <c r="D1166" s="673" t="s">
        <v>404</v>
      </c>
      <c r="E1166" s="674">
        <f>IF(AND($A1166=0,$A$1="DIF"),0, ROUND(ROUND(($R1172*$S$2+($T1172*$T$2))/A1166,2)*$C$2,2))</f>
        <v>945.26</v>
      </c>
      <c r="F1166" s="675">
        <f>ROUND($A1166*$E1166,2)</f>
        <v>945.26</v>
      </c>
      <c r="G1166" s="676" t="s">
        <v>142</v>
      </c>
      <c r="H1166" s="664"/>
      <c r="I1166" s="677"/>
      <c r="J1166" s="664"/>
      <c r="K1166" s="664" t="s">
        <v>3</v>
      </c>
      <c r="L1166" s="678" t="s">
        <v>143</v>
      </c>
      <c r="M1166" s="678"/>
      <c r="N1166" s="678"/>
      <c r="O1166" s="678"/>
      <c r="P1166" s="678"/>
      <c r="Q1166" s="63"/>
      <c r="T1166" s="679" t="str">
        <f>IF(AND($R1172=0,$T1172=0),"0.00","mu :" &amp; ROUND($F1166/$C$2/($R1172+$T1172*$D$9),2))</f>
        <v>mu :1.35</v>
      </c>
      <c r="W1166" s="604"/>
      <c r="AG1166" s="549">
        <f>IF($E1166=0,0,ROUND($R1172*$S$2*$C$2/$A1166,2))</f>
        <v>78.88</v>
      </c>
      <c r="AH1166" s="549">
        <f>$AG1166*$A1166</f>
        <v>78.88</v>
      </c>
      <c r="AI1166" s="605">
        <f>$E1166-$AG1166</f>
        <v>866.38</v>
      </c>
      <c r="AJ1166" s="605">
        <f>$A1166*$AI1166</f>
        <v>866.38</v>
      </c>
      <c r="AK1166" s="606">
        <f>ROUND(($AG1166+$AI1166)*$A1166,2)</f>
        <v>945.26</v>
      </c>
      <c r="AM1166" s="607">
        <f>ROUND(R1172,2)</f>
        <v>60</v>
      </c>
      <c r="AN1166" s="608">
        <f>ROUND(T1172,2)</f>
        <v>24</v>
      </c>
      <c r="AO1166" s="609">
        <f>ROUND(AM1166+AN1166,2)*A1166</f>
        <v>84</v>
      </c>
    </row>
    <row r="1167" spans="1:256" s="730" customFormat="1" ht="13.2">
      <c r="A1167" s="672"/>
      <c r="B1167"/>
      <c r="C1167" s="672"/>
      <c r="D1167" s="1368" t="s">
        <v>555</v>
      </c>
      <c r="E1167" s="1369"/>
      <c r="F1167" s="1369"/>
      <c r="G1167" s="1369"/>
      <c r="H1167" s="1369"/>
      <c r="I1167" s="1369"/>
      <c r="J1167" s="1369"/>
      <c r="K1167" s="1369"/>
      <c r="L1167" s="1369"/>
      <c r="M1167" s="1369"/>
      <c r="N1167" s="1369"/>
      <c r="O1167" s="1369"/>
      <c r="P1167" s="1369"/>
      <c r="Q1167" s="1369"/>
      <c r="R1167" s="1369"/>
      <c r="S1167" s="1369"/>
      <c r="T1167" s="1369"/>
      <c r="U1167" s="602"/>
      <c r="V1167" s="602"/>
      <c r="W1167" s="602"/>
      <c r="X1167" s="602"/>
      <c r="Y1167" s="602"/>
      <c r="Z1167" s="602"/>
      <c r="AA1167" s="602"/>
      <c r="AB1167" s="602"/>
      <c r="AC1167" s="602"/>
      <c r="AD1167" s="602"/>
      <c r="AE1167" s="602"/>
      <c r="AF1167" s="602"/>
      <c r="AG1167" s="602"/>
      <c r="AH1167" s="602"/>
      <c r="AI1167" s="602"/>
      <c r="AJ1167" s="602"/>
      <c r="AK1167" s="602"/>
      <c r="AL1167" s="602"/>
      <c r="AM1167" s="602"/>
      <c r="AN1167" s="602"/>
      <c r="AO1167" s="602"/>
      <c r="AP1167" s="602"/>
      <c r="AQ1167" s="602"/>
      <c r="AR1167" s="602"/>
      <c r="AS1167" s="602"/>
      <c r="AT1167" s="602"/>
      <c r="AU1167" s="602"/>
      <c r="AV1167" s="602"/>
      <c r="AW1167" s="602"/>
      <c r="AX1167" s="602"/>
      <c r="AY1167" s="602"/>
      <c r="AZ1167" s="602"/>
      <c r="BA1167" s="602"/>
      <c r="BB1167" s="602"/>
      <c r="BC1167" s="602"/>
      <c r="BD1167" s="602"/>
      <c r="BE1167" s="602"/>
      <c r="BF1167" s="602"/>
      <c r="BG1167" s="602"/>
      <c r="BH1167" s="602"/>
      <c r="BI1167" s="602"/>
      <c r="BJ1167" s="602"/>
      <c r="BK1167" s="602"/>
      <c r="BL1167" s="602"/>
      <c r="BM1167" s="602"/>
      <c r="BN1167" s="602"/>
      <c r="BO1167" s="602"/>
      <c r="BP1167" s="602"/>
      <c r="BQ1167" s="602"/>
      <c r="BR1167" s="602"/>
      <c r="BS1167" s="602"/>
      <c r="BT1167" s="602"/>
      <c r="BU1167" s="602"/>
      <c r="BV1167" s="602"/>
      <c r="BW1167" s="602"/>
      <c r="BX1167" s="602"/>
      <c r="BY1167" s="602"/>
      <c r="BZ1167" s="602"/>
      <c r="CA1167" s="602"/>
      <c r="CB1167" s="602"/>
      <c r="CC1167" s="602"/>
      <c r="CD1167" s="602"/>
      <c r="CE1167" s="602"/>
      <c r="CF1167" s="602"/>
      <c r="CG1167" s="602"/>
      <c r="CH1167" s="602"/>
      <c r="CI1167" s="602"/>
      <c r="CJ1167" s="602"/>
      <c r="CK1167" s="602"/>
      <c r="CL1167" s="602"/>
      <c r="CM1167" s="602"/>
      <c r="CN1167" s="602"/>
      <c r="CO1167" s="602"/>
      <c r="CP1167" s="602"/>
      <c r="CQ1167" s="602"/>
      <c r="CR1167" s="602"/>
      <c r="CS1167" s="602"/>
      <c r="CT1167" s="602"/>
      <c r="CU1167" s="602"/>
      <c r="CV1167" s="602"/>
      <c r="CW1167" s="602"/>
      <c r="CX1167" s="602"/>
      <c r="CY1167" s="602"/>
      <c r="CZ1167" s="602"/>
      <c r="DA1167" s="602"/>
      <c r="DB1167" s="602"/>
      <c r="DC1167" s="602"/>
      <c r="DD1167" s="602"/>
      <c r="DE1167" s="602"/>
      <c r="DF1167" s="602"/>
      <c r="DG1167" s="602"/>
      <c r="DH1167" s="602"/>
      <c r="DI1167" s="602"/>
      <c r="DJ1167" s="602"/>
      <c r="DK1167" s="602"/>
      <c r="DL1167" s="602"/>
      <c r="DM1167" s="602"/>
      <c r="DN1167" s="602"/>
      <c r="DO1167" s="602"/>
      <c r="DP1167" s="602"/>
      <c r="DQ1167" s="602"/>
      <c r="DR1167" s="602"/>
      <c r="DS1167" s="602"/>
      <c r="DT1167" s="602"/>
      <c r="DU1167" s="602"/>
      <c r="DV1167" s="602"/>
      <c r="DW1167" s="602"/>
      <c r="DX1167" s="602"/>
      <c r="DY1167" s="602"/>
      <c r="DZ1167" s="602"/>
      <c r="EA1167" s="602"/>
      <c r="EB1167" s="602"/>
      <c r="EC1167" s="602"/>
      <c r="ED1167" s="602"/>
      <c r="EE1167" s="602"/>
      <c r="EF1167" s="602"/>
      <c r="EG1167" s="602"/>
      <c r="EH1167" s="602"/>
      <c r="EI1167" s="602"/>
      <c r="EJ1167" s="602"/>
      <c r="EK1167" s="602"/>
      <c r="EL1167" s="602"/>
      <c r="EM1167" s="602"/>
      <c r="EN1167" s="602"/>
      <c r="EO1167" s="602"/>
      <c r="EP1167" s="602"/>
      <c r="EQ1167" s="602"/>
      <c r="ER1167" s="602"/>
      <c r="ES1167" s="602"/>
      <c r="ET1167" s="602"/>
      <c r="EU1167" s="602"/>
      <c r="EV1167" s="602"/>
      <c r="EW1167" s="602"/>
      <c r="EX1167" s="602"/>
      <c r="EY1167" s="602"/>
      <c r="EZ1167" s="602"/>
      <c r="FA1167" s="602"/>
      <c r="FB1167" s="602"/>
      <c r="FC1167" s="602"/>
      <c r="FD1167" s="602"/>
      <c r="FE1167" s="602"/>
      <c r="FF1167" s="602"/>
      <c r="FG1167" s="602"/>
      <c r="FH1167" s="602"/>
      <c r="FI1167" s="602"/>
      <c r="FJ1167" s="602"/>
      <c r="FK1167" s="602"/>
      <c r="FL1167" s="602"/>
      <c r="FM1167" s="602"/>
      <c r="FN1167" s="602"/>
      <c r="FO1167" s="602"/>
      <c r="FP1167" s="602"/>
      <c r="FQ1167" s="602"/>
      <c r="FR1167" s="602"/>
      <c r="FS1167" s="602"/>
      <c r="FT1167" s="602"/>
      <c r="FU1167" s="602"/>
      <c r="FV1167" s="602"/>
      <c r="FW1167" s="602"/>
      <c r="FX1167" s="602"/>
      <c r="FY1167" s="602"/>
      <c r="FZ1167" s="602"/>
      <c r="GA1167" s="602"/>
      <c r="GB1167" s="602"/>
      <c r="GC1167" s="602"/>
      <c r="GD1167" s="602"/>
      <c r="GE1167" s="602"/>
      <c r="GF1167" s="602"/>
      <c r="GG1167" s="602"/>
      <c r="GH1167" s="602"/>
      <c r="GI1167" s="602"/>
      <c r="GJ1167" s="602"/>
      <c r="GK1167" s="602"/>
      <c r="GL1167" s="602"/>
      <c r="GM1167" s="602"/>
      <c r="GN1167" s="602"/>
      <c r="GO1167" s="602"/>
      <c r="GP1167" s="602"/>
      <c r="GQ1167" s="602"/>
      <c r="GR1167" s="602"/>
      <c r="GS1167" s="602"/>
      <c r="GT1167" s="602"/>
      <c r="GU1167" s="602"/>
      <c r="GV1167" s="602"/>
      <c r="GW1167" s="602"/>
      <c r="GX1167" s="602"/>
      <c r="GY1167" s="602"/>
      <c r="GZ1167" s="602"/>
      <c r="HA1167" s="602"/>
      <c r="HB1167" s="602"/>
      <c r="HC1167" s="602"/>
      <c r="HD1167" s="602"/>
      <c r="HE1167" s="602"/>
      <c r="HF1167" s="602"/>
      <c r="HG1167" s="602"/>
      <c r="HH1167" s="602"/>
      <c r="HI1167" s="602"/>
      <c r="HJ1167" s="602"/>
      <c r="HK1167" s="602"/>
      <c r="HL1167" s="602"/>
      <c r="HM1167" s="602"/>
      <c r="HN1167" s="602"/>
      <c r="HO1167" s="602"/>
      <c r="HP1167" s="602"/>
      <c r="HQ1167" s="602"/>
      <c r="HR1167" s="602"/>
      <c r="HS1167" s="602"/>
      <c r="HT1167" s="602"/>
      <c r="HU1167" s="602"/>
      <c r="HV1167" s="602"/>
      <c r="HW1167" s="602"/>
      <c r="HX1167" s="602"/>
      <c r="HY1167" s="602"/>
      <c r="HZ1167" s="602"/>
      <c r="IA1167" s="602"/>
      <c r="IB1167" s="602"/>
      <c r="IC1167" s="602"/>
      <c r="ID1167" s="602"/>
      <c r="IE1167" s="602"/>
      <c r="IF1167" s="602"/>
      <c r="IG1167" s="602"/>
      <c r="IH1167" s="602"/>
      <c r="II1167" s="602"/>
      <c r="IJ1167" s="602"/>
      <c r="IK1167" s="602"/>
      <c r="IL1167" s="602"/>
      <c r="IM1167" s="602"/>
      <c r="IN1167" s="602"/>
      <c r="IO1167" s="602"/>
      <c r="IP1167" s="602"/>
      <c r="IQ1167" s="602"/>
      <c r="IR1167" s="602"/>
      <c r="IS1167" s="602"/>
      <c r="IT1167" s="602"/>
      <c r="IU1167" s="602"/>
      <c r="IV1167" s="602"/>
    </row>
    <row r="1168" spans="1:256" s="730" customFormat="1" ht="13.2">
      <c r="A1168" s="167">
        <v>1</v>
      </c>
      <c r="B1168" s="730" t="s">
        <v>141</v>
      </c>
      <c r="D1168" s="730" t="s">
        <v>965</v>
      </c>
      <c r="G1168" s="731" t="s">
        <v>966</v>
      </c>
      <c r="H1168" s="732">
        <v>880</v>
      </c>
      <c r="I1168" s="730" t="s">
        <v>674</v>
      </c>
      <c r="O1168" s="733">
        <v>3</v>
      </c>
      <c r="P1168" s="734"/>
      <c r="Q1168" s="735">
        <v>25</v>
      </c>
      <c r="R1168" s="736">
        <f>$A1168*Q1168</f>
        <v>25</v>
      </c>
      <c r="S1168" s="735">
        <v>16</v>
      </c>
      <c r="T1168" s="737">
        <f>$A1168*S1168*$T$1</f>
        <v>16</v>
      </c>
    </row>
    <row r="1169" spans="1:256" s="730" customFormat="1" ht="13.2">
      <c r="A1169" s="167">
        <v>1</v>
      </c>
      <c r="B1169" s="730" t="s">
        <v>141</v>
      </c>
      <c r="D1169" s="730" t="s">
        <v>970</v>
      </c>
      <c r="G1169" s="731" t="s">
        <v>967</v>
      </c>
      <c r="H1169" s="732">
        <v>880</v>
      </c>
      <c r="I1169" s="730" t="s">
        <v>674</v>
      </c>
      <c r="O1169" s="733">
        <v>3</v>
      </c>
      <c r="P1169" s="734"/>
      <c r="Q1169" s="735">
        <v>10</v>
      </c>
      <c r="R1169" s="736">
        <f>$A1169*Q1169</f>
        <v>10</v>
      </c>
      <c r="S1169" s="735"/>
      <c r="T1169" s="737">
        <f>$A1169*S1169*$T$1</f>
        <v>0</v>
      </c>
    </row>
    <row r="1170" spans="1:256" s="602" customFormat="1" ht="13.2">
      <c r="A1170" s="167">
        <v>1</v>
      </c>
      <c r="B1170" s="730" t="s">
        <v>141</v>
      </c>
      <c r="C1170" s="730"/>
      <c r="D1170" s="730" t="s">
        <v>968</v>
      </c>
      <c r="E1170" s="730"/>
      <c r="F1170" s="730"/>
      <c r="G1170" s="731" t="s">
        <v>969</v>
      </c>
      <c r="H1170" s="732">
        <v>880</v>
      </c>
      <c r="I1170" s="730" t="s">
        <v>674</v>
      </c>
      <c r="J1170" s="730"/>
      <c r="K1170" s="730"/>
      <c r="L1170" s="730"/>
      <c r="M1170" s="730"/>
      <c r="N1170" s="730"/>
      <c r="O1170" s="733">
        <v>3</v>
      </c>
      <c r="P1170" s="734"/>
      <c r="Q1170" s="735">
        <v>25</v>
      </c>
      <c r="R1170" s="736">
        <f>$A1170*Q1170</f>
        <v>25</v>
      </c>
      <c r="S1170" s="735">
        <v>8</v>
      </c>
      <c r="T1170" s="737">
        <f>$A1170*S1170*$T$1</f>
        <v>8</v>
      </c>
      <c r="U1170" s="730"/>
      <c r="V1170" s="730"/>
      <c r="W1170" s="730"/>
      <c r="X1170" s="730"/>
      <c r="Y1170" s="730"/>
      <c r="Z1170" s="730"/>
      <c r="AA1170" s="730"/>
      <c r="AB1170" s="730"/>
      <c r="AC1170" s="730"/>
      <c r="AD1170" s="730"/>
      <c r="AE1170" s="730"/>
      <c r="AF1170" s="730"/>
      <c r="AG1170" s="730"/>
      <c r="AH1170" s="730"/>
      <c r="AI1170" s="730"/>
      <c r="AJ1170" s="730"/>
      <c r="AK1170" s="730"/>
      <c r="AL1170" s="730"/>
      <c r="AM1170" s="730"/>
      <c r="AN1170" s="730"/>
      <c r="AO1170" s="730"/>
      <c r="AP1170" s="730"/>
      <c r="AQ1170" s="730"/>
      <c r="AR1170" s="730"/>
      <c r="AS1170" s="730"/>
      <c r="AT1170" s="730"/>
      <c r="AU1170" s="730"/>
      <c r="AV1170" s="730"/>
      <c r="AW1170" s="730"/>
      <c r="AX1170" s="730"/>
      <c r="AY1170" s="730"/>
      <c r="AZ1170" s="730"/>
      <c r="BA1170" s="730"/>
      <c r="BB1170" s="730"/>
      <c r="BC1170" s="730"/>
      <c r="BD1170" s="730"/>
      <c r="BE1170" s="730"/>
      <c r="BF1170" s="730"/>
      <c r="BG1170" s="730"/>
      <c r="BH1170" s="730"/>
      <c r="BI1170" s="730"/>
      <c r="BJ1170" s="730"/>
      <c r="BK1170" s="730"/>
      <c r="BL1170" s="730"/>
      <c r="BM1170" s="730"/>
      <c r="BN1170" s="730"/>
      <c r="BO1170" s="730"/>
      <c r="BP1170" s="730"/>
      <c r="BQ1170" s="730"/>
      <c r="BR1170" s="730"/>
      <c r="BS1170" s="730"/>
      <c r="BT1170" s="730"/>
      <c r="BU1170" s="730"/>
      <c r="BV1170" s="730"/>
      <c r="BW1170" s="730"/>
      <c r="BX1170" s="730"/>
      <c r="BY1170" s="730"/>
      <c r="BZ1170" s="730"/>
      <c r="CA1170" s="730"/>
      <c r="CB1170" s="730"/>
      <c r="CC1170" s="730"/>
      <c r="CD1170" s="730"/>
      <c r="CE1170" s="730"/>
      <c r="CF1170" s="730"/>
      <c r="CG1170" s="730"/>
      <c r="CH1170" s="730"/>
      <c r="CI1170" s="730"/>
      <c r="CJ1170" s="730"/>
      <c r="CK1170" s="730"/>
      <c r="CL1170" s="730"/>
      <c r="CM1170" s="730"/>
      <c r="CN1170" s="730"/>
      <c r="CO1170" s="730"/>
      <c r="CP1170" s="730"/>
      <c r="CQ1170" s="730"/>
      <c r="CR1170" s="730"/>
      <c r="CS1170" s="730"/>
      <c r="CT1170" s="730"/>
      <c r="CU1170" s="730"/>
      <c r="CV1170" s="730"/>
      <c r="CW1170" s="730"/>
      <c r="CX1170" s="730"/>
      <c r="CY1170" s="730"/>
      <c r="CZ1170" s="730"/>
      <c r="DA1170" s="730"/>
      <c r="DB1170" s="730"/>
      <c r="DC1170" s="730"/>
      <c r="DD1170" s="730"/>
      <c r="DE1170" s="730"/>
      <c r="DF1170" s="730"/>
      <c r="DG1170" s="730"/>
      <c r="DH1170" s="730"/>
      <c r="DI1170" s="730"/>
      <c r="DJ1170" s="730"/>
      <c r="DK1170" s="730"/>
      <c r="DL1170" s="730"/>
      <c r="DM1170" s="730"/>
      <c r="DN1170" s="730"/>
      <c r="DO1170" s="730"/>
      <c r="DP1170" s="730"/>
      <c r="DQ1170" s="730"/>
      <c r="DR1170" s="730"/>
      <c r="DS1170" s="730"/>
      <c r="DT1170" s="730"/>
      <c r="DU1170" s="730"/>
      <c r="DV1170" s="730"/>
      <c r="DW1170" s="730"/>
      <c r="DX1170" s="730"/>
      <c r="DY1170" s="730"/>
      <c r="DZ1170" s="730"/>
      <c r="EA1170" s="730"/>
      <c r="EB1170" s="730"/>
      <c r="EC1170" s="730"/>
      <c r="ED1170" s="730"/>
      <c r="EE1170" s="730"/>
      <c r="EF1170" s="730"/>
      <c r="EG1170" s="730"/>
      <c r="EH1170" s="730"/>
      <c r="EI1170" s="730"/>
      <c r="EJ1170" s="730"/>
      <c r="EK1170" s="730"/>
      <c r="EL1170" s="730"/>
      <c r="EM1170" s="730"/>
      <c r="EN1170" s="730"/>
      <c r="EO1170" s="730"/>
      <c r="EP1170" s="730"/>
      <c r="EQ1170" s="730"/>
      <c r="ER1170" s="730"/>
      <c r="ES1170" s="730"/>
      <c r="ET1170" s="730"/>
      <c r="EU1170" s="730"/>
      <c r="EV1170" s="730"/>
      <c r="EW1170" s="730"/>
      <c r="EX1170" s="730"/>
      <c r="EY1170" s="730"/>
      <c r="EZ1170" s="730"/>
      <c r="FA1170" s="730"/>
      <c r="FB1170" s="730"/>
      <c r="FC1170" s="730"/>
      <c r="FD1170" s="730"/>
      <c r="FE1170" s="730"/>
      <c r="FF1170" s="730"/>
      <c r="FG1170" s="730"/>
      <c r="FH1170" s="730"/>
      <c r="FI1170" s="730"/>
      <c r="FJ1170" s="730"/>
      <c r="FK1170" s="730"/>
      <c r="FL1170" s="730"/>
      <c r="FM1170" s="730"/>
      <c r="FN1170" s="730"/>
      <c r="FO1170" s="730"/>
      <c r="FP1170" s="730"/>
      <c r="FQ1170" s="730"/>
      <c r="FR1170" s="730"/>
      <c r="FS1170" s="730"/>
      <c r="FT1170" s="730"/>
      <c r="FU1170" s="730"/>
      <c r="FV1170" s="730"/>
      <c r="FW1170" s="730"/>
      <c r="FX1170" s="730"/>
      <c r="FY1170" s="730"/>
      <c r="FZ1170" s="730"/>
      <c r="GA1170" s="730"/>
      <c r="GB1170" s="730"/>
      <c r="GC1170" s="730"/>
      <c r="GD1170" s="730"/>
      <c r="GE1170" s="730"/>
      <c r="GF1170" s="730"/>
      <c r="GG1170" s="730"/>
      <c r="GH1170" s="730"/>
      <c r="GI1170" s="730"/>
      <c r="GJ1170" s="730"/>
      <c r="GK1170" s="730"/>
      <c r="GL1170" s="730"/>
      <c r="GM1170" s="730"/>
      <c r="GN1170" s="730"/>
      <c r="GO1170" s="730"/>
      <c r="GP1170" s="730"/>
      <c r="GQ1170" s="730"/>
      <c r="GR1170" s="730"/>
      <c r="GS1170" s="730"/>
      <c r="GT1170" s="730"/>
      <c r="GU1170" s="730"/>
      <c r="GV1170" s="730"/>
      <c r="GW1170" s="730"/>
      <c r="GX1170" s="730"/>
      <c r="GY1170" s="730"/>
      <c r="GZ1170" s="730"/>
      <c r="HA1170" s="730"/>
      <c r="HB1170" s="730"/>
      <c r="HC1170" s="730"/>
      <c r="HD1170" s="730"/>
      <c r="HE1170" s="730"/>
      <c r="HF1170" s="730"/>
      <c r="HG1170" s="730"/>
      <c r="HH1170" s="730"/>
      <c r="HI1170" s="730"/>
      <c r="HJ1170" s="730"/>
      <c r="HK1170" s="730"/>
      <c r="HL1170" s="730"/>
      <c r="HM1170" s="730"/>
      <c r="HN1170" s="730"/>
      <c r="HO1170" s="730"/>
      <c r="HP1170" s="730"/>
      <c r="HQ1170" s="730"/>
      <c r="HR1170" s="730"/>
      <c r="HS1170" s="730"/>
      <c r="HT1170" s="730"/>
      <c r="HU1170" s="730"/>
      <c r="HV1170" s="730"/>
      <c r="HW1170" s="730"/>
      <c r="HX1170" s="730"/>
      <c r="HY1170" s="730"/>
      <c r="HZ1170" s="730"/>
      <c r="IA1170" s="730"/>
      <c r="IB1170" s="730"/>
      <c r="IC1170" s="730"/>
      <c r="ID1170" s="730"/>
      <c r="IE1170" s="730"/>
      <c r="IF1170" s="730"/>
      <c r="IG1170" s="730"/>
      <c r="IH1170" s="730"/>
      <c r="II1170" s="730"/>
      <c r="IJ1170" s="730"/>
      <c r="IK1170" s="730"/>
      <c r="IL1170" s="730"/>
      <c r="IM1170" s="730"/>
      <c r="IN1170" s="730"/>
      <c r="IO1170" s="730"/>
      <c r="IP1170" s="730"/>
      <c r="IQ1170" s="730"/>
      <c r="IR1170" s="730"/>
      <c r="IS1170" s="730"/>
      <c r="IT1170" s="730"/>
      <c r="IU1170" s="730"/>
      <c r="IV1170" s="730"/>
    </row>
    <row r="1171" spans="1:256" s="602" customFormat="1" ht="12">
      <c r="A1171" s="663"/>
      <c r="B1171" s="663"/>
      <c r="C1171" s="663"/>
      <c r="D1171" s="663"/>
      <c r="E1171" s="663"/>
      <c r="F1171" s="664"/>
      <c r="G1171" s="663"/>
      <c r="H1171" s="663"/>
      <c r="I1171" s="601"/>
      <c r="J1171" s="663"/>
      <c r="K1171" s="663"/>
      <c r="L1171" s="663"/>
      <c r="M1171" s="663"/>
      <c r="N1171" s="663"/>
      <c r="O1171" s="663"/>
      <c r="P1171" s="663"/>
      <c r="Q1171" s="601"/>
      <c r="R1171" s="666">
        <f>$A1171*Q1171</f>
        <v>0</v>
      </c>
      <c r="S1171" s="601"/>
      <c r="T1171" s="681">
        <f>$A1171*S1171*$T$1</f>
        <v>0</v>
      </c>
    </row>
    <row r="1172" spans="1:256" thickBot="1">
      <c r="A1172" s="682" t="s">
        <v>145</v>
      </c>
      <c r="B1172" s="683">
        <f>(R1171+T1171)</f>
        <v>0</v>
      </c>
      <c r="C1172" s="684"/>
      <c r="D1172" s="684"/>
      <c r="E1172" s="684"/>
      <c r="F1172" s="685"/>
      <c r="G1172" s="684" t="s">
        <v>146</v>
      </c>
      <c r="H1172" s="684"/>
      <c r="I1172" s="686"/>
      <c r="J1172" s="684"/>
      <c r="K1172" s="684" t="s">
        <v>3</v>
      </c>
      <c r="L1172" s="687" t="s">
        <v>143</v>
      </c>
      <c r="M1172" s="687"/>
      <c r="N1172" s="687"/>
      <c r="O1172" s="687"/>
      <c r="P1172" s="687"/>
      <c r="Q1172" s="688"/>
      <c r="R1172" s="689">
        <f>SUM(R1167:R1171)</f>
        <v>60</v>
      </c>
      <c r="S1172" s="684"/>
      <c r="T1172" s="689">
        <f>SUM(T1167:T1171)</f>
        <v>24</v>
      </c>
      <c r="U1172" s="611"/>
      <c r="V1172" s="611"/>
      <c r="W1172" s="611"/>
      <c r="X1172" s="611"/>
      <c r="Y1172" s="611"/>
      <c r="Z1172" s="611"/>
      <c r="AA1172" s="611"/>
      <c r="AB1172" s="611"/>
      <c r="AC1172" s="611"/>
      <c r="AD1172" s="611"/>
      <c r="AE1172" s="611"/>
      <c r="AF1172" s="611"/>
      <c r="AG1172" s="611"/>
      <c r="AH1172" s="611"/>
      <c r="AI1172" s="611"/>
      <c r="AJ1172" s="611"/>
      <c r="AK1172" s="611"/>
      <c r="AL1172" s="611"/>
      <c r="AM1172" s="611"/>
      <c r="AN1172" s="611"/>
      <c r="AO1172" s="611"/>
      <c r="AP1172" s="602"/>
      <c r="AQ1172" s="602"/>
      <c r="AR1172" s="602"/>
      <c r="AS1172" s="602"/>
      <c r="AT1172" s="602"/>
      <c r="AU1172" s="602"/>
      <c r="AV1172" s="602"/>
      <c r="AW1172" s="602"/>
      <c r="AX1172" s="602"/>
      <c r="AY1172" s="602"/>
      <c r="AZ1172" s="602"/>
      <c r="BA1172" s="602"/>
      <c r="BB1172" s="602"/>
      <c r="BC1172" s="602"/>
      <c r="BD1172" s="602"/>
      <c r="BE1172" s="602"/>
      <c r="BF1172" s="602"/>
      <c r="BG1172" s="602"/>
      <c r="BH1172" s="602"/>
      <c r="BI1172" s="602"/>
      <c r="BJ1172" s="602"/>
      <c r="BK1172" s="602"/>
      <c r="BL1172" s="602"/>
      <c r="BM1172" s="602"/>
      <c r="BN1172" s="602"/>
      <c r="BO1172" s="602"/>
      <c r="BP1172" s="602"/>
      <c r="BQ1172" s="602"/>
      <c r="BR1172" s="602"/>
      <c r="BS1172" s="602"/>
      <c r="BT1172" s="602"/>
      <c r="BU1172" s="602"/>
      <c r="BV1172" s="602"/>
      <c r="BW1172" s="602"/>
      <c r="BX1172" s="602"/>
      <c r="BY1172" s="602"/>
      <c r="BZ1172" s="602"/>
      <c r="CA1172" s="602"/>
      <c r="CB1172" s="602"/>
      <c r="CC1172" s="602"/>
      <c r="CD1172" s="602"/>
      <c r="CE1172" s="602"/>
      <c r="CF1172" s="602"/>
      <c r="CG1172" s="602"/>
      <c r="CH1172" s="602"/>
      <c r="CI1172" s="602"/>
      <c r="CJ1172" s="602"/>
      <c r="CK1172" s="602"/>
      <c r="CL1172" s="602"/>
      <c r="CM1172" s="602"/>
      <c r="CN1172" s="602"/>
      <c r="CO1172" s="602"/>
      <c r="CP1172" s="602"/>
      <c r="CQ1172" s="602"/>
      <c r="CR1172" s="602"/>
      <c r="CS1172" s="602"/>
      <c r="CT1172" s="602"/>
      <c r="CU1172" s="602"/>
      <c r="CV1172" s="602"/>
      <c r="CW1172" s="602"/>
      <c r="CX1172" s="602"/>
      <c r="CY1172" s="602"/>
      <c r="CZ1172" s="602"/>
      <c r="DA1172" s="602"/>
      <c r="DB1172" s="602"/>
      <c r="DC1172" s="602"/>
      <c r="DD1172" s="602"/>
      <c r="DE1172" s="602"/>
      <c r="DF1172" s="602"/>
      <c r="DG1172" s="602"/>
      <c r="DH1172" s="602"/>
      <c r="DI1172" s="602"/>
      <c r="DJ1172" s="602"/>
      <c r="DK1172" s="602"/>
      <c r="DL1172" s="602"/>
      <c r="DM1172" s="602"/>
      <c r="DN1172" s="602"/>
      <c r="DO1172" s="602"/>
      <c r="DP1172" s="602"/>
      <c r="DQ1172" s="602"/>
      <c r="DR1172" s="602"/>
      <c r="DS1172" s="602"/>
      <c r="DT1172" s="602"/>
      <c r="DU1172" s="602"/>
      <c r="DV1172" s="602"/>
      <c r="DW1172" s="602"/>
      <c r="DX1172" s="602"/>
      <c r="DY1172" s="602"/>
      <c r="DZ1172" s="602"/>
      <c r="EA1172" s="602"/>
      <c r="EB1172" s="602"/>
      <c r="EC1172" s="602"/>
      <c r="ED1172" s="602"/>
      <c r="EE1172" s="602"/>
      <c r="EF1172" s="602"/>
      <c r="EG1172" s="602"/>
      <c r="EH1172" s="602"/>
      <c r="EI1172" s="602"/>
      <c r="EJ1172" s="602"/>
      <c r="EK1172" s="602"/>
      <c r="EL1172" s="602"/>
      <c r="EM1172" s="602"/>
      <c r="EN1172" s="602"/>
      <c r="EO1172" s="602"/>
      <c r="EP1172" s="602"/>
      <c r="EQ1172" s="602"/>
      <c r="ER1172" s="602"/>
      <c r="ES1172" s="602"/>
      <c r="ET1172" s="602"/>
      <c r="EU1172" s="602"/>
      <c r="EV1172" s="602"/>
      <c r="EW1172" s="602"/>
      <c r="EX1172" s="602"/>
      <c r="EY1172" s="602"/>
      <c r="EZ1172" s="602"/>
      <c r="FA1172" s="602"/>
      <c r="FB1172" s="602"/>
      <c r="FC1172" s="602"/>
      <c r="FD1172" s="602"/>
      <c r="FE1172" s="602"/>
      <c r="FF1172" s="602"/>
      <c r="FG1172" s="602"/>
      <c r="FH1172" s="602"/>
      <c r="FI1172" s="602"/>
      <c r="FJ1172" s="602"/>
      <c r="FK1172" s="602"/>
      <c r="FL1172" s="602"/>
      <c r="FM1172" s="602"/>
      <c r="FN1172" s="602"/>
      <c r="FO1172" s="602"/>
      <c r="FP1172" s="602"/>
      <c r="FQ1172" s="602"/>
      <c r="FR1172" s="602"/>
      <c r="FS1172" s="602"/>
      <c r="FT1172" s="602"/>
      <c r="FU1172" s="602"/>
      <c r="FV1172" s="602"/>
      <c r="FW1172" s="602"/>
      <c r="FX1172" s="602"/>
      <c r="FY1172" s="602"/>
      <c r="FZ1172" s="602"/>
      <c r="GA1172" s="602"/>
      <c r="GB1172" s="602"/>
      <c r="GC1172" s="602"/>
      <c r="GD1172" s="602"/>
      <c r="GE1172" s="602"/>
      <c r="GF1172" s="602"/>
      <c r="GG1172" s="602"/>
      <c r="GH1172" s="602"/>
      <c r="GI1172" s="602"/>
      <c r="GJ1172" s="602"/>
      <c r="GK1172" s="602"/>
      <c r="GL1172" s="602"/>
      <c r="GM1172" s="602"/>
      <c r="GN1172" s="602"/>
      <c r="GO1172" s="602"/>
      <c r="GP1172" s="602"/>
      <c r="GQ1172" s="602"/>
      <c r="GR1172" s="602"/>
      <c r="GS1172" s="602"/>
      <c r="GT1172" s="602"/>
      <c r="GU1172" s="602"/>
      <c r="GV1172" s="602"/>
      <c r="GW1172" s="602"/>
      <c r="GX1172" s="602"/>
      <c r="GY1172" s="602"/>
      <c r="GZ1172" s="602"/>
      <c r="HA1172" s="602"/>
      <c r="HB1172" s="602"/>
      <c r="HC1172" s="602"/>
      <c r="HD1172" s="602"/>
      <c r="HE1172" s="602"/>
      <c r="HF1172" s="602"/>
      <c r="HG1172" s="602"/>
      <c r="HH1172" s="602"/>
      <c r="HI1172" s="602"/>
      <c r="HJ1172" s="602"/>
      <c r="HK1172" s="602"/>
      <c r="HL1172" s="602"/>
      <c r="HM1172" s="602"/>
      <c r="HN1172" s="602"/>
      <c r="HO1172" s="602"/>
      <c r="HP1172" s="602"/>
      <c r="HQ1172" s="602"/>
      <c r="HR1172" s="602"/>
      <c r="HS1172" s="602"/>
      <c r="HT1172" s="602"/>
      <c r="HU1172" s="602"/>
      <c r="HV1172" s="602"/>
      <c r="HW1172" s="602"/>
      <c r="HX1172" s="602"/>
      <c r="HY1172" s="602"/>
      <c r="HZ1172" s="602"/>
      <c r="IA1172" s="602"/>
      <c r="IB1172" s="602"/>
      <c r="IC1172" s="602"/>
      <c r="ID1172" s="602"/>
      <c r="IE1172" s="602"/>
      <c r="IF1172" s="602"/>
      <c r="IG1172" s="602"/>
      <c r="IH1172" s="602"/>
      <c r="II1172" s="602"/>
      <c r="IJ1172" s="602"/>
      <c r="IK1172" s="602"/>
      <c r="IL1172" s="602"/>
      <c r="IM1172" s="602"/>
      <c r="IN1172" s="602"/>
      <c r="IO1172" s="602"/>
      <c r="IP1172" s="602"/>
      <c r="IQ1172" s="602"/>
      <c r="IR1172" s="602"/>
      <c r="IS1172" s="602"/>
      <c r="IT1172" s="602"/>
      <c r="IU1172" s="602"/>
      <c r="IV1172" s="602"/>
    </row>
    <row r="1173" spans="1:256" ht="14.4" thickTop="1">
      <c r="A1173" s="51" t="s">
        <v>154</v>
      </c>
      <c r="B1173" s="33"/>
      <c r="C1173" s="33"/>
      <c r="D1173" s="33"/>
      <c r="E1173" s="33"/>
      <c r="F1173" s="33"/>
      <c r="G1173" s="33"/>
      <c r="H1173" s="33"/>
      <c r="I1173" s="33"/>
      <c r="J1173" s="33"/>
      <c r="K1173" s="33"/>
      <c r="L1173" s="33"/>
      <c r="M1173" s="33"/>
      <c r="N1173" s="33"/>
      <c r="O1173" s="35"/>
      <c r="P1173" s="33"/>
      <c r="Q1173" s="33"/>
      <c r="R1173" s="33"/>
      <c r="S1173" s="33"/>
      <c r="T1173" s="33"/>
    </row>
    <row r="1174" spans="1:256">
      <c r="A1174" s="33"/>
      <c r="B1174" s="34"/>
      <c r="C1174" s="33"/>
      <c r="D1174" s="33"/>
      <c r="E1174" s="33"/>
      <c r="F1174" s="33"/>
      <c r="G1174" s="33"/>
      <c r="H1174" s="33"/>
      <c r="I1174" s="33"/>
      <c r="J1174" s="33"/>
      <c r="K1174" s="33"/>
      <c r="L1174" s="33"/>
      <c r="M1174" s="33"/>
      <c r="N1174" s="33"/>
      <c r="O1174" s="35"/>
      <c r="P1174" s="33"/>
      <c r="Q1174" s="33"/>
      <c r="R1174" s="33"/>
      <c r="S1174" s="33"/>
      <c r="T1174" s="33"/>
    </row>
    <row r="1175" spans="1:256" ht="16.5" customHeight="1">
      <c r="A1175" s="33"/>
      <c r="B1175" s="52">
        <f>($R1175*$S$2+$T1175*$T$2)-$F1175</f>
        <v>75.966000000000349</v>
      </c>
      <c r="C1175" s="33"/>
      <c r="D1175" s="53" t="s">
        <v>165</v>
      </c>
      <c r="E1175" s="471"/>
      <c r="F1175" s="544">
        <f>SUMIF($L1138:$L1173,"ITEM",F1138:F1173)</f>
        <v>2822.43</v>
      </c>
      <c r="G1175" s="4"/>
      <c r="H1175" s="4"/>
      <c r="I1175" s="5"/>
      <c r="J1175" s="4"/>
      <c r="K1175" s="4"/>
      <c r="L1175" s="2" t="s">
        <v>166</v>
      </c>
      <c r="M1175" s="2"/>
      <c r="N1175" s="2"/>
      <c r="O1175" s="2"/>
      <c r="P1175" s="2"/>
      <c r="Q1175" s="33"/>
      <c r="R1175" s="544">
        <f>SUMIF($L1138:$L1173,"ITEM",R1138:R1173)</f>
        <v>60</v>
      </c>
      <c r="S1175" s="54"/>
      <c r="T1175" s="544">
        <f>SUMIF($L1138:$L1173,"ITEM",T1138:T1173)</f>
        <v>76</v>
      </c>
    </row>
    <row r="1176" spans="1:256">
      <c r="A1176" s="33"/>
      <c r="B1176" s="55" t="s">
        <v>167</v>
      </c>
      <c r="C1176" s="33"/>
      <c r="D1176" s="34"/>
      <c r="E1176" s="33"/>
      <c r="F1176" s="38" t="s">
        <v>168</v>
      </c>
      <c r="G1176" s="4"/>
      <c r="H1176" s="4"/>
      <c r="I1176" s="5"/>
      <c r="J1176" s="4"/>
      <c r="K1176" s="4"/>
      <c r="L1176" s="4"/>
      <c r="M1176" s="4"/>
      <c r="N1176" s="4"/>
      <c r="O1176" s="4"/>
      <c r="P1176" s="4"/>
      <c r="Q1176" s="56"/>
      <c r="R1176" s="38" t="s">
        <v>169</v>
      </c>
      <c r="S1176" s="38"/>
      <c r="T1176" s="38" t="s">
        <v>170</v>
      </c>
    </row>
    <row r="1177" spans="1:256">
      <c r="A1177" s="4"/>
      <c r="B1177" s="34"/>
      <c r="C1177" s="4"/>
      <c r="D1177" s="34"/>
      <c r="E1177" s="34"/>
      <c r="F1177" s="34"/>
      <c r="G1177" s="34"/>
      <c r="H1177" s="34"/>
      <c r="I1177" s="34"/>
      <c r="J1177" s="34"/>
      <c r="K1177" s="34"/>
      <c r="L1177" s="34"/>
      <c r="M1177" s="34"/>
      <c r="N1177" s="34"/>
      <c r="O1177" s="40"/>
      <c r="P1177" s="34"/>
      <c r="Q1177" s="34"/>
      <c r="R1177" s="34"/>
      <c r="S1177" s="34"/>
      <c r="T1177" s="34"/>
    </row>
    <row r="1178" spans="1:256" s="602" customFormat="1" ht="14.4" thickBot="1">
      <c r="A1178" s="57"/>
      <c r="B1178" s="48"/>
      <c r="C1178" s="48"/>
      <c r="D1178" s="57"/>
      <c r="E1178" s="57"/>
      <c r="F1178" s="58"/>
      <c r="G1178" s="48"/>
      <c r="H1178" s="48"/>
      <c r="I1178" s="49"/>
      <c r="J1178" s="48"/>
      <c r="K1178" s="48"/>
      <c r="L1178" s="59"/>
      <c r="M1178" s="59"/>
      <c r="N1178" s="59"/>
      <c r="O1178" s="59"/>
      <c r="P1178" s="59"/>
      <c r="Q1178" s="50"/>
      <c r="R1178" s="58"/>
      <c r="S1178" s="60"/>
      <c r="T1178" s="58"/>
      <c r="U1178" s="123"/>
      <c r="V1178" s="469"/>
      <c r="W1178" s="469"/>
      <c r="X1178" s="469"/>
      <c r="Y1178" s="469"/>
      <c r="Z1178" s="469"/>
      <c r="AA1178" s="469"/>
      <c r="AB1178" s="469"/>
      <c r="AC1178" s="123"/>
      <c r="AD1178" s="123"/>
      <c r="AE1178" s="123"/>
      <c r="AF1178" s="123"/>
      <c r="AG1178" s="587"/>
      <c r="AH1178" s="587" t="s">
        <v>279</v>
      </c>
      <c r="AI1178" s="587"/>
      <c r="AJ1178" s="587" t="s">
        <v>281</v>
      </c>
      <c r="AK1178" s="587" t="s">
        <v>282</v>
      </c>
      <c r="AL1178" s="36"/>
      <c r="AM1178" s="36"/>
      <c r="AN1178" s="36"/>
      <c r="AO1178" s="36"/>
      <c r="AP1178" s="36"/>
      <c r="AQ1178" s="36"/>
      <c r="AR1178" s="36"/>
      <c r="AS1178" s="36"/>
      <c r="AT1178" s="36"/>
      <c r="AU1178" s="36"/>
      <c r="AV1178" s="36"/>
      <c r="AW1178" s="36"/>
      <c r="AX1178" s="36"/>
      <c r="AY1178" s="36"/>
      <c r="AZ1178" s="36"/>
      <c r="BA1178" s="36"/>
      <c r="BB1178" s="36"/>
      <c r="BC1178" s="36"/>
      <c r="BD1178" s="36"/>
      <c r="BE1178" s="36"/>
      <c r="BF1178" s="36"/>
      <c r="BG1178" s="36"/>
      <c r="BH1178" s="36"/>
      <c r="BI1178" s="36"/>
      <c r="BJ1178" s="36"/>
      <c r="BK1178" s="36"/>
      <c r="BL1178" s="36"/>
      <c r="BM1178" s="36"/>
      <c r="BN1178" s="36"/>
      <c r="BO1178" s="36"/>
      <c r="BP1178" s="36"/>
      <c r="BQ1178" s="36"/>
      <c r="BR1178" s="36"/>
      <c r="BS1178" s="36"/>
      <c r="BT1178" s="36"/>
      <c r="BU1178" s="36"/>
      <c r="BV1178" s="36"/>
      <c r="BW1178" s="36"/>
      <c r="BX1178" s="36"/>
      <c r="BY1178" s="36"/>
      <c r="BZ1178" s="36"/>
      <c r="CA1178" s="36"/>
      <c r="CB1178" s="36"/>
      <c r="CC1178" s="36"/>
      <c r="CD1178" s="36"/>
      <c r="CE1178" s="36"/>
      <c r="CF1178" s="36"/>
      <c r="CG1178" s="36"/>
      <c r="CH1178" s="36"/>
      <c r="CI1178" s="36"/>
      <c r="CJ1178" s="36"/>
      <c r="CK1178" s="36"/>
      <c r="CL1178" s="36"/>
      <c r="CM1178" s="36"/>
      <c r="CN1178" s="36"/>
      <c r="CO1178" s="36"/>
      <c r="CP1178" s="36"/>
      <c r="CQ1178" s="36"/>
      <c r="CR1178" s="36"/>
      <c r="CS1178" s="36"/>
      <c r="CT1178" s="36"/>
      <c r="CU1178" s="36"/>
      <c r="CV1178" s="36"/>
      <c r="CW1178" s="36"/>
      <c r="CX1178" s="36"/>
      <c r="CY1178" s="36"/>
      <c r="CZ1178" s="36"/>
      <c r="DA1178" s="36"/>
      <c r="DB1178" s="36"/>
      <c r="DC1178" s="36"/>
      <c r="DD1178" s="36"/>
      <c r="DE1178" s="36"/>
      <c r="DF1178" s="36"/>
      <c r="DG1178" s="36"/>
      <c r="DH1178" s="36"/>
      <c r="DI1178" s="36"/>
      <c r="DJ1178" s="36"/>
      <c r="DK1178" s="36"/>
      <c r="DL1178" s="36"/>
      <c r="DM1178" s="36"/>
      <c r="DN1178" s="36"/>
      <c r="DO1178" s="36"/>
      <c r="DP1178" s="36"/>
      <c r="DQ1178" s="36"/>
      <c r="DR1178" s="36"/>
      <c r="DS1178" s="36"/>
      <c r="DT1178" s="36"/>
      <c r="DU1178" s="36"/>
      <c r="DV1178" s="36"/>
      <c r="DW1178" s="36"/>
      <c r="DX1178" s="36"/>
      <c r="DY1178" s="36"/>
      <c r="DZ1178" s="36"/>
      <c r="EA1178" s="36"/>
      <c r="EB1178" s="36"/>
      <c r="EC1178" s="36"/>
      <c r="ED1178" s="36"/>
      <c r="EE1178" s="36"/>
      <c r="EF1178" s="36"/>
      <c r="EG1178" s="36"/>
      <c r="EH1178" s="36"/>
      <c r="EI1178" s="36"/>
      <c r="EJ1178" s="36"/>
      <c r="EK1178" s="36"/>
      <c r="EL1178" s="36"/>
      <c r="EM1178" s="36"/>
      <c r="EN1178" s="36"/>
      <c r="EO1178" s="36"/>
      <c r="EP1178" s="36"/>
      <c r="EQ1178" s="36"/>
      <c r="ER1178" s="36"/>
      <c r="ES1178" s="36"/>
      <c r="ET1178" s="36"/>
      <c r="EU1178" s="36"/>
      <c r="EV1178" s="36"/>
      <c r="EW1178" s="36"/>
      <c r="EX1178" s="36"/>
      <c r="EY1178" s="36"/>
      <c r="EZ1178" s="36"/>
      <c r="FA1178" s="36"/>
      <c r="FB1178" s="36"/>
      <c r="FC1178" s="36"/>
      <c r="FD1178" s="36"/>
      <c r="FE1178" s="36"/>
      <c r="FF1178" s="36"/>
      <c r="FG1178" s="36"/>
      <c r="FH1178" s="36"/>
      <c r="FI1178" s="36"/>
      <c r="FJ1178" s="36"/>
      <c r="FK1178" s="36"/>
      <c r="FL1178" s="36"/>
      <c r="FM1178" s="36"/>
      <c r="FN1178" s="36"/>
      <c r="FO1178" s="36"/>
      <c r="FP1178" s="36"/>
      <c r="FQ1178" s="36"/>
      <c r="FR1178" s="36"/>
      <c r="FS1178" s="36"/>
      <c r="FT1178" s="36"/>
      <c r="FU1178" s="36"/>
      <c r="FV1178" s="36"/>
      <c r="FW1178" s="36"/>
      <c r="FX1178" s="36"/>
      <c r="FY1178" s="36"/>
      <c r="FZ1178" s="36"/>
      <c r="GA1178" s="36"/>
      <c r="GB1178" s="36"/>
      <c r="GC1178" s="36"/>
      <c r="GD1178" s="36"/>
      <c r="GE1178" s="36"/>
      <c r="GF1178" s="36"/>
      <c r="GG1178" s="36"/>
      <c r="GH1178" s="36"/>
      <c r="GI1178" s="36"/>
      <c r="GJ1178" s="36"/>
      <c r="GK1178" s="36"/>
      <c r="GL1178" s="36"/>
      <c r="GM1178" s="36"/>
      <c r="GN1178" s="36"/>
      <c r="GO1178" s="36"/>
      <c r="GP1178" s="36"/>
      <c r="GQ1178" s="36"/>
      <c r="GR1178" s="36"/>
      <c r="GS1178" s="36"/>
      <c r="GT1178" s="36"/>
      <c r="GU1178" s="36"/>
      <c r="GV1178" s="36"/>
      <c r="GW1178" s="36"/>
      <c r="GX1178" s="36"/>
      <c r="GY1178" s="36"/>
      <c r="GZ1178" s="36"/>
      <c r="HA1178" s="36"/>
      <c r="HB1178" s="36"/>
      <c r="HC1178" s="36"/>
      <c r="HD1178" s="36"/>
      <c r="HE1178" s="36"/>
      <c r="HF1178" s="36"/>
      <c r="HG1178" s="36"/>
      <c r="HH1178" s="36"/>
      <c r="HI1178" s="36"/>
      <c r="HJ1178" s="36"/>
      <c r="HK1178" s="36"/>
      <c r="HL1178" s="36"/>
      <c r="HM1178" s="36"/>
      <c r="HN1178" s="36"/>
      <c r="HO1178" s="36"/>
      <c r="HP1178" s="36"/>
      <c r="HQ1178" s="36"/>
      <c r="HR1178" s="36"/>
      <c r="HS1178" s="36"/>
      <c r="HT1178" s="36"/>
      <c r="HU1178" s="36"/>
      <c r="HV1178" s="36"/>
      <c r="HW1178" s="36"/>
      <c r="HX1178" s="36"/>
      <c r="HY1178" s="36"/>
      <c r="HZ1178" s="36"/>
      <c r="IA1178" s="36"/>
      <c r="IB1178" s="36"/>
      <c r="IC1178" s="36"/>
      <c r="ID1178" s="36"/>
      <c r="IE1178" s="36"/>
      <c r="IF1178" s="36"/>
      <c r="IG1178" s="36"/>
      <c r="IH1178" s="36"/>
      <c r="II1178" s="36"/>
      <c r="IJ1178" s="36"/>
      <c r="IK1178" s="36"/>
      <c r="IL1178" s="36"/>
      <c r="IM1178" s="36"/>
      <c r="IN1178" s="36"/>
      <c r="IO1178" s="36"/>
      <c r="IP1178" s="36"/>
      <c r="IQ1178" s="36"/>
      <c r="IR1178" s="36"/>
      <c r="IS1178" s="36"/>
      <c r="IT1178" s="36"/>
      <c r="IU1178" s="36"/>
      <c r="IV1178" s="36"/>
    </row>
    <row r="1179" spans="1:256" s="602" customFormat="1" thickTop="1">
      <c r="A1179" s="51" t="s">
        <v>154</v>
      </c>
      <c r="B1179" s="3"/>
      <c r="C1179" s="63"/>
      <c r="D1179" s="63"/>
      <c r="E1179" s="63"/>
      <c r="F1179" s="63"/>
      <c r="G1179" s="63"/>
      <c r="H1179" s="63"/>
      <c r="I1179" s="63"/>
      <c r="J1179" s="63"/>
      <c r="K1179" s="63"/>
      <c r="L1179" s="63"/>
      <c r="M1179" s="63"/>
      <c r="N1179" s="63"/>
      <c r="O1179" s="64"/>
      <c r="P1179" s="63"/>
      <c r="Q1179" s="63"/>
      <c r="R1179" s="63"/>
      <c r="S1179" s="63"/>
      <c r="T1179" s="63"/>
    </row>
    <row r="1180" spans="1:256" s="602" customFormat="1" ht="13.2">
      <c r="A1180" s="63"/>
      <c r="B1180" s="3"/>
      <c r="C1180" s="3"/>
      <c r="E1180" s="3"/>
      <c r="F1180" s="3"/>
      <c r="G1180" s="3"/>
      <c r="H1180" s="3"/>
      <c r="I1180" s="3"/>
      <c r="J1180" s="3"/>
      <c r="K1180" s="3"/>
      <c r="L1180" s="3"/>
      <c r="M1180" s="3"/>
      <c r="N1180" s="3"/>
      <c r="O1180" s="158"/>
      <c r="P1180" s="3"/>
      <c r="Q1180" s="3"/>
      <c r="R1180" s="3"/>
      <c r="S1180" s="3"/>
      <c r="T1180" s="3"/>
    </row>
    <row r="1181" spans="1:256" s="602" customFormat="1" ht="12">
      <c r="A1181" s="63"/>
      <c r="B1181" s="699">
        <f>$F1181/$C$2-($R1181*$S$2+$T1181*$T$2)</f>
        <v>-5.6657445693417685E-3</v>
      </c>
      <c r="C1181" s="63"/>
      <c r="D1181" s="706" t="str">
        <f>D1146</f>
        <v>Commissioning and Documentation</v>
      </c>
      <c r="E1181" s="701"/>
      <c r="F1181" s="707">
        <f>SUMIF($L1144:$L1179,"PAGE",F1144:F1179)</f>
        <v>2822.43</v>
      </c>
      <c r="G1181" s="663"/>
      <c r="H1181" s="663"/>
      <c r="I1181" s="601"/>
      <c r="J1181" s="663"/>
      <c r="K1181" s="663"/>
      <c r="L1181" s="172" t="s">
        <v>420</v>
      </c>
      <c r="M1181" s="172"/>
      <c r="N1181" s="172"/>
      <c r="O1181" s="173"/>
      <c r="P1181" s="172"/>
      <c r="Q1181" s="63"/>
      <c r="R1181" s="707">
        <f>SUMIF($L1144:$L1179,"PAGE",R1144:R1179)</f>
        <v>60</v>
      </c>
      <c r="S1181" s="63"/>
      <c r="T1181" s="707">
        <f>SUMIF($L1144:$L1179,"PAGE",T1144:T1179)</f>
        <v>76</v>
      </c>
    </row>
    <row r="1182" spans="1:256" s="602" customFormat="1" ht="12">
      <c r="A1182" s="63"/>
      <c r="B1182" s="55" t="s">
        <v>413</v>
      </c>
      <c r="C1182" s="63"/>
      <c r="D1182" s="706"/>
      <c r="F1182" s="708" t="s">
        <v>421</v>
      </c>
      <c r="G1182" s="663"/>
      <c r="H1182" s="663"/>
      <c r="I1182" s="601"/>
      <c r="J1182" s="663"/>
      <c r="K1182" s="663"/>
      <c r="L1182" s="63"/>
      <c r="M1182" s="63"/>
      <c r="N1182" s="63"/>
      <c r="O1182" s="64"/>
      <c r="P1182" s="63"/>
      <c r="Q1182" s="63"/>
      <c r="R1182" s="708" t="s">
        <v>422</v>
      </c>
      <c r="S1182" s="38"/>
      <c r="T1182" s="708" t="s">
        <v>423</v>
      </c>
    </row>
    <row r="1183" spans="1:256" s="602" customFormat="1" ht="11.4">
      <c r="O1183" s="698"/>
    </row>
    <row r="1184" spans="1:256" thickBot="1">
      <c r="A1184" s="684"/>
      <c r="B1184" s="684"/>
      <c r="C1184" s="684"/>
      <c r="D1184" s="684"/>
      <c r="E1184" s="684"/>
      <c r="F1184" s="39"/>
      <c r="G1184" s="611"/>
      <c r="H1184" s="611"/>
      <c r="I1184" s="611"/>
      <c r="J1184" s="611"/>
      <c r="K1184" s="611"/>
      <c r="L1184" s="684"/>
      <c r="M1184" s="684"/>
      <c r="N1184" s="684"/>
      <c r="O1184" s="684"/>
      <c r="P1184" s="684"/>
      <c r="Q1184" s="688"/>
      <c r="R1184" s="39"/>
      <c r="S1184" s="39"/>
      <c r="T1184" s="39"/>
      <c r="U1184" s="611"/>
      <c r="V1184" s="611"/>
      <c r="W1184" s="611"/>
      <c r="X1184" s="611"/>
      <c r="Y1184" s="611"/>
      <c r="Z1184" s="611"/>
      <c r="AA1184" s="611"/>
      <c r="AB1184" s="611"/>
      <c r="AC1184" s="611"/>
      <c r="AD1184" s="611"/>
      <c r="AE1184" s="611"/>
      <c r="AF1184" s="611"/>
      <c r="AG1184" s="611"/>
      <c r="AH1184" s="611"/>
      <c r="AI1184" s="611"/>
      <c r="AJ1184" s="611"/>
      <c r="AK1184" s="611"/>
      <c r="AL1184" s="602"/>
      <c r="AM1184" s="602"/>
      <c r="AN1184" s="602"/>
      <c r="AO1184" s="602"/>
      <c r="AP1184" s="602"/>
      <c r="AQ1184" s="602"/>
      <c r="AR1184" s="602"/>
      <c r="AS1184" s="602"/>
      <c r="AT1184" s="602"/>
      <c r="AU1184" s="602"/>
      <c r="AV1184" s="602"/>
      <c r="AW1184" s="602"/>
      <c r="AX1184" s="602"/>
      <c r="AY1184" s="602"/>
      <c r="AZ1184" s="602"/>
      <c r="BA1184" s="602"/>
      <c r="BB1184" s="602"/>
      <c r="BC1184" s="602"/>
      <c r="BD1184" s="602"/>
      <c r="BE1184" s="602"/>
      <c r="BF1184" s="602"/>
      <c r="BG1184" s="602"/>
      <c r="BH1184" s="602"/>
      <c r="BI1184" s="602"/>
      <c r="BJ1184" s="602"/>
      <c r="BK1184" s="602"/>
      <c r="BL1184" s="602"/>
      <c r="BM1184" s="602"/>
      <c r="BN1184" s="602"/>
      <c r="BO1184" s="602"/>
      <c r="BP1184" s="602"/>
      <c r="BQ1184" s="602"/>
      <c r="BR1184" s="602"/>
      <c r="BS1184" s="602"/>
      <c r="BT1184" s="602"/>
      <c r="BU1184" s="602"/>
      <c r="BV1184" s="602"/>
      <c r="BW1184" s="602"/>
      <c r="BX1184" s="602"/>
      <c r="BY1184" s="602"/>
      <c r="BZ1184" s="602"/>
      <c r="CA1184" s="602"/>
      <c r="CB1184" s="602"/>
      <c r="CC1184" s="602"/>
      <c r="CD1184" s="602"/>
      <c r="CE1184" s="602"/>
      <c r="CF1184" s="602"/>
      <c r="CG1184" s="602"/>
      <c r="CH1184" s="602"/>
      <c r="CI1184" s="602"/>
      <c r="CJ1184" s="602"/>
      <c r="CK1184" s="602"/>
      <c r="CL1184" s="602"/>
      <c r="CM1184" s="602"/>
      <c r="CN1184" s="602"/>
      <c r="CO1184" s="602"/>
      <c r="CP1184" s="602"/>
      <c r="CQ1184" s="602"/>
      <c r="CR1184" s="602"/>
      <c r="CS1184" s="602"/>
      <c r="CT1184" s="602"/>
      <c r="CU1184" s="602"/>
      <c r="CV1184" s="602"/>
      <c r="CW1184" s="602"/>
      <c r="CX1184" s="602"/>
      <c r="CY1184" s="602"/>
      <c r="CZ1184" s="602"/>
      <c r="DA1184" s="602"/>
      <c r="DB1184" s="602"/>
      <c r="DC1184" s="602"/>
      <c r="DD1184" s="602"/>
      <c r="DE1184" s="602"/>
      <c r="DF1184" s="602"/>
      <c r="DG1184" s="602"/>
      <c r="DH1184" s="602"/>
      <c r="DI1184" s="602"/>
      <c r="DJ1184" s="602"/>
      <c r="DK1184" s="602"/>
      <c r="DL1184" s="602"/>
      <c r="DM1184" s="602"/>
      <c r="DN1184" s="602"/>
      <c r="DO1184" s="602"/>
      <c r="DP1184" s="602"/>
      <c r="DQ1184" s="602"/>
      <c r="DR1184" s="602"/>
      <c r="DS1184" s="602"/>
      <c r="DT1184" s="602"/>
      <c r="DU1184" s="602"/>
      <c r="DV1184" s="602"/>
      <c r="DW1184" s="602"/>
      <c r="DX1184" s="602"/>
      <c r="DY1184" s="602"/>
      <c r="DZ1184" s="602"/>
      <c r="EA1184" s="602"/>
      <c r="EB1184" s="602"/>
      <c r="EC1184" s="602"/>
      <c r="ED1184" s="602"/>
      <c r="EE1184" s="602"/>
      <c r="EF1184" s="602"/>
      <c r="EG1184" s="602"/>
      <c r="EH1184" s="602"/>
      <c r="EI1184" s="602"/>
      <c r="EJ1184" s="602"/>
      <c r="EK1184" s="602"/>
      <c r="EL1184" s="602"/>
      <c r="EM1184" s="602"/>
      <c r="EN1184" s="602"/>
      <c r="EO1184" s="602"/>
      <c r="EP1184" s="602"/>
      <c r="EQ1184" s="602"/>
      <c r="ER1184" s="602"/>
      <c r="ES1184" s="602"/>
      <c r="ET1184" s="602"/>
      <c r="EU1184" s="602"/>
      <c r="EV1184" s="602"/>
      <c r="EW1184" s="602"/>
      <c r="EX1184" s="602"/>
      <c r="EY1184" s="602"/>
      <c r="EZ1184" s="602"/>
      <c r="FA1184" s="602"/>
      <c r="FB1184" s="602"/>
      <c r="FC1184" s="602"/>
      <c r="FD1184" s="602"/>
      <c r="FE1184" s="602"/>
      <c r="FF1184" s="602"/>
      <c r="FG1184" s="602"/>
      <c r="FH1184" s="602"/>
      <c r="FI1184" s="602"/>
      <c r="FJ1184" s="602"/>
      <c r="FK1184" s="602"/>
      <c r="FL1184" s="602"/>
      <c r="FM1184" s="602"/>
      <c r="FN1184" s="602"/>
      <c r="FO1184" s="602"/>
      <c r="FP1184" s="602"/>
      <c r="FQ1184" s="602"/>
      <c r="FR1184" s="602"/>
      <c r="FS1184" s="602"/>
      <c r="FT1184" s="602"/>
      <c r="FU1184" s="602"/>
      <c r="FV1184" s="602"/>
      <c r="FW1184" s="602"/>
      <c r="FX1184" s="602"/>
      <c r="FY1184" s="602"/>
      <c r="FZ1184" s="602"/>
      <c r="GA1184" s="602"/>
      <c r="GB1184" s="602"/>
      <c r="GC1184" s="602"/>
      <c r="GD1184" s="602"/>
      <c r="GE1184" s="602"/>
      <c r="GF1184" s="602"/>
      <c r="GG1184" s="602"/>
      <c r="GH1184" s="602"/>
      <c r="GI1184" s="602"/>
      <c r="GJ1184" s="602"/>
      <c r="GK1184" s="602"/>
      <c r="GL1184" s="602"/>
      <c r="GM1184" s="602"/>
      <c r="GN1184" s="602"/>
      <c r="GO1184" s="602"/>
      <c r="GP1184" s="602"/>
      <c r="GQ1184" s="602"/>
      <c r="GR1184" s="602"/>
      <c r="GS1184" s="602"/>
      <c r="GT1184" s="602"/>
      <c r="GU1184" s="602"/>
      <c r="GV1184" s="602"/>
      <c r="GW1184" s="602"/>
      <c r="GX1184" s="602"/>
      <c r="GY1184" s="602"/>
      <c r="GZ1184" s="602"/>
      <c r="HA1184" s="602"/>
      <c r="HB1184" s="602"/>
      <c r="HC1184" s="602"/>
      <c r="HD1184" s="602"/>
      <c r="HE1184" s="602"/>
      <c r="HF1184" s="602"/>
      <c r="HG1184" s="602"/>
      <c r="HH1184" s="602"/>
      <c r="HI1184" s="602"/>
      <c r="HJ1184" s="602"/>
      <c r="HK1184" s="602"/>
      <c r="HL1184" s="602"/>
      <c r="HM1184" s="602"/>
      <c r="HN1184" s="602"/>
      <c r="HO1184" s="602"/>
      <c r="HP1184" s="602"/>
      <c r="HQ1184" s="602"/>
      <c r="HR1184" s="602"/>
      <c r="HS1184" s="602"/>
      <c r="HT1184" s="602"/>
      <c r="HU1184" s="602"/>
      <c r="HV1184" s="602"/>
      <c r="HW1184" s="602"/>
      <c r="HX1184" s="602"/>
      <c r="HY1184" s="602"/>
      <c r="HZ1184" s="602"/>
      <c r="IA1184" s="602"/>
      <c r="IB1184" s="602"/>
      <c r="IC1184" s="602"/>
      <c r="ID1184" s="602"/>
      <c r="IE1184" s="602"/>
      <c r="IF1184" s="602"/>
      <c r="IG1184" s="602"/>
      <c r="IH1184" s="602"/>
      <c r="II1184" s="602"/>
      <c r="IJ1184" s="602"/>
      <c r="IK1184" s="602"/>
      <c r="IL1184" s="602"/>
      <c r="IM1184" s="602"/>
      <c r="IN1184" s="602"/>
      <c r="IO1184" s="602"/>
      <c r="IP1184" s="602"/>
      <c r="IQ1184" s="602"/>
      <c r="IR1184" s="602"/>
      <c r="IS1184" s="602"/>
      <c r="IT1184" s="602"/>
      <c r="IU1184" s="602"/>
      <c r="IV1184" s="602"/>
    </row>
    <row r="1185" spans="1:37" ht="15" thickTop="1" thickBot="1">
      <c r="A1185" s="369" t="s">
        <v>147</v>
      </c>
      <c r="B1185" s="4"/>
      <c r="C1185" s="4"/>
      <c r="D1185" s="4"/>
      <c r="E1185" s="4"/>
      <c r="F1185" s="2"/>
      <c r="G1185" s="151"/>
      <c r="H1185" s="33"/>
      <c r="I1185" s="33"/>
      <c r="J1185" s="33"/>
      <c r="K1185" s="33"/>
      <c r="L1185" s="4"/>
      <c r="M1185" s="4"/>
      <c r="N1185" s="4"/>
      <c r="O1185" s="4"/>
      <c r="P1185" s="4"/>
      <c r="Q1185" s="56"/>
      <c r="R1185" s="33"/>
      <c r="S1185" s="33"/>
      <c r="T1185" s="33"/>
      <c r="AH1185" s="590">
        <f ca="1">SUM(AH$14:AH1178)</f>
        <v>18702.719999999998</v>
      </c>
      <c r="AJ1185" s="590">
        <f ca="1">SUM(AJ$14:AJ1178)</f>
        <v>19350.519999999997</v>
      </c>
      <c r="AK1185" s="590">
        <f ca="1">SUM(AK$14:AK1178)</f>
        <v>38053.24</v>
      </c>
    </row>
    <row r="1186" spans="1:37" ht="14.4" thickTop="1">
      <c r="A1186" s="63"/>
      <c r="B1186" s="61">
        <f ca="1">$F1186/$C$2-($R1186*$S$2+$T1186*$T$2)</f>
        <v>0.41209137918121996</v>
      </c>
      <c r="C1186" s="33" t="s">
        <v>73</v>
      </c>
      <c r="D1186" s="62"/>
      <c r="E1186" s="62" t="str">
        <f>$F$2 &amp; " (mu_A) :"</f>
        <v>Electrical (mu_A) :</v>
      </c>
      <c r="F1186" s="533">
        <f ca="1">SUMIF($K$13:$K1185,"mu_A",F$13:F1185)</f>
        <v>29589.614033881429</v>
      </c>
      <c r="G1186" s="63"/>
      <c r="H1186" s="63"/>
      <c r="I1186" s="63"/>
      <c r="J1186" s="63"/>
      <c r="K1186" s="63"/>
      <c r="L1186" s="63"/>
      <c r="M1186" s="63"/>
      <c r="N1186" s="63"/>
      <c r="O1186" s="64"/>
      <c r="P1186" s="63"/>
      <c r="Q1186" s="63"/>
      <c r="R1186" s="65">
        <f ca="1">SUMIF($K$13:$K1185,"mu_A",R$13:R$1185)</f>
        <v>8528.8899999999976</v>
      </c>
      <c r="S1186" s="63"/>
      <c r="T1186" s="65">
        <f ca="1">SUMIF($K$13:$K1185,"mu_A",T$13:T$1185)</f>
        <v>509.065</v>
      </c>
      <c r="AG1186" s="1"/>
      <c r="AH1186" s="533">
        <f ca="1">R1186*$S$2</f>
        <v>11514.001499999997</v>
      </c>
      <c r="AI1186" s="1"/>
      <c r="AJ1186" s="533">
        <f ca="1">T1186*$T$2</f>
        <v>18871.548615000003</v>
      </c>
      <c r="AK1186" s="1"/>
    </row>
    <row r="1187" spans="1:37">
      <c r="A1187" s="63"/>
      <c r="B1187" s="61">
        <f ca="1">$F1187/$C$3-($R1187*$S$3+$T1187*$T$3)</f>
        <v>5.0010335608021705E-3</v>
      </c>
      <c r="C1187" s="33" t="s">
        <v>73</v>
      </c>
      <c r="D1187" s="62"/>
      <c r="E1187" s="62" t="str">
        <f>$F$3&amp; " (mu_B) :"</f>
        <v>ECA (Technician) (mu_B) :</v>
      </c>
      <c r="F1187" s="534">
        <f ca="1">SUMIF($K$13:$K1185,"mu_B",F$13:F1185)</f>
        <v>7911.4902901433416</v>
      </c>
      <c r="G1187" s="66"/>
      <c r="H1187" s="66"/>
      <c r="I1187" s="67"/>
      <c r="J1187" s="66"/>
      <c r="K1187" s="66"/>
      <c r="L1187" s="66"/>
      <c r="M1187" s="66"/>
      <c r="N1187" s="66"/>
      <c r="O1187" s="66"/>
      <c r="P1187" s="66"/>
      <c r="Q1187" s="68"/>
      <c r="R1187" s="69">
        <f>SUMIF($K$13:$K1185,"mu_B",R$13:R1185)</f>
        <v>5545.86</v>
      </c>
      <c r="S1187" s="70"/>
      <c r="T1187" s="69">
        <f>SUMIF($K$13:$K1185,"mu_B",T$13:T1185)</f>
        <v>14</v>
      </c>
      <c r="AG1187" s="1"/>
      <c r="AH1187" s="534">
        <f>R1187*$S$3</f>
        <v>7486.9110000000001</v>
      </c>
      <c r="AI1187" s="1"/>
      <c r="AJ1187" s="534">
        <f>T1187*$T$3</f>
        <v>637.49699999999996</v>
      </c>
      <c r="AK1187" s="1"/>
    </row>
    <row r="1188" spans="1:37">
      <c r="A1188" s="63"/>
      <c r="B1188" s="61">
        <f ca="1">$F1188/$C$4-($R1188*$S$4+$T1188*$T$4)</f>
        <v>-4.6426504140981706E-3</v>
      </c>
      <c r="C1188" s="33" t="s">
        <v>73</v>
      </c>
      <c r="D1188" s="62"/>
      <c r="E1188" s="62" t="str">
        <f>$F$4&amp; " (mu_C) :"</f>
        <v>ECA (Engineer) (mu_C) :</v>
      </c>
      <c r="F1188" s="535">
        <f ca="1">SUMIF($K$13:$K1185,"mu_C",F$13:F1185)</f>
        <v>552.13567597522888</v>
      </c>
      <c r="G1188" s="66"/>
      <c r="H1188" s="66"/>
      <c r="I1188" s="67"/>
      <c r="J1188" s="66"/>
      <c r="K1188" s="66"/>
      <c r="L1188" s="66"/>
      <c r="M1188" s="66"/>
      <c r="N1188" s="66"/>
      <c r="O1188" s="66"/>
      <c r="P1188" s="66"/>
      <c r="Q1188" s="63"/>
      <c r="R1188" s="69">
        <f>SUMIF($K$13:$K1185,"mu_C",R$13:R1185)</f>
        <v>0</v>
      </c>
      <c r="S1188" s="71"/>
      <c r="T1188" s="69">
        <f>SUMIF($K$13:$K1185,"mu_C",T$13:T1185)</f>
        <v>14</v>
      </c>
      <c r="AG1188" s="1"/>
      <c r="AH1188" s="535">
        <f>R1188*$S$4</f>
        <v>0</v>
      </c>
      <c r="AI1188" s="1"/>
      <c r="AJ1188" s="535">
        <f>T1188*$T$4</f>
        <v>567</v>
      </c>
      <c r="AK1188" s="1"/>
    </row>
    <row r="1189" spans="1:37">
      <c r="A1189" s="63"/>
      <c r="B1189" s="61">
        <f>$F1189/$C$5-($R1189*$S$5+$T1189*$T$5)</f>
        <v>0</v>
      </c>
      <c r="C1189" s="33" t="s">
        <v>73</v>
      </c>
      <c r="D1189" s="62"/>
      <c r="E1189" s="62" t="str">
        <f>$F$5&amp; " (mu_D) :"</f>
        <v>Megaline (mu_D) :</v>
      </c>
      <c r="F1189" s="536">
        <f>SUMIF($K$13:$K1185,"mu_D",F$13:F1185)</f>
        <v>0</v>
      </c>
      <c r="G1189" s="66"/>
      <c r="H1189" s="66"/>
      <c r="I1189" s="67"/>
      <c r="J1189" s="66"/>
      <c r="K1189" s="66"/>
      <c r="L1189" s="66"/>
      <c r="M1189" s="66"/>
      <c r="N1189" s="66"/>
      <c r="O1189" s="66"/>
      <c r="P1189" s="66"/>
      <c r="Q1189" s="63"/>
      <c r="R1189" s="69">
        <f>SUMIF($K$13:$K1185,"mu_D",R$13:R1185)</f>
        <v>0</v>
      </c>
      <c r="S1189" s="71"/>
      <c r="T1189" s="69">
        <f>SUMIF($K$13:$K1185,"mu_D",T$13:T1185)</f>
        <v>0</v>
      </c>
      <c r="AG1189" s="1"/>
      <c r="AH1189" s="536">
        <f>R1189*$S$5</f>
        <v>0</v>
      </c>
      <c r="AI1189" s="1"/>
      <c r="AJ1189" s="536">
        <f>T1189*$T$5</f>
        <v>0</v>
      </c>
      <c r="AK1189" s="1"/>
    </row>
    <row r="1190" spans="1:37">
      <c r="A1190" s="63"/>
      <c r="B1190" s="61">
        <f>$F1190/$C$6-($R1190*$S$6+$T1190*$T$6)</f>
        <v>0</v>
      </c>
      <c r="C1190" s="33" t="s">
        <v>73</v>
      </c>
      <c r="D1190" s="62"/>
      <c r="E1190" s="62" t="str">
        <f>$F$6&amp; " (mu_E) :"</f>
        <v>0 (mu_E) :</v>
      </c>
      <c r="F1190" s="537">
        <f>SUMIF($K$13:$K1185,"mu_E",F$13:F1185)</f>
        <v>0</v>
      </c>
      <c r="G1190" s="66"/>
      <c r="H1190" s="66"/>
      <c r="I1190" s="67"/>
      <c r="J1190" s="66"/>
      <c r="K1190" s="66"/>
      <c r="L1190" s="66"/>
      <c r="M1190" s="66"/>
      <c r="N1190" s="66"/>
      <c r="O1190" s="66"/>
      <c r="P1190" s="66"/>
      <c r="Q1190" s="63"/>
      <c r="R1190" s="69">
        <f>SUMIF($K$13:$K1185,"mu_E",R$13:R1185)</f>
        <v>0</v>
      </c>
      <c r="S1190" s="71"/>
      <c r="T1190" s="69">
        <f>SUMIF($K$13:$K1185,"mu_E",T$13:T1185)</f>
        <v>0</v>
      </c>
      <c r="AG1190" s="1"/>
      <c r="AH1190" s="537">
        <f>R1190*$S$6</f>
        <v>0</v>
      </c>
      <c r="AI1190" s="1"/>
      <c r="AJ1190" s="537">
        <f>T1190*$T$6</f>
        <v>0</v>
      </c>
      <c r="AK1190" s="1"/>
    </row>
    <row r="1191" spans="1:37">
      <c r="A1191" s="63"/>
      <c r="B1191" s="61">
        <f>$F1191/$C$7-($R1191*$S$7+$T1191*$T$7)</f>
        <v>0</v>
      </c>
      <c r="C1191" s="33" t="s">
        <v>73</v>
      </c>
      <c r="D1191" s="62"/>
      <c r="E1191" s="62" t="str">
        <f>$F$7&amp; " (mu_F) :"</f>
        <v>0 (mu_F) :</v>
      </c>
      <c r="F1191" s="538">
        <f>SUMIF($K$13:$K1185,"mu_F",F$13:F1185)</f>
        <v>0</v>
      </c>
      <c r="G1191" s="66"/>
      <c r="H1191" s="66"/>
      <c r="I1191" s="67"/>
      <c r="J1191" s="66"/>
      <c r="K1191" s="66"/>
      <c r="L1191" s="66"/>
      <c r="M1191" s="66"/>
      <c r="N1191" s="66"/>
      <c r="O1191" s="66"/>
      <c r="P1191" s="66"/>
      <c r="Q1191" s="63"/>
      <c r="R1191" s="69">
        <f>SUMIF($K$13:$K1185,"mu_F",R$13:R1185)</f>
        <v>0</v>
      </c>
      <c r="S1191" s="71"/>
      <c r="T1191" s="69">
        <f>SUMIF($K$13:$K1185,"mu_F",T$13:T1185)</f>
        <v>0</v>
      </c>
      <c r="AG1191" s="1"/>
      <c r="AH1191" s="538">
        <f>R1191*$S$7</f>
        <v>0</v>
      </c>
      <c r="AI1191" s="1"/>
      <c r="AJ1191" s="538">
        <f>T1191*$T$7</f>
        <v>0</v>
      </c>
      <c r="AK1191" s="1"/>
    </row>
    <row r="1192" spans="1:37">
      <c r="A1192" s="63"/>
      <c r="B1192" s="61">
        <f>$F1192/$C$8-($R1192*$S$8+$T1192*$T$8)</f>
        <v>0</v>
      </c>
      <c r="C1192" s="33" t="s">
        <v>73</v>
      </c>
      <c r="D1192" s="62"/>
      <c r="E1192" s="62" t="str">
        <f>$F$8&amp; " (mu_G) :"</f>
        <v>0 (mu_G) :</v>
      </c>
      <c r="F1192" s="539">
        <f>SUMIF($K$13:$K1185,"mu_G",F$13:F1185)</f>
        <v>0</v>
      </c>
      <c r="G1192" s="66"/>
      <c r="H1192" s="66"/>
      <c r="I1192" s="67"/>
      <c r="J1192" s="66"/>
      <c r="K1192" s="66"/>
      <c r="L1192" s="66"/>
      <c r="M1192" s="66"/>
      <c r="N1192" s="66"/>
      <c r="O1192" s="66"/>
      <c r="P1192" s="66"/>
      <c r="Q1192" s="63"/>
      <c r="R1192" s="69">
        <f>SUMIF($K$13:$K1185,"mu_G",R$13:R1185)</f>
        <v>0</v>
      </c>
      <c r="S1192" s="71"/>
      <c r="T1192" s="69">
        <f>SUMIF($K$13:$K1185,"mu_G",T$13:T1185)</f>
        <v>0</v>
      </c>
      <c r="AG1192" s="1"/>
      <c r="AH1192" s="539">
        <f>R1192*$S$8</f>
        <v>0</v>
      </c>
      <c r="AI1192" s="1"/>
      <c r="AJ1192" s="539">
        <f>T1192*$T$8</f>
        <v>0</v>
      </c>
      <c r="AK1192" s="1"/>
    </row>
    <row r="1193" spans="1:37">
      <c r="A1193" s="63"/>
      <c r="B1193" s="61">
        <f>$F1193/$C$9-($R1193*$S$9+$T1193*$T$9)</f>
        <v>0</v>
      </c>
      <c r="C1193" s="33" t="s">
        <v>73</v>
      </c>
      <c r="D1193" s="62"/>
      <c r="E1193" s="62" t="str">
        <f>$F$9&amp; " (mu_H) :"</f>
        <v>0 (mu_H) :</v>
      </c>
      <c r="F1193" s="578">
        <f>SUMIF($K$13:$K1185,"mu_H",F$13:F1185)</f>
        <v>0</v>
      </c>
      <c r="G1193" s="66"/>
      <c r="H1193" s="66"/>
      <c r="I1193" s="67"/>
      <c r="J1193" s="66"/>
      <c r="K1193" s="66"/>
      <c r="L1193" s="66"/>
      <c r="M1193" s="66"/>
      <c r="N1193" s="66"/>
      <c r="O1193" s="66"/>
      <c r="P1193" s="66"/>
      <c r="Q1193" s="63"/>
      <c r="R1193" s="69">
        <f>SUMIF($K$13:$K1185,"mu_H",R$13:R1185)</f>
        <v>0</v>
      </c>
      <c r="S1193" s="71"/>
      <c r="T1193" s="69">
        <f>SUMIF($K$13:$K1185,"mu_H",T$13:T1185)</f>
        <v>0</v>
      </c>
      <c r="AG1193" s="1"/>
      <c r="AH1193" s="578">
        <f>R1193*$S$9</f>
        <v>0</v>
      </c>
      <c r="AI1193" s="1"/>
      <c r="AJ1193" s="578">
        <f>T1193*$T$9</f>
        <v>0</v>
      </c>
      <c r="AK1193" s="1"/>
    </row>
    <row r="1194" spans="1:37">
      <c r="A1194" s="63"/>
      <c r="B1194" s="61">
        <f>$F1194/$C$10-($R1194*$S$10+$T1194*$T$10)</f>
        <v>0</v>
      </c>
      <c r="C1194" s="33" t="s">
        <v>73</v>
      </c>
      <c r="D1194" s="62"/>
      <c r="E1194" s="62" t="str">
        <f>$F$10&amp; " (mu_I) :"</f>
        <v>0 (mu_I) :</v>
      </c>
      <c r="F1194" s="579">
        <f>SUMIF($K$13:$K1185,"mu_I",F$13:F1185)</f>
        <v>0</v>
      </c>
      <c r="G1194" s="66"/>
      <c r="H1194" s="66"/>
      <c r="I1194" s="67"/>
      <c r="J1194" s="66"/>
      <c r="K1194" s="66"/>
      <c r="L1194" s="66"/>
      <c r="M1194" s="66"/>
      <c r="N1194" s="66"/>
      <c r="O1194" s="66"/>
      <c r="P1194" s="66"/>
      <c r="Q1194" s="63"/>
      <c r="R1194" s="69">
        <f>SUMIF($K$13:$K1185,"mu_I",R$13:R1185)</f>
        <v>0</v>
      </c>
      <c r="S1194" s="71"/>
      <c r="T1194" s="69">
        <f>SUMIF($K$13:$K1185,"mu_I",T$13:T1185)</f>
        <v>0</v>
      </c>
      <c r="AG1194" s="1"/>
      <c r="AH1194" s="579">
        <f>R1194*$S$10</f>
        <v>0</v>
      </c>
      <c r="AI1194" s="1"/>
      <c r="AJ1194" s="579">
        <f>T1194*$T$10</f>
        <v>0</v>
      </c>
      <c r="AK1194" s="1"/>
    </row>
    <row r="1195" spans="1:37">
      <c r="A1195" s="63"/>
      <c r="B1195" s="61">
        <f ca="1">$F1195/$C$11-($R1195*$S$11+$T1195*$T$11)</f>
        <v>0</v>
      </c>
      <c r="C1195" s="33"/>
      <c r="D1195" s="62"/>
      <c r="E1195" s="62" t="str">
        <f>$F$11&amp; " (mu_J) :"</f>
        <v>0 (mu_J) :</v>
      </c>
      <c r="F1195" s="580">
        <f>SUMIF($K$13:$K1186,"mu_J",F$13:F1186)</f>
        <v>0</v>
      </c>
      <c r="G1195" s="66"/>
      <c r="H1195" s="66"/>
      <c r="I1195" s="67"/>
      <c r="J1195" s="66"/>
      <c r="K1195" s="66"/>
      <c r="L1195" s="66"/>
      <c r="M1195" s="66"/>
      <c r="N1195" s="66"/>
      <c r="O1195" s="66"/>
      <c r="P1195" s="66"/>
      <c r="Q1195" s="63"/>
      <c r="R1195" s="69">
        <f ca="1">SUMIF($K$13:$K1186,"mu_J",R$13:R1185)</f>
        <v>0</v>
      </c>
      <c r="S1195" s="71"/>
      <c r="T1195" s="69">
        <f>SUMIF($K$13:$K1186,"mu_J",T$13:T1186)</f>
        <v>0</v>
      </c>
      <c r="AG1195" s="1"/>
      <c r="AH1195" s="580">
        <f ca="1">R1195*$S$11</f>
        <v>0</v>
      </c>
      <c r="AI1195" s="1"/>
      <c r="AJ1195" s="580">
        <f>T1195*$T$11</f>
        <v>0</v>
      </c>
      <c r="AK1195" s="1"/>
    </row>
    <row r="1196" spans="1:37" ht="15" thickBot="1">
      <c r="A1196" s="72"/>
      <c r="B1196" s="72"/>
      <c r="C1196" s="73" t="s">
        <v>148</v>
      </c>
      <c r="D1196" s="74"/>
      <c r="E1196" s="75" t="s">
        <v>149</v>
      </c>
      <c r="F1196" s="540">
        <f ca="1">SUM(F1186:F1195)</f>
        <v>38053.24</v>
      </c>
      <c r="G1196" s="596" t="s">
        <v>142</v>
      </c>
      <c r="H1196" s="76"/>
      <c r="I1196" s="77"/>
      <c r="J1196" s="76"/>
      <c r="K1196" s="76"/>
      <c r="L1196" s="76"/>
      <c r="M1196" s="76"/>
      <c r="N1196" s="76"/>
      <c r="O1196" s="76"/>
      <c r="P1196" s="76"/>
      <c r="Q1196" s="78"/>
      <c r="R1196" s="78">
        <f ca="1">SUM(R1186:R1195)</f>
        <v>14074.749999999996</v>
      </c>
      <c r="S1196" s="79"/>
      <c r="T1196" s="78">
        <f ca="1">SUM(T1186:T1195)</f>
        <v>537.06500000000005</v>
      </c>
      <c r="U1196" s="123"/>
      <c r="V1196" s="469"/>
      <c r="W1196" s="469"/>
      <c r="X1196" s="469"/>
      <c r="Y1196" s="469"/>
      <c r="Z1196" s="469"/>
      <c r="AA1196" s="469"/>
      <c r="AB1196" s="469"/>
      <c r="AC1196" s="123"/>
      <c r="AD1196" s="123"/>
      <c r="AE1196" s="123"/>
      <c r="AF1196" s="123"/>
      <c r="AG1196" s="589"/>
      <c r="AH1196" s="590">
        <f ca="1">SUM(AH1186:AH1195)</f>
        <v>19000.912499999999</v>
      </c>
      <c r="AI1196" s="589"/>
      <c r="AJ1196" s="590">
        <f ca="1">SUM(AJ1186:AJ1195)</f>
        <v>20076.045615000003</v>
      </c>
      <c r="AK1196" s="590">
        <f ca="1">AH1196+AJ1196</f>
        <v>39076.958115000001</v>
      </c>
    </row>
    <row r="1197" spans="1:37" ht="15" thickTop="1">
      <c r="A1197" s="80"/>
      <c r="B1197" s="80"/>
      <c r="C1197" s="81"/>
      <c r="D1197" s="82"/>
      <c r="E1197" s="83"/>
      <c r="F1197" s="84"/>
      <c r="G1197" s="85"/>
      <c r="H1197" s="85"/>
      <c r="I1197" s="85"/>
      <c r="J1197" s="85"/>
      <c r="K1197" s="85"/>
      <c r="L1197" s="85"/>
      <c r="M1197" s="85"/>
      <c r="N1197" s="85"/>
      <c r="O1197" s="85"/>
      <c r="P1197" s="85"/>
      <c r="Q1197" s="84"/>
      <c r="R1197" s="84"/>
      <c r="S1197" s="86"/>
      <c r="T1197" s="84"/>
      <c r="AH1197" s="588">
        <f ca="1">AH1185-AH1196</f>
        <v>-298.19250000000102</v>
      </c>
      <c r="AJ1197" s="588">
        <f ca="1">AJ1185-AJ1196</f>
        <v>-725.52561500000593</v>
      </c>
      <c r="AK1197" s="588">
        <f ca="1">AK1185-AK1196</f>
        <v>-1023.7181150000033</v>
      </c>
    </row>
    <row r="1198" spans="1:37" ht="14.4" thickBot="1">
      <c r="A1198" s="87"/>
      <c r="B1198" s="88" t="s">
        <v>229</v>
      </c>
      <c r="C1198" s="33"/>
      <c r="D1198" s="89"/>
      <c r="E1198" s="83" t="s">
        <v>172</v>
      </c>
      <c r="F1198" s="45"/>
      <c r="G1198" s="45"/>
      <c r="H1198" s="45"/>
      <c r="I1198" s="45"/>
      <c r="J1198" s="45"/>
      <c r="K1198" s="45"/>
      <c r="L1198" s="90" t="s">
        <v>150</v>
      </c>
      <c r="M1198" s="90"/>
      <c r="N1198" s="90"/>
      <c r="O1198" s="90"/>
      <c r="P1198" s="90"/>
      <c r="Q1198" s="45"/>
      <c r="R1198" s="91">
        <f ca="1">SUMIF($L$13:$L1185,"",R$13:R1185)</f>
        <v>14074.749999999989</v>
      </c>
      <c r="S1198" s="91"/>
      <c r="T1198" s="91">
        <f ca="1">SUMIF($L$13:$L1185,"",T$13:T1185)</f>
        <v>538.38500000000022</v>
      </c>
    </row>
    <row r="1199" spans="1:37">
      <c r="A1199" s="92"/>
      <c r="B1199" s="93" t="s">
        <v>228</v>
      </c>
      <c r="C1199" s="33"/>
      <c r="D1199" s="33"/>
      <c r="E1199" s="70"/>
      <c r="F1199" s="45"/>
      <c r="G1199" s="45"/>
      <c r="H1199" s="45"/>
      <c r="I1199" s="45"/>
      <c r="J1199" s="45"/>
      <c r="K1199" s="45"/>
      <c r="L1199" s="45"/>
      <c r="M1199" s="45"/>
      <c r="N1199" s="45"/>
      <c r="O1199" s="45"/>
      <c r="P1199" s="45"/>
      <c r="Q1199" s="45"/>
      <c r="R1199" s="45"/>
      <c r="S1199" s="45"/>
      <c r="T1199" s="45"/>
    </row>
    <row r="1200" spans="1:37" ht="14.4" thickBot="1">
      <c r="A1200" s="370"/>
      <c r="B1200" s="94">
        <f ca="1">$F1200/$C$2-($R1200*$S$2+$T1200*$T$2)</f>
        <v>166.92144976231066</v>
      </c>
      <c r="C1200" s="33"/>
      <c r="D1200" s="89"/>
      <c r="E1200" s="83" t="s">
        <v>171</v>
      </c>
      <c r="F1200" s="541">
        <f ca="1">SUMIF($L$13:$L1185,"ITEM",F$13:F1185)</f>
        <v>38053.24</v>
      </c>
      <c r="G1200" s="45"/>
      <c r="H1200" s="45"/>
      <c r="I1200" s="45"/>
      <c r="J1200" s="45"/>
      <c r="K1200" s="45"/>
      <c r="L1200" s="90" t="s">
        <v>151</v>
      </c>
      <c r="M1200" s="90"/>
      <c r="N1200" s="90"/>
      <c r="O1200" s="90"/>
      <c r="P1200" s="90"/>
      <c r="Q1200" s="91"/>
      <c r="R1200" s="95">
        <f ca="1">SUMIF($L$13:$L1185,"ITEM",R$13:R1185)</f>
        <v>14074.750000000002</v>
      </c>
      <c r="S1200" s="96"/>
      <c r="T1200" s="95">
        <f ca="1">SUMIF($L$13:$L1185,"ITEM",T$13:T1185)</f>
        <v>537.06500000000005</v>
      </c>
    </row>
    <row r="1201" spans="1:37">
      <c r="A1201" s="370"/>
      <c r="B1201" s="97"/>
      <c r="C1201" s="4"/>
      <c r="D1201" s="33"/>
      <c r="E1201" s="70"/>
      <c r="F1201" s="45"/>
      <c r="G1201" s="45"/>
      <c r="H1201" s="45"/>
      <c r="I1201" s="45"/>
      <c r="J1201" s="45"/>
      <c r="K1201" s="45"/>
      <c r="L1201" s="45"/>
      <c r="M1201" s="45"/>
      <c r="N1201" s="45"/>
      <c r="O1201" s="45"/>
      <c r="P1201" s="45"/>
      <c r="Q1201" s="45"/>
      <c r="R1201" s="45"/>
      <c r="S1201" s="45"/>
      <c r="T1201" s="45"/>
    </row>
    <row r="1202" spans="1:37" ht="14.4" thickBot="1">
      <c r="A1202" s="370"/>
      <c r="B1202" s="94">
        <f ca="1">$F1202/$C$2-($R1202*$S$2+$T1202*$T$2)</f>
        <v>166.92144976232521</v>
      </c>
      <c r="C1202" s="33"/>
      <c r="D1202" s="98"/>
      <c r="E1202" s="99" t="s">
        <v>152</v>
      </c>
      <c r="F1202" s="542">
        <f ca="1">SUMIF($L$13:$L1185,"PAGE",F$13:F1185)</f>
        <v>38053.24</v>
      </c>
      <c r="G1202" s="5"/>
      <c r="H1202" s="5"/>
      <c r="I1202" s="5"/>
      <c r="J1202" s="5"/>
      <c r="K1202" s="45"/>
      <c r="L1202" s="43" t="s">
        <v>153</v>
      </c>
      <c r="M1202" s="43"/>
      <c r="N1202" s="43"/>
      <c r="O1202" s="43"/>
      <c r="P1202" s="43"/>
      <c r="Q1202" s="91"/>
      <c r="R1202" s="100">
        <f ca="1">SUMIF($L$13:$L1185,"PAGE",R$13:R1185)</f>
        <v>14074.749999999998</v>
      </c>
      <c r="S1202" s="101"/>
      <c r="T1202" s="100">
        <f ca="1">SUMIF($L$13:$L1185,"PAGE",T$13:T1185)</f>
        <v>537.06499999999994</v>
      </c>
    </row>
    <row r="1203" spans="1:37">
      <c r="A1203" s="370"/>
      <c r="B1203" s="94"/>
      <c r="C1203" s="33"/>
      <c r="D1203" s="33"/>
      <c r="E1203" s="70"/>
      <c r="F1203" s="45"/>
      <c r="G1203" s="45"/>
      <c r="H1203" s="45"/>
      <c r="I1203" s="45"/>
      <c r="J1203" s="45"/>
      <c r="K1203" s="45"/>
      <c r="L1203" s="45"/>
      <c r="M1203" s="45"/>
      <c r="N1203" s="45"/>
      <c r="O1203" s="45"/>
      <c r="P1203" s="45"/>
      <c r="Q1203" s="45"/>
      <c r="R1203" s="45"/>
      <c r="S1203" s="45"/>
      <c r="T1203" s="45"/>
    </row>
    <row r="1204" spans="1:37" ht="14.4" thickBot="1">
      <c r="A1204" s="371" t="s">
        <v>154</v>
      </c>
      <c r="B1204" s="94">
        <f ca="1">$F1204/$C$2-($R1204*$S$2+$T1204*$T$2)</f>
        <v>333.84856526920339</v>
      </c>
      <c r="C1204" s="33"/>
      <c r="D1204" s="2"/>
      <c r="E1204" s="99" t="s">
        <v>155</v>
      </c>
      <c r="F1204" s="543">
        <f ca="1">SUMIF($L$13:$L1185,"SECT",F$13:F1185)</f>
        <v>73284.049999999988</v>
      </c>
      <c r="G1204" s="5"/>
      <c r="H1204" s="5"/>
      <c r="I1204" s="5"/>
      <c r="J1204" s="5"/>
      <c r="K1204" s="45"/>
      <c r="L1204" s="90" t="s">
        <v>156</v>
      </c>
      <c r="M1204" s="90"/>
      <c r="N1204" s="90"/>
      <c r="O1204" s="90"/>
      <c r="P1204" s="90"/>
      <c r="Q1204" s="91"/>
      <c r="R1204" s="102">
        <f ca="1">SUMIF($L$13:$L1185,"SECT",R$13:R1185)</f>
        <v>28089.499999999996</v>
      </c>
      <c r="S1204" s="91"/>
      <c r="T1204" s="102">
        <f ca="1">SUMIF($L$13:$L1185,"SECT",T$13:T1185)</f>
        <v>998.12999999999988</v>
      </c>
    </row>
    <row r="1205" spans="1:37" ht="14.4" thickBot="1">
      <c r="A1205" s="103" t="s">
        <v>157</v>
      </c>
      <c r="B1205" s="57"/>
      <c r="C1205" s="34"/>
      <c r="D1205" s="57"/>
      <c r="E1205" s="39"/>
      <c r="F1205" s="104"/>
      <c r="G1205" s="58"/>
      <c r="H1205" s="58"/>
      <c r="I1205" s="58"/>
      <c r="J1205" s="58"/>
      <c r="K1205" s="58"/>
      <c r="L1205" s="58"/>
      <c r="M1205" s="58"/>
      <c r="N1205" s="58"/>
      <c r="O1205" s="58"/>
      <c r="P1205" s="58"/>
      <c r="Q1205" s="58"/>
      <c r="R1205" s="104"/>
      <c r="S1205" s="104"/>
      <c r="T1205" s="104"/>
      <c r="U1205" s="123"/>
      <c r="V1205" s="469"/>
      <c r="W1205" s="469"/>
      <c r="X1205" s="469"/>
      <c r="Y1205" s="469"/>
      <c r="Z1205" s="469"/>
      <c r="AA1205" s="469"/>
      <c r="AB1205" s="469"/>
      <c r="AC1205" s="123"/>
      <c r="AD1205" s="123"/>
      <c r="AE1205" s="123"/>
      <c r="AF1205" s="123"/>
      <c r="AG1205" s="123"/>
      <c r="AH1205" s="123"/>
      <c r="AI1205" s="123"/>
      <c r="AJ1205" s="123"/>
      <c r="AK1205" s="123"/>
    </row>
    <row r="1206" spans="1:37" ht="14.4" thickTop="1">
      <c r="A1206" s="105"/>
      <c r="B1206" s="581" t="s">
        <v>71</v>
      </c>
      <c r="C1206" s="6"/>
      <c r="D1206" s="106"/>
      <c r="E1206" s="107" t="s">
        <v>158</v>
      </c>
      <c r="F1206" s="108"/>
      <c r="G1206" s="108"/>
      <c r="H1206" s="108"/>
      <c r="I1206" s="108"/>
      <c r="J1206" s="108"/>
      <c r="K1206" s="108"/>
      <c r="L1206" s="108"/>
      <c r="M1206" s="108"/>
      <c r="N1206" s="108"/>
      <c r="O1206" s="109"/>
      <c r="P1206" s="108"/>
      <c r="Q1206" s="110"/>
      <c r="R1206" s="111">
        <f ca="1">SUM(R1207:R1262)</f>
        <v>44694.398898079453</v>
      </c>
      <c r="S1206" s="112"/>
      <c r="T1206" s="111">
        <f ca="1">SUM(T1207:T1262)</f>
        <v>2743.5679999999998</v>
      </c>
    </row>
    <row r="1207" spans="1:37">
      <c r="A1207" s="113"/>
      <c r="B1207" s="548">
        <v>1</v>
      </c>
      <c r="C1207" s="6" t="s">
        <v>73</v>
      </c>
      <c r="D1207" s="36" t="s">
        <v>74</v>
      </c>
      <c r="F1207" s="114">
        <v>501</v>
      </c>
      <c r="O1207" s="115"/>
      <c r="P1207" s="36">
        <v>1</v>
      </c>
      <c r="R1207" s="116">
        <f ca="1">SUMIF($H$13:$H$1185,$F1207,R$13:R$1185)+Elec_Rates!R355</f>
        <v>1910.7237956204381</v>
      </c>
      <c r="S1207" s="117"/>
      <c r="T1207" s="116">
        <f ca="1">SUMIF($H$13:$H$1185,$F1207,T$13:T$1185)+Elec_Rates!T355</f>
        <v>27.75</v>
      </c>
    </row>
    <row r="1208" spans="1:37">
      <c r="A1208" s="113"/>
      <c r="B1208" s="548">
        <v>2</v>
      </c>
      <c r="C1208" s="6" t="s">
        <v>73</v>
      </c>
      <c r="D1208" s="36" t="s">
        <v>75</v>
      </c>
      <c r="F1208" s="114">
        <v>505</v>
      </c>
      <c r="O1208" s="115"/>
      <c r="P1208" s="36">
        <v>1</v>
      </c>
      <c r="R1208" s="116">
        <f>SUMIF($H$13:$H$1185,$F1208,R$13:R$1185)+Elec_Rates!R356</f>
        <v>0</v>
      </c>
      <c r="S1208" s="117"/>
      <c r="T1208" s="116">
        <f>SUMIF($H$13:$H$1185,$F1208,T$13:T$1185)+Elec_Rates!T356</f>
        <v>0</v>
      </c>
    </row>
    <row r="1209" spans="1:37">
      <c r="A1209" s="113"/>
      <c r="B1209" s="548">
        <v>3</v>
      </c>
      <c r="C1209" s="6" t="s">
        <v>73</v>
      </c>
      <c r="D1209" s="36" t="s">
        <v>76</v>
      </c>
      <c r="F1209" s="114">
        <v>510</v>
      </c>
      <c r="O1209" s="115"/>
      <c r="P1209" s="36">
        <v>2</v>
      </c>
      <c r="R1209" s="116">
        <f>SUMIF($H$13:$H$1185,$F1209,R$13:R$1185)+Elec_Rates!R357</f>
        <v>479.09999999999997</v>
      </c>
      <c r="S1209" s="117"/>
      <c r="T1209" s="116">
        <f>SUMIF($H$13:$H$1185,$F1209,T$13:T$1185)+Elec_Rates!T357</f>
        <v>69</v>
      </c>
    </row>
    <row r="1210" spans="1:37">
      <c r="A1210" s="113"/>
      <c r="B1210" s="548">
        <v>4</v>
      </c>
      <c r="C1210" s="6" t="s">
        <v>73</v>
      </c>
      <c r="D1210" s="36" t="s">
        <v>77</v>
      </c>
      <c r="F1210" s="114">
        <v>511</v>
      </c>
      <c r="O1210" s="115"/>
      <c r="P1210" s="36">
        <v>2</v>
      </c>
      <c r="R1210" s="116">
        <f>SUMIF($H$13:$H$1185,$F1210,R$13:R$1185)+Elec_Rates!R358</f>
        <v>0</v>
      </c>
      <c r="S1210" s="117"/>
      <c r="T1210" s="116">
        <f>SUMIF($H$13:$H$1185,$F1210,T$13:T$1185)+Elec_Rates!T358</f>
        <v>0</v>
      </c>
    </row>
    <row r="1211" spans="1:37">
      <c r="A1211" s="113"/>
      <c r="B1211" s="548">
        <v>5</v>
      </c>
      <c r="C1211" s="6" t="s">
        <v>73</v>
      </c>
      <c r="D1211" s="36" t="s">
        <v>78</v>
      </c>
      <c r="F1211" s="114">
        <v>512</v>
      </c>
      <c r="O1211" s="115"/>
      <c r="P1211" s="36">
        <v>2</v>
      </c>
      <c r="R1211" s="116">
        <f>SUMIF($H$13:$H$1185,$F1211,R$13:R$1185)+Elec_Rates!R359</f>
        <v>0</v>
      </c>
      <c r="S1211" s="117"/>
      <c r="T1211" s="116">
        <f>SUMIF($H$13:$H$1185,$F1211,T$13:T$1185)+Elec_Rates!T359</f>
        <v>0</v>
      </c>
    </row>
    <row r="1212" spans="1:37">
      <c r="A1212" s="113"/>
      <c r="B1212" s="548">
        <v>6</v>
      </c>
      <c r="C1212" s="6" t="s">
        <v>73</v>
      </c>
      <c r="D1212" s="36" t="s">
        <v>79</v>
      </c>
      <c r="F1212" s="114">
        <v>520</v>
      </c>
      <c r="O1212" s="115"/>
      <c r="P1212" s="36">
        <v>1</v>
      </c>
      <c r="R1212" s="116">
        <f>SUMIF($H$13:$H$1185,$F1212,R$13:R$1185)+Elec_Rates!R360</f>
        <v>0</v>
      </c>
      <c r="S1212" s="117"/>
      <c r="T1212" s="116">
        <f>SUMIF($H$13:$H$1185,$F1212,T$13:T$1185)+Elec_Rates!T360</f>
        <v>0</v>
      </c>
    </row>
    <row r="1213" spans="1:37">
      <c r="A1213" s="113"/>
      <c r="B1213" s="548">
        <v>7</v>
      </c>
      <c r="C1213" s="6" t="s">
        <v>73</v>
      </c>
      <c r="D1213" s="36" t="s">
        <v>80</v>
      </c>
      <c r="F1213" s="114">
        <v>530</v>
      </c>
      <c r="O1213" s="115"/>
      <c r="P1213" s="36">
        <v>2</v>
      </c>
      <c r="R1213" s="116">
        <f>SUMIF($H$13:$H$1185,$F1213,R$13:R$1185)+Elec_Rates!R361</f>
        <v>0</v>
      </c>
      <c r="S1213" s="117"/>
      <c r="T1213" s="116">
        <f>SUMIF($H$13:$H$1185,$F1213,T$13:T$1185)+Elec_Rates!T361</f>
        <v>0</v>
      </c>
    </row>
    <row r="1214" spans="1:37">
      <c r="A1214" s="113"/>
      <c r="B1214" s="548">
        <v>8</v>
      </c>
      <c r="C1214" s="6" t="s">
        <v>73</v>
      </c>
      <c r="D1214" s="36" t="s">
        <v>81</v>
      </c>
      <c r="F1214" s="114">
        <v>550</v>
      </c>
      <c r="O1214" s="115"/>
      <c r="P1214" s="36">
        <v>2</v>
      </c>
      <c r="R1214" s="116">
        <f>SUMIF($H$13:$H$1185,$F1214,R$13:R$1185)+Elec_Rates!R362</f>
        <v>0</v>
      </c>
      <c r="S1214" s="117"/>
      <c r="T1214" s="116">
        <f>SUMIF($H$13:$H$1185,$F1214,T$13:T$1185)+Elec_Rates!T362</f>
        <v>0</v>
      </c>
    </row>
    <row r="1215" spans="1:37">
      <c r="A1215" s="113"/>
      <c r="B1215" s="548">
        <v>9</v>
      </c>
      <c r="C1215" s="6" t="s">
        <v>73</v>
      </c>
      <c r="D1215" s="36" t="s">
        <v>82</v>
      </c>
      <c r="F1215" s="114">
        <v>570</v>
      </c>
      <c r="O1215" s="115"/>
      <c r="P1215" s="36">
        <v>2</v>
      </c>
      <c r="R1215" s="116">
        <f>SUMIF($H$13:$H$1185,$F1215,R$13:R$1185)+Elec_Rates!R363</f>
        <v>5545.86</v>
      </c>
      <c r="S1215" s="117"/>
      <c r="T1215" s="116">
        <f>SUMIF($H$13:$H$1185,$F1215,T$13:T$1185)+Elec_Rates!T363</f>
        <v>55</v>
      </c>
    </row>
    <row r="1216" spans="1:37">
      <c r="A1216" s="113"/>
      <c r="B1216" s="548">
        <v>10</v>
      </c>
      <c r="C1216" s="6" t="s">
        <v>73</v>
      </c>
      <c r="D1216" s="36" t="s">
        <v>83</v>
      </c>
      <c r="F1216" s="114">
        <v>615</v>
      </c>
      <c r="O1216" s="115"/>
      <c r="P1216" s="36">
        <v>2</v>
      </c>
      <c r="R1216" s="116">
        <f ca="1">SUMIF($H$13:$H$1185,$F1216,R$13:R$1185)+Elec_Rates!R364</f>
        <v>122.81</v>
      </c>
      <c r="S1216" s="117"/>
      <c r="T1216" s="116">
        <f ca="1">SUMIF($H$13:$H$1185,$F1216,T$13:T$1185)+Elec_Rates!T364</f>
        <v>1.9550000000000001</v>
      </c>
    </row>
    <row r="1217" spans="1:20">
      <c r="A1217" s="113"/>
      <c r="B1217" s="548">
        <v>11</v>
      </c>
      <c r="C1217" s="6" t="s">
        <v>73</v>
      </c>
      <c r="D1217" s="36" t="s">
        <v>85</v>
      </c>
      <c r="F1217" s="114">
        <v>616</v>
      </c>
      <c r="O1217" s="115"/>
      <c r="P1217" s="36">
        <v>2</v>
      </c>
      <c r="R1217" s="116">
        <f ca="1">SUMIF($H$13:$H$1185,$F1217,R$13:R$1185)+Elec_Rates!R365</f>
        <v>3151</v>
      </c>
      <c r="S1217" s="117"/>
      <c r="T1217" s="116">
        <f ca="1">SUMIF($H$13:$H$1185,$F1217,T$13:T$1185)+Elec_Rates!T365</f>
        <v>40.799999999999997</v>
      </c>
    </row>
    <row r="1218" spans="1:20">
      <c r="A1218" s="113"/>
      <c r="B1218" s="548">
        <v>12</v>
      </c>
      <c r="C1218" s="6" t="s">
        <v>73</v>
      </c>
      <c r="D1218" s="36" t="s">
        <v>86</v>
      </c>
      <c r="F1218" s="114">
        <v>617</v>
      </c>
      <c r="O1218" s="115"/>
      <c r="P1218" s="36">
        <v>2</v>
      </c>
      <c r="R1218" s="116">
        <f ca="1">SUMIF($H$13:$H$1185,$F1218,R$13:R$1185)+Elec_Rates!R366</f>
        <v>9996.6188524590161</v>
      </c>
      <c r="S1218" s="117"/>
      <c r="T1218" s="116">
        <f ca="1">SUMIF($H$13:$H$1185,$F1218,T$13:T$1185)+Elec_Rates!T366</f>
        <v>677.6</v>
      </c>
    </row>
    <row r="1219" spans="1:20">
      <c r="A1219" s="113"/>
      <c r="B1219" s="548">
        <v>13</v>
      </c>
      <c r="C1219" s="6" t="s">
        <v>73</v>
      </c>
      <c r="D1219" s="36" t="s">
        <v>159</v>
      </c>
      <c r="F1219" s="114">
        <v>620</v>
      </c>
      <c r="O1219" s="115"/>
      <c r="P1219" s="36">
        <v>2</v>
      </c>
      <c r="R1219" s="116">
        <f ca="1">SUMIF($H$13:$H$1185,$F1219,R$13:R$1185)+Elec_Rates!R367</f>
        <v>2136.9400000000005</v>
      </c>
      <c r="S1219" s="117"/>
      <c r="T1219" s="116">
        <f ca="1">SUMIF($H$13:$H$1185,$F1219,T$13:T$1185)+Elec_Rates!T367</f>
        <v>190.78799999999998</v>
      </c>
    </row>
    <row r="1220" spans="1:20">
      <c r="A1220" s="113"/>
      <c r="B1220" s="548">
        <v>14</v>
      </c>
      <c r="C1220" s="6" t="s">
        <v>73</v>
      </c>
      <c r="D1220" s="36" t="s">
        <v>88</v>
      </c>
      <c r="F1220" s="114">
        <v>650</v>
      </c>
      <c r="O1220" s="115"/>
      <c r="P1220" s="36">
        <v>1</v>
      </c>
      <c r="R1220" s="116">
        <f ca="1">SUMIF($H$13:$H$1185,$F1220,R$13:R$1185)+Elec_Rates!R368</f>
        <v>597.77625</v>
      </c>
      <c r="S1220" s="117"/>
      <c r="T1220" s="116">
        <f ca="1">SUMIF($H$13:$H$1185,$F1220,T$13:T$1185)+Elec_Rates!T368</f>
        <v>30</v>
      </c>
    </row>
    <row r="1221" spans="1:20">
      <c r="A1221" s="113"/>
      <c r="B1221" s="548">
        <v>15</v>
      </c>
      <c r="C1221" s="6" t="s">
        <v>73</v>
      </c>
      <c r="D1221" s="36" t="s">
        <v>89</v>
      </c>
      <c r="F1221" s="114">
        <v>651</v>
      </c>
      <c r="O1221" s="115"/>
      <c r="P1221" s="36">
        <v>1</v>
      </c>
      <c r="R1221" s="116">
        <f>SUMIF($H$13:$H$1185,$F1221,R$13:R$1185)+Elec_Rates!R369</f>
        <v>0</v>
      </c>
      <c r="S1221" s="117"/>
      <c r="T1221" s="116">
        <f>SUMIF($H$13:$H$1185,$F1221,T$13:T$1185)+Elec_Rates!T369</f>
        <v>0</v>
      </c>
    </row>
    <row r="1222" spans="1:20">
      <c r="A1222" s="113"/>
      <c r="B1222" s="548">
        <v>16</v>
      </c>
      <c r="C1222" s="6" t="s">
        <v>73</v>
      </c>
      <c r="D1222" s="36" t="s">
        <v>90</v>
      </c>
      <c r="F1222" s="114">
        <v>652</v>
      </c>
      <c r="O1222" s="115"/>
      <c r="P1222" s="36">
        <v>1</v>
      </c>
      <c r="R1222" s="116">
        <f>SUMIF($H$13:$H$1185,$F1222,R$13:R$1185)+Elec_Rates!R370</f>
        <v>0</v>
      </c>
      <c r="S1222" s="117"/>
      <c r="T1222" s="116">
        <f>SUMIF($H$13:$H$1185,$F1222,T$13:T$1185)+Elec_Rates!T370</f>
        <v>0</v>
      </c>
    </row>
    <row r="1223" spans="1:20">
      <c r="A1223" s="113"/>
      <c r="B1223" s="548">
        <v>17</v>
      </c>
      <c r="C1223" s="6" t="s">
        <v>73</v>
      </c>
      <c r="D1223" s="36" t="s">
        <v>91</v>
      </c>
      <c r="F1223" s="114">
        <v>654</v>
      </c>
      <c r="O1223" s="115"/>
      <c r="P1223" s="36">
        <v>1</v>
      </c>
      <c r="R1223" s="116">
        <f>SUMIF($H$13:$H$1185,$F1223,R$13:R$1185)+Elec_Rates!R371</f>
        <v>0</v>
      </c>
      <c r="S1223" s="117"/>
      <c r="T1223" s="116">
        <f>SUMIF($H$13:$H$1185,$F1223,T$13:T$1185)+Elec_Rates!T371</f>
        <v>1.35</v>
      </c>
    </row>
    <row r="1224" spans="1:20">
      <c r="A1224" s="113"/>
      <c r="B1224" s="548">
        <v>18</v>
      </c>
      <c r="C1224" s="6" t="s">
        <v>73</v>
      </c>
      <c r="D1224" s="36" t="s">
        <v>92</v>
      </c>
      <c r="F1224" s="114">
        <v>675</v>
      </c>
      <c r="O1224" s="115"/>
      <c r="P1224" s="36">
        <v>1</v>
      </c>
      <c r="R1224" s="116">
        <f>SUMIF($H$13:$H$1185,$F1224,R$13:R$1185)+Elec_Rates!R372</f>
        <v>0</v>
      </c>
      <c r="S1224" s="117"/>
      <c r="T1224" s="116">
        <f>SUMIF($H$13:$H$1185,$F1224,T$13:T$1185)+Elec_Rates!T372</f>
        <v>0</v>
      </c>
    </row>
    <row r="1225" spans="1:20">
      <c r="A1225" s="113"/>
      <c r="B1225" s="548">
        <v>19</v>
      </c>
      <c r="C1225" s="6" t="s">
        <v>73</v>
      </c>
      <c r="D1225" s="36" t="s">
        <v>93</v>
      </c>
      <c r="F1225" s="114">
        <v>676</v>
      </c>
      <c r="O1225" s="115"/>
      <c r="P1225" s="36">
        <v>1</v>
      </c>
      <c r="R1225" s="116">
        <f>SUMIF($H$13:$H$1185,$F1225,R$13:R$1185)+Elec_Rates!R373</f>
        <v>0</v>
      </c>
      <c r="S1225" s="117"/>
      <c r="T1225" s="116">
        <f>SUMIF($H$13:$H$1185,$F1225,T$13:T$1185)+Elec_Rates!T373</f>
        <v>0</v>
      </c>
    </row>
    <row r="1226" spans="1:20">
      <c r="A1226" s="113"/>
      <c r="B1226" s="548">
        <v>20</v>
      </c>
      <c r="C1226" s="6" t="s">
        <v>73</v>
      </c>
      <c r="D1226" s="36" t="s">
        <v>94</v>
      </c>
      <c r="F1226" s="114">
        <v>680</v>
      </c>
      <c r="O1226" s="115"/>
      <c r="P1226" s="36">
        <v>1</v>
      </c>
      <c r="R1226" s="116">
        <f>SUMIF($H$13:$H$1185,$F1226,R$13:R$1185)+Elec_Rates!R374</f>
        <v>0</v>
      </c>
      <c r="S1226" s="117"/>
      <c r="T1226" s="116">
        <f>SUMIF($H$13:$H$1185,$F1226,T$13:T$1185)+Elec_Rates!T374</f>
        <v>0</v>
      </c>
    </row>
    <row r="1227" spans="1:20">
      <c r="A1227" s="113"/>
      <c r="B1227" s="548">
        <v>21</v>
      </c>
      <c r="C1227" s="6" t="s">
        <v>73</v>
      </c>
      <c r="D1227" s="36" t="s">
        <v>96</v>
      </c>
      <c r="F1227" s="114">
        <v>681</v>
      </c>
      <c r="O1227" s="115"/>
      <c r="P1227" s="36">
        <v>1</v>
      </c>
      <c r="R1227" s="116">
        <f>SUMIF($H$13:$H$1185,$F1227,R$13:R$1185)+Elec_Rates!R375</f>
        <v>0</v>
      </c>
      <c r="S1227" s="117"/>
      <c r="T1227" s="116">
        <f>SUMIF($H$13:$H$1185,$F1227,T$13:T$1185)+Elec_Rates!T375</f>
        <v>0</v>
      </c>
    </row>
    <row r="1228" spans="1:20">
      <c r="A1228" s="113"/>
      <c r="B1228" s="548">
        <v>22</v>
      </c>
      <c r="C1228" s="6" t="s">
        <v>73</v>
      </c>
      <c r="D1228" s="36" t="s">
        <v>97</v>
      </c>
      <c r="F1228" s="114">
        <v>690</v>
      </c>
      <c r="O1228" s="115"/>
      <c r="P1228" s="36">
        <v>1</v>
      </c>
      <c r="R1228" s="116">
        <f ca="1">SUMIF($H$13:$H$1185,$F1228,R$13:R$1185)+Elec_Rates!R376</f>
        <v>19232.34</v>
      </c>
      <c r="S1228" s="117"/>
      <c r="T1228" s="116">
        <f ca="1">SUMIF($H$13:$H$1185,$F1228,T$13:T$1185)+Elec_Rates!T376</f>
        <v>1166.73</v>
      </c>
    </row>
    <row r="1229" spans="1:20">
      <c r="A1229" s="113"/>
      <c r="B1229" s="548">
        <v>23</v>
      </c>
      <c r="C1229" s="6" t="s">
        <v>73</v>
      </c>
      <c r="D1229" s="36" t="s">
        <v>98</v>
      </c>
      <c r="F1229" s="114">
        <v>700</v>
      </c>
      <c r="O1229" s="115"/>
      <c r="P1229" s="36">
        <v>1</v>
      </c>
      <c r="R1229" s="116">
        <f>SUMIF($H$13:$H$1185,$F1229,R$13:R$1185)+Elec_Rates!R377</f>
        <v>0</v>
      </c>
      <c r="S1229" s="117"/>
      <c r="T1229" s="116">
        <f>SUMIF($H$13:$H$1185,$F1229,T$13:T$1185)+Elec_Rates!T377</f>
        <v>0</v>
      </c>
    </row>
    <row r="1230" spans="1:20">
      <c r="A1230" s="113"/>
      <c r="B1230" s="548">
        <v>24</v>
      </c>
      <c r="C1230" s="6" t="s">
        <v>73</v>
      </c>
      <c r="D1230" s="36" t="s">
        <v>99</v>
      </c>
      <c r="F1230" s="114">
        <v>705</v>
      </c>
      <c r="O1230" s="115"/>
      <c r="P1230" s="36">
        <v>3</v>
      </c>
      <c r="R1230" s="116">
        <f ca="1">SUMIF($H$13:$H$1185,$F1230,R$13:R$1185)+Elec_Rates!R378</f>
        <v>62.06</v>
      </c>
      <c r="S1230" s="117"/>
      <c r="T1230" s="116">
        <f ca="1">SUMIF($H$13:$H$1185,$F1230,T$13:T$1185)+Elec_Rates!T378</f>
        <v>2.9050000000000002</v>
      </c>
    </row>
    <row r="1231" spans="1:20">
      <c r="A1231" s="113"/>
      <c r="B1231" s="548">
        <v>25</v>
      </c>
      <c r="C1231" s="6" t="s">
        <v>73</v>
      </c>
      <c r="D1231" s="36" t="s">
        <v>100</v>
      </c>
      <c r="F1231" s="114">
        <v>706</v>
      </c>
      <c r="O1231" s="115"/>
      <c r="P1231" s="36">
        <v>3</v>
      </c>
      <c r="R1231" s="116">
        <f>SUMIF($H$13:$H$1185,$F1231,R$13:R$1185)+Elec_Rates!R379</f>
        <v>0</v>
      </c>
      <c r="S1231" s="117"/>
      <c r="T1231" s="116">
        <f>SUMIF($H$13:$H$1185,$F1231,T$13:T$1185)+Elec_Rates!T379</f>
        <v>0</v>
      </c>
    </row>
    <row r="1232" spans="1:20">
      <c r="A1232" s="113"/>
      <c r="B1232" s="548">
        <v>26</v>
      </c>
      <c r="C1232" s="6" t="s">
        <v>73</v>
      </c>
      <c r="D1232" s="36" t="s">
        <v>101</v>
      </c>
      <c r="F1232" s="114">
        <v>725</v>
      </c>
      <c r="O1232" s="115"/>
      <c r="P1232" s="36">
        <v>3</v>
      </c>
      <c r="R1232" s="116">
        <f>SUMIF($H$13:$H$1185,$F1232,R$13:R$1185)+Elec_Rates!R380</f>
        <v>0</v>
      </c>
      <c r="S1232" s="117"/>
      <c r="T1232" s="116">
        <f>SUMIF($H$13:$H$1185,$F1232,T$13:T$1185)+Elec_Rates!T380</f>
        <v>0</v>
      </c>
    </row>
    <row r="1233" spans="1:20">
      <c r="A1233" s="113"/>
      <c r="B1233" s="548">
        <v>27</v>
      </c>
      <c r="C1233" s="6" t="s">
        <v>73</v>
      </c>
      <c r="D1233" s="36" t="s">
        <v>102</v>
      </c>
      <c r="F1233" s="114">
        <v>726</v>
      </c>
      <c r="O1233" s="115"/>
      <c r="P1233" s="36">
        <v>3</v>
      </c>
      <c r="R1233" s="116">
        <f>SUMIF($H$13:$H$1185,$F1233,R$13:R$1185)+Elec_Rates!R381</f>
        <v>0</v>
      </c>
      <c r="S1233" s="117"/>
      <c r="T1233" s="116">
        <f>SUMIF($H$13:$H$1185,$F1233,T$13:T$1185)+Elec_Rates!T381</f>
        <v>0</v>
      </c>
    </row>
    <row r="1234" spans="1:20">
      <c r="A1234" s="113"/>
      <c r="B1234" s="548">
        <v>28</v>
      </c>
      <c r="C1234" s="6" t="s">
        <v>73</v>
      </c>
      <c r="D1234" s="36" t="s">
        <v>103</v>
      </c>
      <c r="F1234" s="114">
        <v>750</v>
      </c>
      <c r="O1234" s="115"/>
      <c r="P1234" s="36">
        <v>3</v>
      </c>
      <c r="R1234" s="116">
        <f>SUMIF($H$13:$H$1185,$F1234,R$13:R$1185)+Elec_Rates!R382</f>
        <v>0</v>
      </c>
      <c r="S1234" s="117"/>
      <c r="T1234" s="116">
        <f>SUMIF($H$13:$H$1185,$F1234,T$13:T$1185)+Elec_Rates!T382</f>
        <v>0</v>
      </c>
    </row>
    <row r="1235" spans="1:20">
      <c r="A1235" s="113"/>
      <c r="B1235" s="548">
        <v>29</v>
      </c>
      <c r="C1235" s="6" t="s">
        <v>73</v>
      </c>
      <c r="D1235" s="36" t="s">
        <v>104</v>
      </c>
      <c r="F1235" s="114">
        <v>751</v>
      </c>
      <c r="O1235" s="115"/>
      <c r="P1235" s="36">
        <v>3</v>
      </c>
      <c r="R1235" s="116">
        <f>SUMIF($H$13:$H$1185,$F1235,R$13:R$1185)+Elec_Rates!R383</f>
        <v>0</v>
      </c>
      <c r="S1235" s="117"/>
      <c r="T1235" s="116">
        <f>SUMIF($H$13:$H$1185,$F1235,T$13:T$1185)+Elec_Rates!T383</f>
        <v>0</v>
      </c>
    </row>
    <row r="1236" spans="1:20">
      <c r="A1236" s="113"/>
      <c r="B1236" s="548">
        <v>30</v>
      </c>
      <c r="C1236" s="6" t="s">
        <v>73</v>
      </c>
      <c r="D1236" s="36" t="s">
        <v>105</v>
      </c>
      <c r="F1236" s="114">
        <v>752</v>
      </c>
      <c r="O1236" s="115"/>
      <c r="P1236" s="36">
        <v>3</v>
      </c>
      <c r="R1236" s="116">
        <f>SUMIF($H$13:$H$1185,$F1236,R$13:R$1185)+Elec_Rates!R384</f>
        <v>0</v>
      </c>
      <c r="S1236" s="117"/>
      <c r="T1236" s="116">
        <f>SUMIF($H$13:$H$1185,$F1236,T$13:T$1185)+Elec_Rates!T384</f>
        <v>0</v>
      </c>
    </row>
    <row r="1237" spans="1:20">
      <c r="A1237" s="113"/>
      <c r="B1237" s="548">
        <v>31</v>
      </c>
      <c r="C1237" s="6" t="s">
        <v>73</v>
      </c>
      <c r="D1237" s="618" t="s">
        <v>294</v>
      </c>
      <c r="F1237" s="114">
        <v>753</v>
      </c>
      <c r="O1237" s="115"/>
      <c r="P1237" s="36">
        <v>3</v>
      </c>
      <c r="R1237" s="116">
        <f>SUMIF($H$13:$H$1185,$F1237,R$13:R$1185)+Elec_Rates!R385</f>
        <v>0</v>
      </c>
      <c r="S1237" s="117"/>
      <c r="T1237" s="116">
        <f>SUMIF($H$13:$H$1185,$F1237,T$13:T$1185)+Elec_Rates!T385</f>
        <v>0</v>
      </c>
    </row>
    <row r="1238" spans="1:20">
      <c r="A1238" s="113"/>
      <c r="B1238" s="548">
        <v>32</v>
      </c>
      <c r="C1238" s="6" t="s">
        <v>73</v>
      </c>
      <c r="D1238" s="36" t="s">
        <v>107</v>
      </c>
      <c r="F1238" s="114">
        <v>770</v>
      </c>
      <c r="O1238" s="115"/>
      <c r="P1238" s="36">
        <v>3</v>
      </c>
      <c r="R1238" s="116">
        <f>SUMIF($H$13:$H$1185,$F1238,R$13:R$1185)+Elec_Rates!R386</f>
        <v>0</v>
      </c>
      <c r="S1238" s="117"/>
      <c r="T1238" s="116">
        <f>SUMIF($H$13:$H$1185,$F1238,T$13:T$1185)+Elec_Rates!T386</f>
        <v>0</v>
      </c>
    </row>
    <row r="1239" spans="1:20">
      <c r="A1239" s="113"/>
      <c r="B1239" s="548">
        <v>33</v>
      </c>
      <c r="C1239" s="6" t="s">
        <v>73</v>
      </c>
      <c r="D1239" s="36" t="s">
        <v>108</v>
      </c>
      <c r="F1239" s="114">
        <v>790</v>
      </c>
      <c r="O1239" s="115"/>
      <c r="P1239" s="36">
        <v>3</v>
      </c>
      <c r="R1239" s="116">
        <f>SUMIF($H$13:$H$1185,$F1239,R$13:R$1185)+Elec_Rates!R387</f>
        <v>0</v>
      </c>
      <c r="S1239" s="117"/>
      <c r="T1239" s="116">
        <f>SUMIF($H$13:$H$1185,$F1239,T$13:T$1185)+Elec_Rates!T387</f>
        <v>0</v>
      </c>
    </row>
    <row r="1240" spans="1:20">
      <c r="A1240" s="113"/>
      <c r="B1240" s="548">
        <v>34</v>
      </c>
      <c r="C1240" s="6" t="s">
        <v>73</v>
      </c>
      <c r="D1240" s="36" t="s">
        <v>109</v>
      </c>
      <c r="F1240" s="114">
        <v>791</v>
      </c>
      <c r="O1240" s="115"/>
      <c r="P1240" s="36">
        <v>3</v>
      </c>
      <c r="R1240" s="116">
        <f>SUMIF($H$13:$H$1185,$F1240,R$13:R$1185)+Elec_Rates!R388</f>
        <v>0</v>
      </c>
      <c r="S1240" s="117"/>
      <c r="T1240" s="116">
        <f>SUMIF($H$13:$H$1185,$F1240,T$13:T$1185)+Elec_Rates!T388</f>
        <v>0</v>
      </c>
    </row>
    <row r="1241" spans="1:20">
      <c r="A1241" s="113"/>
      <c r="B1241" s="548">
        <v>35</v>
      </c>
      <c r="C1241" s="6" t="s">
        <v>73</v>
      </c>
      <c r="D1241" s="36" t="s">
        <v>110</v>
      </c>
      <c r="F1241" s="114">
        <v>810</v>
      </c>
      <c r="O1241" s="115"/>
      <c r="P1241" s="36">
        <v>3</v>
      </c>
      <c r="R1241" s="116">
        <f>SUMIF($H$13:$H$1185,$F1241,R$13:R$1185)+Elec_Rates!R389</f>
        <v>350</v>
      </c>
      <c r="S1241" s="117"/>
      <c r="T1241" s="116">
        <f>SUMIF($H$13:$H$1185,$F1241,T$13:T$1185)+Elec_Rates!T389</f>
        <v>2</v>
      </c>
    </row>
    <row r="1242" spans="1:20">
      <c r="A1242" s="113"/>
      <c r="B1242" s="548">
        <v>36</v>
      </c>
      <c r="C1242" s="6" t="s">
        <v>73</v>
      </c>
      <c r="D1242" s="36" t="s">
        <v>111</v>
      </c>
      <c r="F1242" s="114">
        <v>815</v>
      </c>
      <c r="O1242" s="115"/>
      <c r="P1242" s="36">
        <v>3</v>
      </c>
      <c r="R1242" s="116">
        <f>SUMIF($H$13:$H$1185,$F1242,R$13:R$1185)+Elec_Rates!R390</f>
        <v>0</v>
      </c>
      <c r="S1242" s="117"/>
      <c r="T1242" s="116">
        <f>SUMIF($H$13:$H$1185,$F1242,T$13:T$1185)+Elec_Rates!T390</f>
        <v>0</v>
      </c>
    </row>
    <row r="1243" spans="1:20">
      <c r="A1243" s="113"/>
      <c r="B1243" s="548">
        <v>37</v>
      </c>
      <c r="C1243" s="6" t="s">
        <v>73</v>
      </c>
      <c r="D1243" s="36" t="s">
        <v>112</v>
      </c>
      <c r="F1243" s="114">
        <v>820</v>
      </c>
      <c r="O1243" s="115"/>
      <c r="P1243" s="36">
        <v>2</v>
      </c>
      <c r="R1243" s="116">
        <f>SUMIF($H$13:$H$1185,$F1243,R$13:R$1185)+Elec_Rates!R391</f>
        <v>0</v>
      </c>
      <c r="S1243" s="117"/>
      <c r="T1243" s="116">
        <f>SUMIF($H$13:$H$1185,$F1243,T$13:T$1185)+Elec_Rates!T391</f>
        <v>0</v>
      </c>
    </row>
    <row r="1244" spans="1:20">
      <c r="A1244" s="113"/>
      <c r="B1244" s="548">
        <v>38</v>
      </c>
      <c r="C1244" s="6" t="s">
        <v>73</v>
      </c>
      <c r="D1244" s="36" t="s">
        <v>113</v>
      </c>
      <c r="F1244" s="114">
        <v>821</v>
      </c>
      <c r="O1244" s="115"/>
      <c r="P1244" s="36">
        <v>3</v>
      </c>
      <c r="R1244" s="116">
        <f ca="1">SUMIF($H$13:$H$1185,$F1244,R$13:R$1185)+Elec_Rates!R392</f>
        <v>25</v>
      </c>
      <c r="S1244" s="117"/>
      <c r="T1244" s="116">
        <f ca="1">SUMIF($H$13:$H$1185,$F1244,T$13:T$1185)+Elec_Rates!T392</f>
        <v>4.1800000000000006</v>
      </c>
    </row>
    <row r="1245" spans="1:20">
      <c r="A1245" s="113"/>
      <c r="B1245" s="548">
        <v>39</v>
      </c>
      <c r="C1245" s="6" t="s">
        <v>73</v>
      </c>
      <c r="D1245" s="36" t="s">
        <v>114</v>
      </c>
      <c r="F1245" s="114">
        <v>835</v>
      </c>
      <c r="O1245" s="115"/>
      <c r="P1245" s="36">
        <v>3</v>
      </c>
      <c r="R1245" s="116">
        <f ca="1">SUMIF($H$13:$H$1185,$F1245,R$13:R$1185)+Elec_Rates!R393</f>
        <v>0</v>
      </c>
      <c r="S1245" s="117"/>
      <c r="T1245" s="116">
        <f ca="1">SUMIF($H$13:$H$1185,$F1245,T$13:T$1185)+Elec_Rates!T393</f>
        <v>0</v>
      </c>
    </row>
    <row r="1246" spans="1:20">
      <c r="A1246" s="113"/>
      <c r="B1246" s="548">
        <v>40</v>
      </c>
      <c r="C1246" s="6" t="s">
        <v>73</v>
      </c>
      <c r="D1246" s="36" t="s">
        <v>115</v>
      </c>
      <c r="F1246" s="114">
        <v>845</v>
      </c>
      <c r="O1246" s="115"/>
      <c r="P1246" s="36">
        <v>2</v>
      </c>
      <c r="R1246" s="116">
        <f>SUMIF($H$13:$H$1185,$F1246,R$13:R$1185)+Elec_Rates!R394</f>
        <v>0</v>
      </c>
      <c r="S1246" s="117"/>
      <c r="T1246" s="116">
        <f>SUMIF($H$13:$H$1185,$F1246,T$13:T$1185)+Elec_Rates!T394</f>
        <v>0</v>
      </c>
    </row>
    <row r="1247" spans="1:20">
      <c r="A1247" s="113"/>
      <c r="B1247" s="548">
        <v>41</v>
      </c>
      <c r="C1247" s="6" t="s">
        <v>73</v>
      </c>
      <c r="D1247" s="36" t="s">
        <v>117</v>
      </c>
      <c r="F1247" s="114">
        <v>855</v>
      </c>
      <c r="O1247" s="115"/>
      <c r="P1247" s="36">
        <v>3</v>
      </c>
      <c r="R1247" s="116">
        <f>SUMIF($H$13:$H$1185,$F1247,R$13:R$1185)+Elec_Rates!R395</f>
        <v>0</v>
      </c>
      <c r="S1247" s="117"/>
      <c r="T1247" s="116">
        <f>SUMIF($H$13:$H$1185,$F1247,T$13:T$1185)+Elec_Rates!T395</f>
        <v>0</v>
      </c>
    </row>
    <row r="1248" spans="1:20">
      <c r="A1248" s="113"/>
      <c r="B1248" s="548">
        <v>42</v>
      </c>
      <c r="C1248" s="6" t="s">
        <v>73</v>
      </c>
      <c r="D1248" s="36" t="s">
        <v>118</v>
      </c>
      <c r="F1248" s="114">
        <v>856</v>
      </c>
      <c r="O1248" s="115"/>
      <c r="P1248" s="36">
        <v>3</v>
      </c>
      <c r="R1248" s="116">
        <f>SUMIF($H$13:$H$1185,$F1248,R$13:R$1185)+Elec_Rates!R396</f>
        <v>0</v>
      </c>
      <c r="S1248" s="117"/>
      <c r="T1248" s="116">
        <f>SUMIF($H$13:$H$1185,$F1248,T$13:T$1185)+Elec_Rates!T396</f>
        <v>0</v>
      </c>
    </row>
    <row r="1249" spans="1:37">
      <c r="A1249" s="113"/>
      <c r="B1249" s="548">
        <v>43</v>
      </c>
      <c r="C1249" s="6" t="s">
        <v>73</v>
      </c>
      <c r="D1249" s="36" t="s">
        <v>274</v>
      </c>
      <c r="F1249" s="114">
        <v>857</v>
      </c>
      <c r="O1249" s="115"/>
      <c r="P1249" s="36">
        <v>3</v>
      </c>
      <c r="R1249" s="116">
        <f>SUMIF($H$13:$H$1185,$F1249,R$13:R$1185)+Elec_Rates!R397</f>
        <v>0</v>
      </c>
      <c r="S1249" s="117"/>
      <c r="T1249" s="116">
        <f>SUMIF($H$13:$H$1185,$F1249,T$13:T$1185)+Elec_Rates!T397</f>
        <v>0</v>
      </c>
    </row>
    <row r="1250" spans="1:37">
      <c r="A1250" s="113"/>
      <c r="B1250" s="548">
        <v>44</v>
      </c>
      <c r="C1250" s="6" t="s">
        <v>73</v>
      </c>
      <c r="D1250" s="36" t="s">
        <v>119</v>
      </c>
      <c r="F1250" s="114">
        <v>858</v>
      </c>
      <c r="O1250" s="115"/>
      <c r="P1250" s="36">
        <v>3</v>
      </c>
      <c r="R1250" s="116">
        <f>SUMIF($H$13:$H$1185,$F1250,R$13:R$1185)+Elec_Rates!R398</f>
        <v>0</v>
      </c>
      <c r="S1250" s="117"/>
      <c r="T1250" s="116">
        <f>SUMIF($H$13:$H$1185,$F1250,T$13:T$1185)+Elec_Rates!T398</f>
        <v>0</v>
      </c>
    </row>
    <row r="1251" spans="1:37">
      <c r="A1251" s="113"/>
      <c r="B1251" s="548">
        <v>45</v>
      </c>
      <c r="C1251" s="6" t="s">
        <v>73</v>
      </c>
      <c r="D1251" s="36" t="s">
        <v>120</v>
      </c>
      <c r="F1251" s="114">
        <v>865</v>
      </c>
      <c r="O1251" s="115"/>
      <c r="P1251" s="36">
        <v>3</v>
      </c>
      <c r="R1251" s="116">
        <f>SUMIF($H$13:$H$1185,$F1251,R$13:R$1185)+Elec_Rates!R399</f>
        <v>0</v>
      </c>
      <c r="S1251" s="117"/>
      <c r="T1251" s="116">
        <f>SUMIF($H$13:$H$1185,$F1251,T$13:T$1185)+Elec_Rates!T399</f>
        <v>0</v>
      </c>
    </row>
    <row r="1252" spans="1:37">
      <c r="A1252" s="113"/>
      <c r="B1252" s="548">
        <v>46</v>
      </c>
      <c r="C1252" s="6" t="s">
        <v>73</v>
      </c>
      <c r="D1252" s="36" t="s">
        <v>121</v>
      </c>
      <c r="F1252" s="114">
        <v>870</v>
      </c>
      <c r="O1252" s="115"/>
      <c r="P1252" s="36">
        <v>4</v>
      </c>
      <c r="R1252" s="116">
        <f>SUMIF($H$13:$H$1185,$F1252,R$13:R$1185)+Elec_Rates!R400</f>
        <v>0</v>
      </c>
      <c r="S1252" s="117"/>
      <c r="T1252" s="116">
        <f>SUMIF($H$13:$H$1185,$F1252,T$13:T$1185)+Elec_Rates!T400</f>
        <v>0</v>
      </c>
    </row>
    <row r="1253" spans="1:37">
      <c r="A1253" s="113"/>
      <c r="B1253" s="548">
        <v>47</v>
      </c>
      <c r="C1253" s="6" t="s">
        <v>73</v>
      </c>
      <c r="D1253" s="36" t="s">
        <v>122</v>
      </c>
      <c r="F1253" s="114">
        <v>875</v>
      </c>
      <c r="O1253" s="115"/>
      <c r="P1253" s="36">
        <v>1</v>
      </c>
      <c r="R1253" s="116">
        <f ca="1">SUMIF($H$13:$H$1185,$F1253,R$13:R$1185)+Elec_Rates!R401</f>
        <v>514.85</v>
      </c>
      <c r="S1253" s="117"/>
      <c r="T1253" s="116">
        <f ca="1">SUMIF($H$13:$H$1185,$F1253,T$13:T$1185)+Elec_Rates!T401</f>
        <v>10.100000000000001</v>
      </c>
    </row>
    <row r="1254" spans="1:37">
      <c r="A1254" s="113"/>
      <c r="B1254" s="548">
        <v>48</v>
      </c>
      <c r="C1254" s="6" t="s">
        <v>73</v>
      </c>
      <c r="D1254" s="36" t="s">
        <v>123</v>
      </c>
      <c r="F1254" s="114">
        <v>880</v>
      </c>
      <c r="O1254" s="115"/>
      <c r="P1254" s="36">
        <v>3</v>
      </c>
      <c r="R1254" s="116">
        <f>SUMIF($H$13:$H$1185,$F1254,R$13:R$1185)+Elec_Rates!R402</f>
        <v>69.319999999999993</v>
      </c>
      <c r="S1254" s="117"/>
      <c r="T1254" s="116">
        <f>SUMIF($H$13:$H$1185,$F1254,T$13:T$1185)+Elec_Rates!T402</f>
        <v>24.16</v>
      </c>
    </row>
    <row r="1255" spans="1:37">
      <c r="A1255" s="113"/>
      <c r="B1255" s="548">
        <v>49</v>
      </c>
      <c r="C1255" s="6" t="s">
        <v>73</v>
      </c>
      <c r="D1255" s="36" t="s">
        <v>124</v>
      </c>
      <c r="F1255" s="114">
        <v>885</v>
      </c>
      <c r="O1255" s="115"/>
      <c r="P1255" s="36">
        <v>4</v>
      </c>
      <c r="R1255" s="116">
        <f>SUMIF($H$13:$H$1185,$F1255,R$13:R$1185)+Elec_Rates!R403</f>
        <v>0</v>
      </c>
      <c r="S1255" s="117"/>
      <c r="T1255" s="116">
        <f>SUMIF($H$13:$H$1185,$F1255,T$13:T$1185)+Elec_Rates!T403</f>
        <v>0</v>
      </c>
    </row>
    <row r="1256" spans="1:37">
      <c r="A1256" s="113"/>
      <c r="B1256" s="548">
        <v>50</v>
      </c>
      <c r="C1256" s="6" t="s">
        <v>73</v>
      </c>
      <c r="D1256" s="36" t="s">
        <v>68</v>
      </c>
      <c r="F1256" s="114">
        <v>900</v>
      </c>
      <c r="O1256" s="115"/>
      <c r="P1256" s="36">
        <v>3</v>
      </c>
      <c r="R1256" s="116">
        <f ca="1">SUMIF($H$13:$H$1185,$F1256,R$13:R$1185)+Elec_Rates!R404</f>
        <v>0</v>
      </c>
      <c r="S1256" s="117"/>
      <c r="T1256" s="116">
        <f ca="1">SUMIF($H$13:$H$1185,$F1256,T$13:T$1185)+Elec_Rates!T404</f>
        <v>347.25</v>
      </c>
    </row>
    <row r="1257" spans="1:37">
      <c r="A1257" s="113"/>
      <c r="B1257" s="548">
        <v>51</v>
      </c>
      <c r="C1257" s="6" t="s">
        <v>73</v>
      </c>
      <c r="D1257" s="36" t="s">
        <v>126</v>
      </c>
      <c r="F1257" s="114">
        <v>901</v>
      </c>
      <c r="O1257" s="115"/>
      <c r="P1257" s="36">
        <v>1</v>
      </c>
      <c r="R1257" s="116">
        <f>SUMIF($H$13:$H$1185,$F1257,R$13:R$1185)+Elec_Rates!R405</f>
        <v>0</v>
      </c>
      <c r="S1257" s="117"/>
      <c r="T1257" s="116">
        <f>SUMIF($H$13:$H$1185,$F1257,T$13:T$1185)+Elec_Rates!T405</f>
        <v>40</v>
      </c>
    </row>
    <row r="1258" spans="1:37">
      <c r="A1258" s="113"/>
      <c r="B1258" s="548">
        <v>52</v>
      </c>
      <c r="C1258" s="6" t="s">
        <v>73</v>
      </c>
      <c r="D1258" s="36" t="s">
        <v>127</v>
      </c>
      <c r="F1258" s="114">
        <v>902</v>
      </c>
      <c r="O1258" s="115"/>
      <c r="P1258" s="36">
        <v>3</v>
      </c>
      <c r="R1258" s="116">
        <f>SUMIF($H$13:$H$1185,$F1258,R$13:R$1185)+Elec_Rates!R406</f>
        <v>0</v>
      </c>
      <c r="S1258" s="117"/>
      <c r="T1258" s="116">
        <f>SUMIF($H$13:$H$1185,$F1258,T$13:T$1185)+Elec_Rates!T406</f>
        <v>52</v>
      </c>
    </row>
    <row r="1259" spans="1:37">
      <c r="A1259" s="113"/>
      <c r="B1259" s="548">
        <v>53</v>
      </c>
      <c r="C1259" s="6" t="s">
        <v>73</v>
      </c>
      <c r="D1259" s="118" t="s">
        <v>128</v>
      </c>
      <c r="F1259" s="114">
        <v>960</v>
      </c>
      <c r="O1259" s="115"/>
      <c r="P1259" s="36">
        <v>4</v>
      </c>
      <c r="R1259" s="116">
        <f>SUMIF($H$13:$H$1185,$F1259,R$13:R$1185)+Elec_Rates!R407</f>
        <v>0</v>
      </c>
      <c r="S1259" s="117"/>
      <c r="T1259" s="116">
        <f>SUMIF($H$13:$H$1185,$F1259,T$13:T$1185)+Elec_Rates!T407</f>
        <v>0</v>
      </c>
    </row>
    <row r="1260" spans="1:37">
      <c r="A1260" s="113"/>
      <c r="B1260" s="548">
        <v>54</v>
      </c>
      <c r="C1260" s="6" t="s">
        <v>73</v>
      </c>
      <c r="D1260" s="118" t="s">
        <v>129</v>
      </c>
      <c r="F1260" s="114">
        <v>961</v>
      </c>
      <c r="O1260" s="115"/>
      <c r="P1260" s="36">
        <v>3</v>
      </c>
      <c r="R1260" s="116">
        <f>SUMIF($H$13:$H$1185,$F1260,R$13:R$1185)+Elec_Rates!R408</f>
        <v>0</v>
      </c>
      <c r="S1260" s="117"/>
      <c r="T1260" s="116">
        <f>SUMIF($H$13:$H$1185,$F1260,T$13:T$1185)+Elec_Rates!T408</f>
        <v>0</v>
      </c>
    </row>
    <row r="1261" spans="1:37">
      <c r="A1261" s="113"/>
      <c r="B1261" s="548">
        <v>55</v>
      </c>
      <c r="C1261" s="6" t="s">
        <v>73</v>
      </c>
      <c r="D1261" s="118" t="s">
        <v>130</v>
      </c>
      <c r="F1261" s="114">
        <v>962</v>
      </c>
      <c r="O1261" s="115"/>
      <c r="P1261" s="36">
        <v>1</v>
      </c>
      <c r="R1261" s="116">
        <f>SUMIF($H$13:$H$1185,$F1261,R$13:R$1185)+Elec_Rates!R409</f>
        <v>500</v>
      </c>
      <c r="S1261" s="117"/>
      <c r="T1261" s="116">
        <f>SUMIF($H$13:$H$1185,$F1261,T$13:T$1185)+Elec_Rates!T409</f>
        <v>0</v>
      </c>
    </row>
    <row r="1262" spans="1:37">
      <c r="A1262" s="113"/>
      <c r="B1262" s="548">
        <v>56</v>
      </c>
      <c r="C1262" s="6" t="s">
        <v>73</v>
      </c>
      <c r="D1262" s="118" t="s">
        <v>131</v>
      </c>
      <c r="F1262" s="114">
        <v>970</v>
      </c>
      <c r="O1262" s="115"/>
      <c r="P1262" s="36">
        <v>4</v>
      </c>
      <c r="R1262" s="116">
        <f>SUMIF($H$13:$H$1185,$F1262,R$13:R$1185)+Elec_Rates!R410</f>
        <v>0</v>
      </c>
      <c r="S1262" s="117"/>
      <c r="T1262" s="116">
        <f>SUMIF($H$13:$H$1185,$F1262,T$13:T$1185)+Elec_Rates!T410</f>
        <v>0</v>
      </c>
    </row>
    <row r="1263" spans="1:37" ht="14.4" thickBot="1">
      <c r="A1263" s="119"/>
      <c r="B1263" s="120"/>
      <c r="C1263" s="121"/>
      <c r="D1263" s="122"/>
      <c r="E1263" s="123"/>
      <c r="F1263" s="124"/>
      <c r="G1263" s="123"/>
      <c r="H1263" s="123"/>
      <c r="I1263" s="123"/>
      <c r="J1263" s="123"/>
      <c r="K1263" s="123"/>
      <c r="L1263" s="123"/>
      <c r="M1263" s="123"/>
      <c r="N1263" s="123"/>
      <c r="O1263" s="125"/>
      <c r="P1263" s="123"/>
      <c r="Q1263" s="123"/>
      <c r="R1263" s="126"/>
      <c r="S1263" s="127"/>
      <c r="T1263" s="126"/>
      <c r="U1263" s="123"/>
      <c r="V1263" s="469"/>
      <c r="W1263" s="469"/>
      <c r="X1263" s="469"/>
      <c r="Y1263" s="469"/>
      <c r="Z1263" s="469"/>
      <c r="AA1263" s="469"/>
      <c r="AB1263" s="469"/>
      <c r="AC1263" s="123"/>
      <c r="AD1263" s="123"/>
      <c r="AE1263" s="123"/>
      <c r="AF1263" s="123"/>
      <c r="AG1263" s="123"/>
      <c r="AH1263" s="123"/>
      <c r="AI1263" s="123"/>
      <c r="AJ1263" s="123"/>
      <c r="AK1263" s="123"/>
    </row>
    <row r="1264" spans="1:37" ht="14.4" thickTop="1">
      <c r="A1264" s="113"/>
      <c r="B1264" s="128"/>
      <c r="C1264" s="6" t="s">
        <v>73</v>
      </c>
      <c r="D1264" s="129"/>
      <c r="F1264" s="130" t="s">
        <v>160</v>
      </c>
      <c r="G1264" s="131"/>
      <c r="H1264" s="36">
        <v>1</v>
      </c>
      <c r="O1264" s="115"/>
      <c r="R1264" s="116">
        <f ca="1">SUMIF($P1207:$P1262,1,R1207:R1262)</f>
        <v>22755.690045620438</v>
      </c>
      <c r="T1264" s="116">
        <f ca="1">SUMIF($P1207:$P1262,1,T1207:T1262)</f>
        <v>1275.9299999999998</v>
      </c>
    </row>
    <row r="1265" spans="1:37">
      <c r="A1265" s="113"/>
      <c r="B1265" s="128"/>
      <c r="C1265" s="6" t="s">
        <v>73</v>
      </c>
      <c r="D1265" s="129"/>
      <c r="F1265" s="130" t="s">
        <v>161</v>
      </c>
      <c r="G1265" s="131"/>
      <c r="H1265" s="36">
        <v>2</v>
      </c>
      <c r="O1265" s="115"/>
      <c r="R1265" s="116">
        <f ca="1">SUMIF($P1207:$P1262,2,R1207:R1262)</f>
        <v>21432.328852459017</v>
      </c>
      <c r="T1265" s="116">
        <f ca="1">SUMIF($P1207:$P1262,2,T1207:T1262)</f>
        <v>1035.143</v>
      </c>
    </row>
    <row r="1266" spans="1:37">
      <c r="A1266" s="113"/>
      <c r="B1266" s="128"/>
      <c r="C1266" s="6" t="s">
        <v>73</v>
      </c>
      <c r="D1266" s="129"/>
      <c r="F1266" s="130" t="s">
        <v>162</v>
      </c>
      <c r="G1266" s="131"/>
      <c r="H1266" s="36">
        <v>2</v>
      </c>
      <c r="O1266" s="115"/>
      <c r="R1266" s="116">
        <f ca="1">SUMIF($P1207:$P1262,3,R1207:R1262)</f>
        <v>506.38</v>
      </c>
      <c r="T1266" s="116">
        <f ca="1">SUMIF($P1207:$P1262,3,T1207:T1262)</f>
        <v>432.495</v>
      </c>
    </row>
    <row r="1267" spans="1:37">
      <c r="A1267" s="113"/>
      <c r="B1267" s="128"/>
      <c r="C1267" s="6" t="s">
        <v>73</v>
      </c>
      <c r="D1267" s="129"/>
      <c r="F1267" s="130" t="s">
        <v>163</v>
      </c>
      <c r="G1267" s="131"/>
      <c r="H1267" s="36">
        <v>3</v>
      </c>
      <c r="O1267" s="115"/>
      <c r="R1267" s="116">
        <f>SUMIF($P1207:$P1262,4,R1207:R1262)</f>
        <v>0</v>
      </c>
      <c r="T1267" s="116">
        <f>SUMIF($P1207:$P1262,4,T1207:T1262)</f>
        <v>0</v>
      </c>
    </row>
    <row r="1268" spans="1:37" ht="14.4" thickBot="1">
      <c r="A1268" s="119"/>
      <c r="B1268" s="132"/>
      <c r="C1268" s="121" t="s">
        <v>73</v>
      </c>
      <c r="D1268" s="133"/>
      <c r="E1268" s="123"/>
      <c r="F1268" s="134" t="s">
        <v>164</v>
      </c>
      <c r="G1268" s="135"/>
      <c r="H1268" s="136"/>
      <c r="I1268" s="136"/>
      <c r="J1268" s="136"/>
      <c r="K1268" s="136"/>
      <c r="L1268" s="136"/>
      <c r="M1268" s="136"/>
      <c r="N1268" s="136"/>
      <c r="O1268" s="137"/>
      <c r="P1268" s="136"/>
      <c r="Q1268" s="136"/>
      <c r="R1268" s="138">
        <f ca="1">SUM(R1264:R1267)</f>
        <v>44694.398898079453</v>
      </c>
      <c r="S1268" s="139"/>
      <c r="T1268" s="138">
        <f ca="1">SUM(T1264:T1267)</f>
        <v>2743.5679999999998</v>
      </c>
      <c r="U1268" s="123"/>
      <c r="V1268" s="469"/>
      <c r="W1268" s="469"/>
      <c r="X1268" s="469"/>
      <c r="Y1268" s="469"/>
      <c r="Z1268" s="469"/>
      <c r="AA1268" s="469"/>
      <c r="AB1268" s="469"/>
      <c r="AC1268" s="123"/>
      <c r="AD1268" s="123"/>
      <c r="AE1268" s="123"/>
      <c r="AF1268" s="123"/>
      <c r="AG1268" s="123"/>
      <c r="AH1268" s="123"/>
      <c r="AI1268" s="123"/>
      <c r="AJ1268" s="123"/>
      <c r="AK1268" s="123"/>
    </row>
    <row r="1269" spans="1:37" ht="14.4" thickTop="1">
      <c r="A1269" s="63"/>
      <c r="B1269" s="582" t="s">
        <v>190</v>
      </c>
      <c r="C1269" s="129" t="s">
        <v>190</v>
      </c>
      <c r="D1269" s="129"/>
      <c r="O1269" s="115"/>
    </row>
    <row r="1270" spans="1:37">
      <c r="A1270" s="583"/>
      <c r="O1270" s="115"/>
    </row>
    <row r="1271" spans="1:37">
      <c r="A1271" s="583"/>
      <c r="B1271" s="584">
        <f t="shared" ref="B1271:B1291" ca="1" si="44">SUMIF($D$13:$D$1185,D1271,$C$13:$C$1185)</f>
        <v>4.5</v>
      </c>
      <c r="C1271" s="118"/>
      <c r="D1271" s="585" t="str">
        <f>Elec_Rates!$D$106</f>
        <v>001# Lighting installation galvanised</v>
      </c>
      <c r="O1271" s="115"/>
      <c r="Q1271" s="33"/>
    </row>
    <row r="1272" spans="1:37">
      <c r="A1272" s="583"/>
      <c r="B1272" s="584">
        <f t="shared" ca="1" si="44"/>
        <v>4</v>
      </c>
      <c r="C1272" s="118"/>
      <c r="D1272" s="585" t="str">
        <f>Elec_Rates!D125</f>
        <v>001# Emergency lighting installation galvanised</v>
      </c>
      <c r="O1272" s="115"/>
      <c r="Q1272" s="33"/>
    </row>
    <row r="1273" spans="1:37">
      <c r="A1273" s="583"/>
      <c r="B1273" s="584">
        <f t="shared" ca="1" si="44"/>
        <v>8</v>
      </c>
      <c r="C1273" s="118"/>
      <c r="D1273" s="585" t="str">
        <f>Elec_Rates!$D$140</f>
        <v>002# Power points galvanised installation</v>
      </c>
      <c r="O1273" s="115"/>
    </row>
    <row r="1274" spans="1:37">
      <c r="A1274" s="583"/>
      <c r="B1274" s="584">
        <f t="shared" ca="1" si="44"/>
        <v>3</v>
      </c>
      <c r="C1274" s="118"/>
      <c r="D1274" s="585" t="str">
        <f>Elec_Rates!$D$151</f>
        <v>003# 16amp 5Pin Socket outlet</v>
      </c>
      <c r="O1274" s="115"/>
    </row>
    <row r="1275" spans="1:37">
      <c r="A1275" s="583"/>
      <c r="B1275" s="584">
        <f t="shared" ca="1" si="44"/>
        <v>960</v>
      </c>
      <c r="C1275" s="118"/>
      <c r="D1275" s="585" t="str">
        <f>Elec_Rates!$D$168</f>
        <v>004# 5core x 120sqmm FG16(0)M16 cable</v>
      </c>
      <c r="O1275" s="115"/>
    </row>
    <row r="1276" spans="1:37">
      <c r="A1276" s="583"/>
      <c r="B1276" s="584">
        <f t="shared" ca="1" si="44"/>
        <v>165</v>
      </c>
      <c r="C1276" s="118"/>
      <c r="D1276" s="585" t="str">
        <f>Elec_Rates!$D$179</f>
        <v>005# 4core x 120sqmm FG16(0)M16 cable</v>
      </c>
      <c r="O1276" s="115"/>
    </row>
    <row r="1277" spans="1:37">
      <c r="A1277" s="583"/>
      <c r="B1277" s="584">
        <f t="shared" ca="1" si="44"/>
        <v>64</v>
      </c>
      <c r="C1277" s="118"/>
      <c r="D1277" s="585" t="str">
        <f>Elec_Rates!$D$189</f>
        <v>006# 4core x 95sqmm FG16(0)M16 cable</v>
      </c>
      <c r="O1277" s="115"/>
    </row>
    <row r="1278" spans="1:37">
      <c r="A1278" s="583"/>
      <c r="B1278" s="584">
        <f t="shared" ca="1" si="44"/>
        <v>171</v>
      </c>
      <c r="C1278" s="118"/>
      <c r="D1278" s="585" t="str">
        <f>Elec_Rates!$D$199</f>
        <v>007# 5core x 70sqmm FG16(0)M16 cable</v>
      </c>
      <c r="O1278" s="115"/>
    </row>
    <row r="1279" spans="1:37">
      <c r="A1279" s="583"/>
      <c r="B1279" s="584">
        <f t="shared" ca="1" si="44"/>
        <v>20</v>
      </c>
      <c r="C1279" s="118"/>
      <c r="D1279" s="585" t="str">
        <f>Elec_Rates!$D$210</f>
        <v>008# 5core x 50sqmm FG16(0)M16 cable</v>
      </c>
      <c r="O1279" s="115"/>
    </row>
    <row r="1280" spans="1:37">
      <c r="A1280" s="583"/>
      <c r="B1280" s="584">
        <f t="shared" ca="1" si="44"/>
        <v>8</v>
      </c>
      <c r="C1280" s="118"/>
      <c r="D1280" s="585" t="str">
        <f>Elec_Rates!$D$220</f>
        <v>009# 5core x 35sqmm FG16(0)M16 cable</v>
      </c>
      <c r="O1280" s="115"/>
    </row>
    <row r="1281" spans="1:37">
      <c r="A1281" s="583"/>
      <c r="B1281" s="584">
        <f t="shared" ca="1" si="44"/>
        <v>52</v>
      </c>
      <c r="C1281" s="118"/>
      <c r="D1281" s="585" t="str">
        <f>Elec_Rates!$D$230</f>
        <v>010# 5core x 10sqmm XLPE/LSZH/SWA/LSZH cable</v>
      </c>
      <c r="O1281" s="115"/>
    </row>
    <row r="1282" spans="1:37">
      <c r="A1282" s="583"/>
      <c r="B1282" s="584">
        <f t="shared" ca="1" si="44"/>
        <v>10</v>
      </c>
      <c r="C1282" s="118"/>
      <c r="D1282" s="585" t="str">
        <f>Elec_Rates!$D$240</f>
        <v>011# 4core x 4.0 mm2 XLPE/SWA/LSZH/Cu</v>
      </c>
      <c r="O1282" s="115"/>
    </row>
    <row r="1283" spans="1:37">
      <c r="A1283" s="583"/>
      <c r="B1283" s="584">
        <f t="shared" ca="1" si="44"/>
        <v>4</v>
      </c>
      <c r="C1283" s="118"/>
      <c r="D1283" s="585" t="str">
        <f>Elec_Rates!$D$250</f>
        <v>012# Light fitting Type A - Installation Only</v>
      </c>
      <c r="O1283" s="115"/>
    </row>
    <row r="1284" spans="1:37">
      <c r="A1284" s="583"/>
      <c r="B1284" s="584">
        <f t="shared" ca="1" si="44"/>
        <v>4</v>
      </c>
      <c r="C1284" s="118"/>
      <c r="D1284" s="585" t="str">
        <f>Elec_Rates!$D$258</f>
        <v>013# Light fitting Type E4 - Installation Only</v>
      </c>
      <c r="O1284" s="115"/>
    </row>
    <row r="1285" spans="1:37">
      <c r="A1285" s="583"/>
      <c r="B1285" s="584">
        <f t="shared" ca="1" si="44"/>
        <v>45</v>
      </c>
      <c r="C1285" s="118"/>
      <c r="D1285" s="585" t="str">
        <f>Elec_Rates!$D$266</f>
        <v>014# 50mm galvanised steel cable tray</v>
      </c>
      <c r="O1285" s="115"/>
    </row>
    <row r="1286" spans="1:37">
      <c r="A1286" s="583"/>
      <c r="B1286" s="584">
        <f t="shared" ca="1" si="44"/>
        <v>57</v>
      </c>
      <c r="C1286" s="118"/>
      <c r="D1286" s="585" t="str">
        <f>Elec_Rates!$D$277</f>
        <v>015# 200mm galvanised steel cable tray</v>
      </c>
      <c r="O1286" s="115"/>
    </row>
    <row r="1287" spans="1:37">
      <c r="A1287" s="583"/>
      <c r="B1287" s="584">
        <f t="shared" ca="1" si="44"/>
        <v>80</v>
      </c>
      <c r="C1287" s="118"/>
      <c r="D1287" s="585" t="str">
        <f>Elec_Rates!$D$288</f>
        <v>016# 250mm galvanised steel cable tray</v>
      </c>
      <c r="O1287" s="115"/>
    </row>
    <row r="1288" spans="1:37">
      <c r="A1288" s="583"/>
      <c r="B1288" s="584">
        <f t="shared" ca="1" si="44"/>
        <v>155</v>
      </c>
      <c r="C1288" s="118"/>
      <c r="D1288" s="585" t="str">
        <f>Elec_Rates!D299</f>
        <v>017# 500mm galvanised steel cable tray</v>
      </c>
      <c r="O1288" s="115"/>
    </row>
    <row r="1289" spans="1:37">
      <c r="A1289" s="583"/>
      <c r="B1289" s="584">
        <f t="shared" ca="1" si="44"/>
        <v>15</v>
      </c>
      <c r="C1289" s="118"/>
      <c r="D1289" s="585" t="str">
        <f>Elec_Rates!D310</f>
        <v>025# Bracket for 50mm cable tray</v>
      </c>
      <c r="O1289" s="115"/>
    </row>
    <row r="1290" spans="1:37">
      <c r="A1290" s="583"/>
      <c r="B1290" s="584">
        <f t="shared" ca="1" si="44"/>
        <v>187</v>
      </c>
      <c r="C1290" s="118"/>
      <c r="D1290" s="585" t="str">
        <f>Elec_Rates!D321</f>
        <v>026# Bracket for 200-300mm cable tray</v>
      </c>
      <c r="O1290" s="115"/>
    </row>
    <row r="1291" spans="1:37">
      <c r="A1291" s="583"/>
      <c r="B1291" s="584">
        <f t="shared" ca="1" si="44"/>
        <v>158</v>
      </c>
      <c r="C1291" s="118"/>
      <c r="D1291" s="585" t="str">
        <f>Elec_Rates!D334</f>
        <v>027# Bracket for 400-600mm cable tray</v>
      </c>
      <c r="O1291" s="115"/>
    </row>
    <row r="1292" spans="1:37" ht="14.4" thickBot="1">
      <c r="A1292" s="586"/>
      <c r="B1292" s="123"/>
      <c r="C1292" s="123"/>
      <c r="D1292" s="123"/>
      <c r="E1292" s="123"/>
      <c r="F1292" s="123"/>
      <c r="G1292" s="123"/>
      <c r="H1292" s="123"/>
      <c r="I1292" s="123"/>
      <c r="J1292" s="123"/>
      <c r="K1292" s="123"/>
      <c r="L1292" s="123"/>
      <c r="M1292" s="123"/>
      <c r="N1292" s="123"/>
      <c r="O1292" s="125"/>
      <c r="P1292" s="123"/>
      <c r="Q1292" s="123"/>
      <c r="R1292" s="123"/>
      <c r="S1292" s="123"/>
      <c r="T1292" s="123"/>
      <c r="U1292" s="123"/>
      <c r="V1292" s="469"/>
      <c r="W1292" s="469"/>
      <c r="X1292" s="469"/>
      <c r="Y1292" s="469"/>
      <c r="Z1292" s="469"/>
      <c r="AA1292" s="469"/>
      <c r="AB1292" s="469"/>
      <c r="AC1292" s="123"/>
      <c r="AD1292" s="123"/>
      <c r="AE1292" s="123"/>
      <c r="AF1292" s="123"/>
      <c r="AG1292" s="123"/>
      <c r="AH1292" s="123"/>
      <c r="AI1292" s="123"/>
      <c r="AJ1292" s="123"/>
      <c r="AK1292" s="123"/>
    </row>
    <row r="1293" spans="1:37" ht="14.4" thickTop="1">
      <c r="A1293" s="369" t="s">
        <v>147</v>
      </c>
      <c r="B1293" s="4"/>
      <c r="C1293" s="4"/>
      <c r="D1293" s="4"/>
      <c r="E1293" s="4"/>
      <c r="F1293" s="2"/>
      <c r="G1293" s="33"/>
      <c r="H1293" s="33"/>
      <c r="I1293" s="33"/>
      <c r="J1293" s="33"/>
      <c r="K1293" s="33"/>
      <c r="L1293" s="4"/>
      <c r="M1293" s="4"/>
      <c r="N1293" s="4"/>
      <c r="O1293" s="4"/>
      <c r="P1293" s="4"/>
      <c r="Q1293" s="56"/>
      <c r="R1293" s="33"/>
      <c r="S1293" s="33"/>
      <c r="T1293" s="33"/>
    </row>
  </sheetData>
  <sheetProtection formatCells="0" formatColumns="0" formatRows="0" insertColumns="0" insertRows="0" insertHyperlinks="0" deleteColumns="0" deleteRows="0" sort="0" autoFilter="0" pivotTables="0"/>
  <mergeCells count="60">
    <mergeCell ref="D1124:T1124"/>
    <mergeCell ref="D1150:T1150"/>
    <mergeCell ref="D1161:T1161"/>
    <mergeCell ref="D1167:T1167"/>
    <mergeCell ref="D1042:T1042"/>
    <mergeCell ref="D1047:T1047"/>
    <mergeCell ref="D1052:T1052"/>
    <mergeCell ref="D1062:T1062"/>
    <mergeCell ref="D1088:T1088"/>
    <mergeCell ref="D1098:T1098"/>
    <mergeCell ref="D1029:T1029"/>
    <mergeCell ref="D750:T750"/>
    <mergeCell ref="D764:T764"/>
    <mergeCell ref="D789:T789"/>
    <mergeCell ref="D806:T806"/>
    <mergeCell ref="D824:T824"/>
    <mergeCell ref="D834:T834"/>
    <mergeCell ref="D965:T965"/>
    <mergeCell ref="D976:T976"/>
    <mergeCell ref="D1011:T1011"/>
    <mergeCell ref="D1015:T1015"/>
    <mergeCell ref="D1022:T1022"/>
    <mergeCell ref="D743:T743"/>
    <mergeCell ref="D490:T490"/>
    <mergeCell ref="D503:T503"/>
    <mergeCell ref="D510:T510"/>
    <mergeCell ref="D521:T521"/>
    <mergeCell ref="D525:T525"/>
    <mergeCell ref="D630:T630"/>
    <mergeCell ref="D666:T666"/>
    <mergeCell ref="D674:T674"/>
    <mergeCell ref="D681:T681"/>
    <mergeCell ref="D701:T701"/>
    <mergeCell ref="D726:T726"/>
    <mergeCell ref="D483:T483"/>
    <mergeCell ref="D241:T241"/>
    <mergeCell ref="D250:T250"/>
    <mergeCell ref="D380:T380"/>
    <mergeCell ref="D386:T386"/>
    <mergeCell ref="D409:T409"/>
    <mergeCell ref="D444:T444"/>
    <mergeCell ref="D448:T448"/>
    <mergeCell ref="D455:T455"/>
    <mergeCell ref="D462:T462"/>
    <mergeCell ref="D469:T469"/>
    <mergeCell ref="D476:T476"/>
    <mergeCell ref="D24:T24"/>
    <mergeCell ref="D28:T28"/>
    <mergeCell ref="D220:T220"/>
    <mergeCell ref="D36:T36"/>
    <mergeCell ref="D44:T44"/>
    <mergeCell ref="D52:T52"/>
    <mergeCell ref="D60:T60"/>
    <mergeCell ref="D68:T68"/>
    <mergeCell ref="D76:T76"/>
    <mergeCell ref="D84:T84"/>
    <mergeCell ref="D137:T137"/>
    <mergeCell ref="D169:T169"/>
    <mergeCell ref="D180:T180"/>
    <mergeCell ref="D193:T193"/>
  </mergeCells>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vt:i4>
      </vt:variant>
    </vt:vector>
  </HeadingPairs>
  <TitlesOfParts>
    <vt:vector size="20" baseType="lpstr">
      <vt:lpstr>Notes</vt:lpstr>
      <vt:lpstr>ML_Sum</vt:lpstr>
      <vt:lpstr>Quote</vt:lpstr>
      <vt:lpstr>Elec_Rates</vt:lpstr>
      <vt:lpstr>Elec_Est</vt:lpstr>
      <vt:lpstr>AsAwarded_Discount</vt:lpstr>
      <vt:lpstr>BMS_Points</vt:lpstr>
      <vt:lpstr>Elec_BOQ</vt:lpstr>
      <vt:lpstr>Central_Controller_BOQ</vt:lpstr>
      <vt:lpstr>BMS_BOQ</vt:lpstr>
      <vt:lpstr>SUMM PG </vt:lpstr>
      <vt:lpstr>Old_Est</vt:lpstr>
      <vt:lpstr>BMS_Points!AREAS</vt:lpstr>
      <vt:lpstr>AREAS</vt:lpstr>
      <vt:lpstr>Old_Est!Commissioning</vt:lpstr>
      <vt:lpstr>Old_Est!Electrical</vt:lpstr>
      <vt:lpstr>Old_Est!Fire_Barriers</vt:lpstr>
      <vt:lpstr>Elec_Est!Print_Area</vt:lpstr>
      <vt:lpstr>Old_Est!Print_Area</vt:lpstr>
      <vt:lpstr>'SUMM PG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Thomas Sammut</cp:lastModifiedBy>
  <cp:lastPrinted>2025-09-11T12:18:16Z</cp:lastPrinted>
  <dcterms:created xsi:type="dcterms:W3CDTF">2004-05-27T15:45:27Z</dcterms:created>
  <dcterms:modified xsi:type="dcterms:W3CDTF">2026-01-08T13:24:48Z</dcterms:modified>
  <cp:contentStatus/>
</cp:coreProperties>
</file>