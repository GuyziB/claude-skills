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ion_Log" sheetId="1" state="visible" r:id="rId1"/>
    <sheet name="Labou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7F3F00"/>
      <sz val="9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9"/>
    </font>
    <font>
      <name val="Arial"/>
      <color rgb="00595959"/>
      <sz val="8"/>
    </font>
    <font>
      <name val="Arial"/>
      <b val="1"/>
      <color rgb="00FFFFFF"/>
      <sz val="11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4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4" fontId="11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7" fillId="10" borderId="1" applyAlignment="1" pivotButton="0" quotePrefix="0" xfId="0">
      <alignment horizontal="left" vertical="center" wrapText="1"/>
    </xf>
    <xf numFmtId="4" fontId="7" fillId="10" borderId="1" applyAlignment="1" pivotButton="0" quotePrefix="0" xfId="0">
      <alignment horizontal="right" vertical="center"/>
    </xf>
    <xf numFmtId="0" fontId="0" fillId="10" borderId="1" pivotButton="0" quotePrefix="0" xfId="0"/>
    <xf numFmtId="165" fontId="7" fillId="10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 wrapText="1"/>
    </xf>
    <xf numFmtId="4" fontId="11" fillId="8" borderId="1" applyAlignment="1" pivotButton="0" quotePrefix="0" xfId="0">
      <alignment horizontal="right" vertical="center"/>
    </xf>
    <xf numFmtId="0" fontId="0" fillId="8" borderId="1" pivotButton="0" quotePrefix="0" xfId="0"/>
    <xf numFmtId="164" fontId="11" fillId="8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0" fillId="7" borderId="1" pivotButton="0" quotePrefix="0" xfId="0"/>
    <xf numFmtId="165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14" customWidth="1" min="4" max="4"/>
    <col width="44" customWidth="1" min="5" max="5"/>
    <col width="14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9" customWidth="1" min="15" max="15"/>
    <col width="12" customWidth="1" min="16" max="16"/>
  </cols>
  <sheetData>
    <row r="1" ht="22" customHeight="1">
      <c r="A1" s="1" t="inlineStr">
        <is>
          <t>PANTA CONTRACTING LIMITED — BMS Attribution Log   |   Intercontinental Hotel — Plant Retrofit   |   v3.1</t>
        </is>
      </c>
    </row>
    <row r="2" ht="22" customHeight="1">
      <c r="A2" s="2" t="inlineStr">
        <is>
          <t>ISELL/ICOST Cluster Scan   |   05 April 2026   |   Includes Labour Hours &amp; P&amp;L   |   All hours are BMS team hours</t>
        </is>
      </c>
    </row>
    <row r="3" ht="13" customHeight="1">
      <c r="A3" s="3" t="inlineStr">
        <is>
          <t>Colour:  Green = BMS cluster rule (512/617)   |   Amber = Manual flag   |   Yellow = Maintenance (outside revenue scope)   |   mu_A/B/C = pricing rate bands — all hours are BMS team hours</t>
        </is>
      </c>
    </row>
    <row r="4" ht="40" customHeight="1">
      <c r="A4" s="2" t="inlineStr">
        <is>
          <t>Log_ID</t>
        </is>
      </c>
      <c r="B4" s="2" t="inlineStr">
        <is>
          <t>Source_File</t>
        </is>
      </c>
      <c r="C4" s="2" t="inlineStr">
        <is>
          <t>Excel_Row</t>
        </is>
      </c>
      <c r="D4" s="2" t="inlineStr">
        <is>
          <t>Item_Number</t>
        </is>
      </c>
      <c r="E4" s="2" t="inlineStr">
        <is>
          <t>Item_Name</t>
        </is>
      </c>
      <c r="F4" s="2" t="inlineStr">
        <is>
          <t>BMS_Trigger</t>
        </is>
      </c>
      <c r="G4" s="2" t="inlineStr">
        <is>
          <t>Sell_Total
(€)</t>
        </is>
      </c>
      <c r="H4" s="2" t="inlineStr">
        <is>
          <t>Mat_Cost
(€)</t>
        </is>
      </c>
      <c r="I4" s="2" t="inlineStr">
        <is>
          <t>Total
Lab Hrs</t>
        </is>
      </c>
      <c r="J4" s="2" t="inlineStr">
        <is>
          <t>mu_A Hrs</t>
        </is>
      </c>
      <c r="K4" s="2" t="inlineStr">
        <is>
          <t>mu_B Hrs</t>
        </is>
      </c>
      <c r="L4" s="2" t="inlineStr">
        <is>
          <t>mu_C Hrs</t>
        </is>
      </c>
      <c r="M4" s="2" t="inlineStr">
        <is>
          <t>Lab_Cost
(€)</t>
        </is>
      </c>
      <c r="N4" s="2" t="inlineStr">
        <is>
          <t>Gross_Profit
(€)</t>
        </is>
      </c>
      <c r="O4" s="2" t="inlineStr">
        <is>
          <t>Margin
%</t>
        </is>
      </c>
      <c r="P4" s="2" t="inlineStr">
        <is>
          <t>Hour
Check</t>
        </is>
      </c>
    </row>
    <row r="5" ht="22" customHeight="1">
      <c r="A5" s="4" t="n">
        <v>1</v>
      </c>
      <c r="B5" s="5" t="inlineStr">
        <is>
          <t>E25-0477 (EL)</t>
        </is>
      </c>
      <c r="C5" s="6" t="n">
        <v>467</v>
      </c>
      <c r="D5" s="6" t="inlineStr">
        <is>
          <t>Item: 1.0</t>
        </is>
      </c>
      <c r="E5" s="5" t="inlineStr">
        <is>
          <t>Take delivery at site of Trane EPC Tracer SC+ control system procured by client,</t>
        </is>
      </c>
      <c r="F5" s="6" t="inlineStr">
        <is>
          <t>512</t>
        </is>
      </c>
      <c r="G5" s="7" t="n">
        <v>1773.68</v>
      </c>
      <c r="H5" s="7" t="n">
        <v>0</v>
      </c>
      <c r="I5" s="8" t="n">
        <v>40</v>
      </c>
      <c r="J5" s="8" t="n">
        <v>0</v>
      </c>
      <c r="K5" s="8" t="n">
        <v>40</v>
      </c>
      <c r="L5" s="8" t="n">
        <v>0</v>
      </c>
      <c r="M5" s="7" t="n">
        <v>1349.2</v>
      </c>
      <c r="N5" s="7" t="n">
        <v>424.4800000000002</v>
      </c>
      <c r="O5" s="9" t="n">
        <v>0.2393216363718372</v>
      </c>
      <c r="P5" s="6" t="inlineStr">
        <is>
          <t>OK</t>
        </is>
      </c>
    </row>
    <row r="6" ht="22" customHeight="1">
      <c r="A6" s="4" t="n">
        <v>2</v>
      </c>
      <c r="B6" s="5" t="inlineStr">
        <is>
          <t>E25-0477 (EL)</t>
        </is>
      </c>
      <c r="C6" s="6" t="n">
        <v>773</v>
      </c>
      <c r="D6" s="6" t="inlineStr">
        <is>
          <t>Item: 1.0</t>
        </is>
      </c>
      <c r="E6" s="5" t="inlineStr">
        <is>
          <t>Supply, Installation and configuration of the BMS supervisory software, complete</t>
        </is>
      </c>
      <c r="F6" s="6" t="inlineStr">
        <is>
          <t>512</t>
        </is>
      </c>
      <c r="G6" s="7" t="n">
        <v>4452.57</v>
      </c>
      <c r="H6" s="7" t="n">
        <v>3266.96</v>
      </c>
      <c r="I6" s="8" t="n">
        <v>4</v>
      </c>
      <c r="J6" s="8" t="n">
        <v>0</v>
      </c>
      <c r="K6" s="8" t="n">
        <v>0</v>
      </c>
      <c r="L6" s="8" t="n">
        <v>4</v>
      </c>
      <c r="M6" s="7" t="n">
        <v>120</v>
      </c>
      <c r="N6" s="7" t="n">
        <v>1065.61</v>
      </c>
      <c r="O6" s="9" t="n">
        <v>0.2393247046087989</v>
      </c>
      <c r="P6" s="6" t="inlineStr">
        <is>
          <t>OK</t>
        </is>
      </c>
    </row>
    <row r="7" ht="22" customHeight="1">
      <c r="A7" s="4" t="n">
        <v>3</v>
      </c>
      <c r="B7" s="5" t="inlineStr">
        <is>
          <t>E25-0477 (EL)</t>
        </is>
      </c>
      <c r="C7" s="6" t="n">
        <v>798</v>
      </c>
      <c r="D7" s="6" t="inlineStr">
        <is>
          <t>Item: 2.0</t>
        </is>
      </c>
      <c r="E7" s="5" t="inlineStr">
        <is>
          <t>Supply, installation and configuration of the BMS Windows server.</t>
        </is>
      </c>
      <c r="F7" s="6" t="inlineStr">
        <is>
          <t>512</t>
        </is>
      </c>
      <c r="G7" s="7" t="n">
        <v>4259.37</v>
      </c>
      <c r="H7" s="7" t="n">
        <v>3000</v>
      </c>
      <c r="I7" s="8" t="n">
        <v>8</v>
      </c>
      <c r="J7" s="8" t="n">
        <v>0</v>
      </c>
      <c r="K7" s="8" t="n">
        <v>0</v>
      </c>
      <c r="L7" s="8" t="n">
        <v>8</v>
      </c>
      <c r="M7" s="7" t="n">
        <v>240</v>
      </c>
      <c r="N7" s="7" t="n">
        <v>1019.37</v>
      </c>
      <c r="O7" s="9" t="n">
        <v>0.2393241253988266</v>
      </c>
      <c r="P7" s="6" t="inlineStr">
        <is>
          <t>OK</t>
        </is>
      </c>
    </row>
    <row r="8" ht="22" customHeight="1">
      <c r="A8" s="4" t="n">
        <v>4</v>
      </c>
      <c r="B8" s="5" t="inlineStr">
        <is>
          <t>E25-0477 (EL)</t>
        </is>
      </c>
      <c r="C8" s="6" t="n">
        <v>818</v>
      </c>
      <c r="D8" s="6" t="inlineStr">
        <is>
          <t>Item: 3</t>
        </is>
      </c>
      <c r="E8" s="5" t="inlineStr">
        <is>
          <t>Design, supply and installation of a complete IP network that connects all the M</t>
        </is>
      </c>
      <c r="F8" s="6" t="inlineStr">
        <is>
          <t>512</t>
        </is>
      </c>
      <c r="G8" s="7" t="n">
        <v>6299.5</v>
      </c>
      <c r="H8" s="7" t="n">
        <v>2828.03</v>
      </c>
      <c r="I8" s="8" t="n">
        <v>66.04000000000001</v>
      </c>
      <c r="J8" s="8" t="n">
        <v>42.03700000000001</v>
      </c>
      <c r="K8" s="8" t="n">
        <v>24</v>
      </c>
      <c r="L8" s="8" t="n">
        <v>0</v>
      </c>
      <c r="M8" s="7" t="n">
        <v>1963.85602</v>
      </c>
      <c r="N8" s="7" t="n">
        <v>1507.61398</v>
      </c>
      <c r="O8" s="9" t="n">
        <v>0.2393228002222398</v>
      </c>
      <c r="P8" s="6" t="inlineStr">
        <is>
          <t>OK</t>
        </is>
      </c>
    </row>
    <row r="9" ht="22" customHeight="1">
      <c r="A9" s="4" t="n">
        <v>5</v>
      </c>
      <c r="B9" s="5" t="inlineStr">
        <is>
          <t>E25-0477 (EL)</t>
        </is>
      </c>
      <c r="C9" s="6" t="n">
        <v>850</v>
      </c>
      <c r="D9" s="6" t="inlineStr">
        <is>
          <t>Item: 4</t>
        </is>
      </c>
      <c r="E9" s="5" t="inlineStr">
        <is>
          <t>Design, and configuration of alarms per data point as required by project engine</t>
        </is>
      </c>
      <c r="F9" s="6" t="inlineStr">
        <is>
          <t>512</t>
        </is>
      </c>
      <c r="G9" s="7" t="n">
        <v>2902.99</v>
      </c>
      <c r="H9" s="7" t="n">
        <v>100</v>
      </c>
      <c r="I9" s="8" t="n">
        <v>74</v>
      </c>
      <c r="J9" s="8" t="n">
        <v>44</v>
      </c>
      <c r="K9" s="8" t="n">
        <v>0</v>
      </c>
      <c r="L9" s="8" t="n">
        <v>30</v>
      </c>
      <c r="M9" s="7" t="n">
        <v>2108.24</v>
      </c>
      <c r="N9" s="7" t="n">
        <v>694.75</v>
      </c>
      <c r="O9" s="9" t="n">
        <v>0.2393222160599933</v>
      </c>
      <c r="P9" s="6" t="inlineStr">
        <is>
          <t>OK</t>
        </is>
      </c>
    </row>
    <row r="10" ht="22" customHeight="1">
      <c r="A10" s="4" t="n">
        <v>6</v>
      </c>
      <c r="B10" s="5" t="inlineStr">
        <is>
          <t>E25-0477 (EL)</t>
        </is>
      </c>
      <c r="C10" s="6" t="n">
        <v>869</v>
      </c>
      <c r="D10" s="6" t="inlineStr">
        <is>
          <t>Item: 5</t>
        </is>
      </c>
      <c r="E10" s="5" t="inlineStr">
        <is>
          <t>The configuration and upkeep of the trends and logs for all the project data poi</t>
        </is>
      </c>
      <c r="F10" s="6" t="inlineStr">
        <is>
          <t>512</t>
        </is>
      </c>
      <c r="G10" s="7" t="n">
        <v>2267.64</v>
      </c>
      <c r="H10" s="7" t="n">
        <v>100</v>
      </c>
      <c r="I10" s="8" t="n">
        <v>56.4</v>
      </c>
      <c r="J10" s="8" t="n">
        <v>26.4</v>
      </c>
      <c r="K10" s="8" t="n">
        <v>0</v>
      </c>
      <c r="L10" s="8" t="n">
        <v>30</v>
      </c>
      <c r="M10" s="7" t="n">
        <v>1624.944</v>
      </c>
      <c r="N10" s="7" t="n">
        <v>542.6959999999999</v>
      </c>
      <c r="O10" s="9" t="n">
        <v>0.2393219382265262</v>
      </c>
      <c r="P10" s="6" t="inlineStr">
        <is>
          <t>OK</t>
        </is>
      </c>
    </row>
    <row r="11" ht="22" customHeight="1">
      <c r="A11" s="4" t="n">
        <v>7</v>
      </c>
      <c r="B11" s="5" t="inlineStr">
        <is>
          <t>E25-0477 (EL)</t>
        </is>
      </c>
      <c r="C11" s="6" t="n">
        <v>888</v>
      </c>
      <c r="D11" s="6" t="inlineStr">
        <is>
          <t>Item: 6</t>
        </is>
      </c>
      <c r="E11" s="5" t="inlineStr">
        <is>
          <t>All wiring, containment, field devices etc. for a complete working systems</t>
        </is>
      </c>
      <c r="F11" s="6" t="inlineStr">
        <is>
          <t>512</t>
        </is>
      </c>
      <c r="G11" s="7" t="n">
        <v>152433.92</v>
      </c>
      <c r="H11" s="7" t="n">
        <v>46884.69</v>
      </c>
      <c r="I11" s="8" t="n">
        <v>2476.62</v>
      </c>
      <c r="J11" s="8" t="n">
        <v>2246.7</v>
      </c>
      <c r="K11" s="8" t="n">
        <v>127.67</v>
      </c>
      <c r="L11" s="8" t="n">
        <v>102.25</v>
      </c>
      <c r="M11" s="7" t="n">
        <v>69068.1911</v>
      </c>
      <c r="N11" s="7" t="n">
        <v>36481.03890000001</v>
      </c>
      <c r="O11" s="9" t="n">
        <v>0.2393236288878487</v>
      </c>
      <c r="P11" s="6" t="inlineStr">
        <is>
          <t>OK</t>
        </is>
      </c>
    </row>
    <row r="12" ht="22" customHeight="1">
      <c r="A12" s="4" t="n">
        <v>8</v>
      </c>
      <c r="B12" s="10" t="inlineStr">
        <is>
          <t>E25-0477 (EL)</t>
        </is>
      </c>
      <c r="C12" s="11" t="n">
        <v>491</v>
      </c>
      <c r="D12" s="11" t="inlineStr">
        <is>
          <t>Item: 2.0</t>
        </is>
      </c>
      <c r="E12" s="10" t="inlineStr">
        <is>
          <t>Motor Control Centre MCC-PR — BMS interface item</t>
        </is>
      </c>
      <c r="F12" s="11" t="inlineStr">
        <is>
          <t>MANUAL FLAG</t>
        </is>
      </c>
      <c r="G12" s="12" t="n">
        <v>8499.860000000001</v>
      </c>
      <c r="H12" s="12" t="n">
        <v>4736.76</v>
      </c>
      <c r="I12" s="13" t="n">
        <v>40</v>
      </c>
      <c r="J12" s="13" t="n">
        <v>24</v>
      </c>
      <c r="K12" s="13" t="n">
        <v>16</v>
      </c>
      <c r="L12" s="13" t="n">
        <v>0</v>
      </c>
      <c r="M12" s="12" t="n">
        <v>1198.72</v>
      </c>
      <c r="N12" s="12" t="n">
        <v>2564.380000000001</v>
      </c>
      <c r="O12" s="14" t="n">
        <v>0.3016967338285572</v>
      </c>
      <c r="P12" s="11" t="inlineStr">
        <is>
          <t>[!] estimated</t>
        </is>
      </c>
    </row>
    <row r="13" ht="22" customHeight="1">
      <c r="A13" s="4" t="n">
        <v>9</v>
      </c>
      <c r="B13" s="5" t="inlineStr">
        <is>
          <t>E25-0465 (ELM)</t>
        </is>
      </c>
      <c r="C13" s="6" t="n">
        <v>53</v>
      </c>
      <c r="D13" s="6" t="inlineStr">
        <is>
          <t>Item: 1</t>
        </is>
      </c>
      <c r="E13" s="5" t="inlineStr">
        <is>
          <t>Install only Screw type reversible chillers ref. C-1, C-2 and C-3 inclusive of f</t>
        </is>
      </c>
      <c r="F13" s="6" t="inlineStr">
        <is>
          <t>617</t>
        </is>
      </c>
      <c r="G13" s="7" t="n">
        <v>2332.53</v>
      </c>
      <c r="H13" s="7" t="n">
        <v>854.5700000000001</v>
      </c>
      <c r="I13" s="8" t="n">
        <v>31.8</v>
      </c>
      <c r="J13" s="8" t="n">
        <v>31.8</v>
      </c>
      <c r="K13" s="8" t="n">
        <v>0</v>
      </c>
      <c r="L13" s="8" t="n">
        <v>0</v>
      </c>
      <c r="M13" s="7" t="n">
        <v>873.228</v>
      </c>
      <c r="N13" s="7" t="n">
        <v>604.7320000000001</v>
      </c>
      <c r="O13" s="9" t="n">
        <v>0.2592601166973201</v>
      </c>
      <c r="P13" s="6" t="inlineStr">
        <is>
          <t>OK</t>
        </is>
      </c>
    </row>
    <row r="14" ht="22" customHeight="1">
      <c r="A14" s="4" t="n">
        <v>10</v>
      </c>
      <c r="B14" s="5" t="inlineStr">
        <is>
          <t>E25-0465 (ELM)</t>
        </is>
      </c>
      <c r="C14" s="6" t="n">
        <v>89</v>
      </c>
      <c r="D14" s="6" t="inlineStr">
        <is>
          <t>Item: 5.0a.</t>
        </is>
      </c>
      <c r="E14" s="5" t="inlineStr">
        <is>
          <t>DN150</t>
        </is>
      </c>
      <c r="F14" s="6" t="inlineStr">
        <is>
          <t>512</t>
        </is>
      </c>
      <c r="G14" s="7" t="n">
        <v>11975.16</v>
      </c>
      <c r="H14" s="7" t="n">
        <v>8769.33</v>
      </c>
      <c r="I14" s="8" t="n">
        <v>3</v>
      </c>
      <c r="J14" s="8" t="n">
        <v>0</v>
      </c>
      <c r="K14" s="8" t="n">
        <v>3</v>
      </c>
      <c r="L14" s="8" t="n">
        <v>0</v>
      </c>
      <c r="M14" s="7" t="n">
        <v>101.16</v>
      </c>
      <c r="N14" s="7" t="n">
        <v>3104.67</v>
      </c>
      <c r="O14" s="9" t="n">
        <v>0.2592591664746025</v>
      </c>
      <c r="P14" s="6" t="inlineStr">
        <is>
          <t>OK</t>
        </is>
      </c>
    </row>
    <row r="15" ht="22" customHeight="1">
      <c r="A15" s="4" t="n">
        <v>11</v>
      </c>
      <c r="B15" s="5" t="inlineStr">
        <is>
          <t>E25-0465 (ELM)</t>
        </is>
      </c>
      <c r="C15" s="6" t="n">
        <v>108</v>
      </c>
      <c r="D15" s="6" t="inlineStr">
        <is>
          <t>Item: 6.0a.</t>
        </is>
      </c>
      <c r="E15" s="5" t="inlineStr">
        <is>
          <t>DN150</t>
        </is>
      </c>
      <c r="F15" s="6" t="inlineStr">
        <is>
          <t>512</t>
        </is>
      </c>
      <c r="G15" s="7" t="n">
        <v>3662.94</v>
      </c>
      <c r="H15" s="7" t="n">
        <v>2662.71</v>
      </c>
      <c r="I15" s="8" t="n">
        <v>1.5</v>
      </c>
      <c r="J15" s="8" t="n">
        <v>0</v>
      </c>
      <c r="K15" s="8" t="n">
        <v>1.5</v>
      </c>
      <c r="L15" s="8" t="n">
        <v>0</v>
      </c>
      <c r="M15" s="7" t="n">
        <v>50.58</v>
      </c>
      <c r="N15" s="7" t="n">
        <v>949.65</v>
      </c>
      <c r="O15" s="9" t="n">
        <v>0.2592589559206539</v>
      </c>
      <c r="P15" s="6" t="inlineStr">
        <is>
          <t>OK</t>
        </is>
      </c>
    </row>
    <row r="16" ht="22" customHeight="1">
      <c r="A16" s="4" t="n">
        <v>12</v>
      </c>
      <c r="B16" s="5" t="inlineStr">
        <is>
          <t>E25-0465 (ELM)</t>
        </is>
      </c>
      <c r="C16" s="6" t="n">
        <v>127</v>
      </c>
      <c r="D16" s="6" t="inlineStr">
        <is>
          <t>Item: 9.0a.</t>
        </is>
      </c>
      <c r="E16" s="5" t="inlineStr">
        <is>
          <t>DN150</t>
        </is>
      </c>
      <c r="F16" s="6" t="inlineStr">
        <is>
          <t>512</t>
        </is>
      </c>
      <c r="G16" s="7" t="n">
        <v>14213.88</v>
      </c>
      <c r="H16" s="7" t="n">
        <v>10427.64</v>
      </c>
      <c r="I16" s="8" t="n">
        <v>3</v>
      </c>
      <c r="J16" s="8" t="n">
        <v>0</v>
      </c>
      <c r="K16" s="8" t="n">
        <v>3</v>
      </c>
      <c r="L16" s="8" t="n">
        <v>0</v>
      </c>
      <c r="M16" s="7" t="n">
        <v>101.16</v>
      </c>
      <c r="N16" s="7" t="n">
        <v>3685.08</v>
      </c>
      <c r="O16" s="9" t="n">
        <v>0.2592592592592592</v>
      </c>
      <c r="P16" s="6" t="inlineStr">
        <is>
          <t>OK</t>
        </is>
      </c>
    </row>
    <row r="17" ht="22" customHeight="1">
      <c r="A17" s="4" t="n">
        <v>13</v>
      </c>
      <c r="B17" s="5" t="inlineStr">
        <is>
          <t>E25-0465 (ELM)</t>
        </is>
      </c>
      <c r="C17" s="6" t="n">
        <v>142</v>
      </c>
      <c r="D17" s="6" t="inlineStr">
        <is>
          <t>Item: 10.0</t>
        </is>
      </c>
      <c r="E17" s="5" t="inlineStr">
        <is>
          <t>Flow switch</t>
        </is>
      </c>
      <c r="F17" s="6" t="inlineStr">
        <is>
          <t>512,617</t>
        </is>
      </c>
      <c r="G17" s="7" t="n">
        <v>388.2</v>
      </c>
      <c r="H17" s="7" t="n">
        <v>236.97</v>
      </c>
      <c r="I17" s="8" t="n">
        <v>1.5</v>
      </c>
      <c r="J17" s="8" t="n">
        <v>0</v>
      </c>
      <c r="K17" s="8" t="n">
        <v>1.5</v>
      </c>
      <c r="L17" s="8" t="n">
        <v>0</v>
      </c>
      <c r="M17" s="7" t="n">
        <v>50.58</v>
      </c>
      <c r="N17" s="7" t="n">
        <v>100.65</v>
      </c>
      <c r="O17" s="9" t="n">
        <v>0.2592735703245749</v>
      </c>
      <c r="P17" s="6" t="inlineStr">
        <is>
          <t>OK</t>
        </is>
      </c>
    </row>
    <row r="18" ht="22" customHeight="1">
      <c r="A18" s="4" t="n">
        <v>14</v>
      </c>
      <c r="B18" s="5" t="inlineStr">
        <is>
          <t>E25-0465 (ELM)</t>
        </is>
      </c>
      <c r="C18" s="6" t="n">
        <v>156</v>
      </c>
      <c r="D18" s="6" t="inlineStr">
        <is>
          <t>Item: 10.0</t>
        </is>
      </c>
      <c r="E18" s="5" t="inlineStr">
        <is>
          <t>Install only temperature sensors (free issued by Trane)</t>
        </is>
      </c>
      <c r="F18" s="6" t="inlineStr">
        <is>
          <t>512,617</t>
        </is>
      </c>
      <c r="G18" s="7" t="n">
        <v>136.56</v>
      </c>
      <c r="H18" s="7" t="n">
        <v>0</v>
      </c>
      <c r="I18" s="8" t="n">
        <v>3</v>
      </c>
      <c r="J18" s="8" t="n">
        <v>0</v>
      </c>
      <c r="K18" s="8" t="n">
        <v>3</v>
      </c>
      <c r="L18" s="8" t="n">
        <v>0</v>
      </c>
      <c r="M18" s="7" t="n">
        <v>101.16</v>
      </c>
      <c r="N18" s="7" t="n">
        <v>35.40000000000001</v>
      </c>
      <c r="O18" s="9" t="n">
        <v>0.2592267135325132</v>
      </c>
      <c r="P18" s="6" t="inlineStr">
        <is>
          <t>OK</t>
        </is>
      </c>
    </row>
    <row r="19" ht="22" customHeight="1">
      <c r="A19" s="4" t="n">
        <v>15</v>
      </c>
      <c r="B19" s="5" t="inlineStr">
        <is>
          <t>E25-0465 (ELM)</t>
        </is>
      </c>
      <c r="C19" s="6" t="n">
        <v>241</v>
      </c>
      <c r="D19" s="6" t="inlineStr">
        <is>
          <t>Item: a.</t>
        </is>
      </c>
      <c r="E19" s="5" t="inlineStr">
        <is>
          <t>DN150</t>
        </is>
      </c>
      <c r="F19" s="6" t="inlineStr">
        <is>
          <t>512</t>
        </is>
      </c>
      <c r="G19" s="7" t="n">
        <v>14194.89</v>
      </c>
      <c r="H19" s="7" t="n">
        <v>9449.73</v>
      </c>
      <c r="I19" s="8" t="n">
        <v>38.1</v>
      </c>
      <c r="J19" s="8" t="n">
        <v>35.09999999999999</v>
      </c>
      <c r="K19" s="8" t="n">
        <v>3</v>
      </c>
      <c r="L19" s="8" t="n">
        <v>0</v>
      </c>
      <c r="M19" s="7" t="n">
        <v>1065.006</v>
      </c>
      <c r="N19" s="7" t="n">
        <v>3680.154</v>
      </c>
      <c r="O19" s="9" t="n">
        <v>0.2592590713982285</v>
      </c>
      <c r="P19" s="6" t="inlineStr">
        <is>
          <t>OK</t>
        </is>
      </c>
    </row>
    <row r="20" ht="22" customHeight="1">
      <c r="A20" s="4" t="n">
        <v>16</v>
      </c>
      <c r="B20" s="5" t="inlineStr">
        <is>
          <t>E25-0465 (ELM)</t>
        </is>
      </c>
      <c r="C20" s="6" t="n">
        <v>261</v>
      </c>
      <c r="D20" s="6" t="inlineStr">
        <is>
          <t>Item: a.</t>
        </is>
      </c>
      <c r="E20" s="5" t="inlineStr">
        <is>
          <t>DN150</t>
        </is>
      </c>
      <c r="F20" s="6" t="inlineStr">
        <is>
          <t>512</t>
        </is>
      </c>
      <c r="G20" s="7" t="n">
        <v>14213.88</v>
      </c>
      <c r="H20" s="7" t="n">
        <v>10427.64</v>
      </c>
      <c r="I20" s="8" t="n">
        <v>3</v>
      </c>
      <c r="J20" s="8" t="n">
        <v>0</v>
      </c>
      <c r="K20" s="8" t="n">
        <v>3</v>
      </c>
      <c r="L20" s="8" t="n">
        <v>0</v>
      </c>
      <c r="M20" s="7" t="n">
        <v>101.16</v>
      </c>
      <c r="N20" s="7" t="n">
        <v>3685.08</v>
      </c>
      <c r="O20" s="9" t="n">
        <v>0.2592592592592592</v>
      </c>
      <c r="P20" s="6" t="inlineStr">
        <is>
          <t>OK</t>
        </is>
      </c>
    </row>
    <row r="21" ht="22" customHeight="1">
      <c r="A21" s="4" t="n">
        <v>17</v>
      </c>
      <c r="B21" s="5" t="inlineStr">
        <is>
          <t>E25-0465 (ELM)</t>
        </is>
      </c>
      <c r="C21" s="6" t="n">
        <v>277</v>
      </c>
      <c r="D21" s="6" t="inlineStr">
        <is>
          <t>Item: 30.0</t>
        </is>
      </c>
      <c r="E21" s="5" t="inlineStr">
        <is>
          <t>Flow switch</t>
        </is>
      </c>
      <c r="F21" s="6" t="inlineStr">
        <is>
          <t>512,617</t>
        </is>
      </c>
      <c r="G21" s="7" t="n">
        <v>388.2</v>
      </c>
      <c r="H21" s="7" t="n">
        <v>236.97</v>
      </c>
      <c r="I21" s="8" t="n">
        <v>1.5</v>
      </c>
      <c r="J21" s="8" t="n">
        <v>0</v>
      </c>
      <c r="K21" s="8" t="n">
        <v>1.5</v>
      </c>
      <c r="L21" s="8" t="n">
        <v>0</v>
      </c>
      <c r="M21" s="7" t="n">
        <v>50.58</v>
      </c>
      <c r="N21" s="7" t="n">
        <v>100.65</v>
      </c>
      <c r="O21" s="9" t="n">
        <v>0.2592735703245749</v>
      </c>
      <c r="P21" s="6" t="inlineStr">
        <is>
          <t>OK</t>
        </is>
      </c>
    </row>
    <row r="22" ht="22" customHeight="1">
      <c r="A22" s="4" t="n">
        <v>18</v>
      </c>
      <c r="B22" s="5" t="inlineStr">
        <is>
          <t>E25-0465 (ELM)</t>
        </is>
      </c>
      <c r="C22" s="6" t="n">
        <v>291</v>
      </c>
      <c r="D22" s="6" t="inlineStr">
        <is>
          <t>Item: 31.0</t>
        </is>
      </c>
      <c r="E22" s="5" t="inlineStr">
        <is>
          <t>Install only temperature sensors (free issued by Trane)</t>
        </is>
      </c>
      <c r="F22" s="6" t="inlineStr">
        <is>
          <t>512,617</t>
        </is>
      </c>
      <c r="G22" s="7" t="n">
        <v>136.56</v>
      </c>
      <c r="H22" s="7" t="n">
        <v>0</v>
      </c>
      <c r="I22" s="8" t="n">
        <v>3</v>
      </c>
      <c r="J22" s="8" t="n">
        <v>0</v>
      </c>
      <c r="K22" s="8" t="n">
        <v>3</v>
      </c>
      <c r="L22" s="8" t="n">
        <v>0</v>
      </c>
      <c r="M22" s="7" t="n">
        <v>101.16</v>
      </c>
      <c r="N22" s="7" t="n">
        <v>35.40000000000001</v>
      </c>
      <c r="O22" s="9" t="n">
        <v>0.2592267135325132</v>
      </c>
      <c r="P22" s="6" t="inlineStr">
        <is>
          <t>OK</t>
        </is>
      </c>
    </row>
    <row r="23" ht="22" customHeight="1">
      <c r="A23" s="4" t="n">
        <v>19</v>
      </c>
      <c r="B23" s="5" t="inlineStr">
        <is>
          <t>E25-0465 (ELM)</t>
        </is>
      </c>
      <c r="C23" s="6" t="n">
        <v>394</v>
      </c>
      <c r="D23" s="6" t="inlineStr">
        <is>
          <t>Item: c</t>
        </is>
      </c>
      <c r="E23" s="5" t="inlineStr">
        <is>
          <t>DN150</t>
        </is>
      </c>
      <c r="F23" s="6" t="inlineStr">
        <is>
          <t>512,617</t>
        </is>
      </c>
      <c r="G23" s="7" t="n">
        <v>136.56</v>
      </c>
      <c r="H23" s="7" t="n">
        <v>0</v>
      </c>
      <c r="I23" s="8" t="n">
        <v>3</v>
      </c>
      <c r="J23" s="8" t="n">
        <v>0</v>
      </c>
      <c r="K23" s="8" t="n">
        <v>3</v>
      </c>
      <c r="L23" s="8" t="n">
        <v>0</v>
      </c>
      <c r="M23" s="7" t="n">
        <v>101.16</v>
      </c>
      <c r="N23" s="7" t="n">
        <v>35.40000000000001</v>
      </c>
      <c r="O23" s="9" t="n">
        <v>0.2592267135325132</v>
      </c>
      <c r="P23" s="6" t="inlineStr">
        <is>
          <t>OK</t>
        </is>
      </c>
    </row>
    <row r="24" ht="22" customHeight="1">
      <c r="A24" s="4" t="n">
        <v>20</v>
      </c>
      <c r="B24" s="5" t="inlineStr">
        <is>
          <t>E25-0465 (ELM)</t>
        </is>
      </c>
      <c r="C24" s="6" t="n">
        <v>415</v>
      </c>
      <c r="D24" s="6" t="inlineStr">
        <is>
          <t>Item: 46.0</t>
        </is>
      </c>
      <c r="E24" s="5" t="inlineStr">
        <is>
          <t>Install only Screw type cooling only chiller ref. C-4 inclusive of flexible bell</t>
        </is>
      </c>
      <c r="F24" s="6" t="inlineStr">
        <is>
          <t>617</t>
        </is>
      </c>
      <c r="G24" s="7" t="n">
        <v>777.51</v>
      </c>
      <c r="H24" s="7" t="n">
        <v>284.86</v>
      </c>
      <c r="I24" s="8" t="n">
        <v>10.6</v>
      </c>
      <c r="J24" s="8" t="n">
        <v>10.6</v>
      </c>
      <c r="K24" s="8" t="n">
        <v>0</v>
      </c>
      <c r="L24" s="8" t="n">
        <v>0</v>
      </c>
      <c r="M24" s="7" t="n">
        <v>291.076</v>
      </c>
      <c r="N24" s="7" t="n">
        <v>201.574</v>
      </c>
      <c r="O24" s="9" t="n">
        <v>0.2592558295070159</v>
      </c>
      <c r="P24" s="6" t="inlineStr">
        <is>
          <t>OK</t>
        </is>
      </c>
    </row>
    <row r="25" ht="22" customHeight="1">
      <c r="A25" s="4" t="n">
        <v>21</v>
      </c>
      <c r="B25" s="5" t="inlineStr">
        <is>
          <t>E25-0465 (ELM)</t>
        </is>
      </c>
      <c r="C25" s="6" t="n">
        <v>451</v>
      </c>
      <c r="D25" s="6" t="inlineStr">
        <is>
          <t>Item: 50.0a.</t>
        </is>
      </c>
      <c r="E25" s="5" t="inlineStr">
        <is>
          <t>DN150</t>
        </is>
      </c>
      <c r="F25" s="6" t="inlineStr">
        <is>
          <t>512</t>
        </is>
      </c>
      <c r="G25" s="7" t="n">
        <v>3991.72</v>
      </c>
      <c r="H25" s="7" t="n">
        <v>2923.11</v>
      </c>
      <c r="I25" s="8" t="n">
        <v>1</v>
      </c>
      <c r="J25" s="8" t="n">
        <v>0</v>
      </c>
      <c r="K25" s="8" t="n">
        <v>1</v>
      </c>
      <c r="L25" s="8" t="n">
        <v>0</v>
      </c>
      <c r="M25" s="7" t="n">
        <v>33.72</v>
      </c>
      <c r="N25" s="7" t="n">
        <v>1034.89</v>
      </c>
      <c r="O25" s="9" t="n">
        <v>0.2592591664746023</v>
      </c>
      <c r="P25" s="6" t="inlineStr">
        <is>
          <t>OK</t>
        </is>
      </c>
    </row>
    <row r="26" ht="22" customHeight="1">
      <c r="A26" s="4" t="n">
        <v>22</v>
      </c>
      <c r="B26" s="5" t="inlineStr">
        <is>
          <t>E25-0465 (ELM)</t>
        </is>
      </c>
      <c r="C26" s="6" t="n">
        <v>604</v>
      </c>
      <c r="D26" s="6" t="inlineStr">
        <is>
          <t>Item: 14.0</t>
        </is>
      </c>
      <c r="E26" s="5" t="inlineStr">
        <is>
          <t>Install only temperature sensors (free issued by Trane)</t>
        </is>
      </c>
      <c r="F26" s="6" t="inlineStr">
        <is>
          <t>512,617</t>
        </is>
      </c>
      <c r="G26" s="7" t="n">
        <v>91.04000000000001</v>
      </c>
      <c r="H26" s="7" t="n">
        <v>0</v>
      </c>
      <c r="I26" s="8" t="n">
        <v>2</v>
      </c>
      <c r="J26" s="8" t="n">
        <v>0</v>
      </c>
      <c r="K26" s="8" t="n">
        <v>2</v>
      </c>
      <c r="L26" s="8" t="n">
        <v>0</v>
      </c>
      <c r="M26" s="7" t="n">
        <v>67.44</v>
      </c>
      <c r="N26" s="7" t="n">
        <v>23.60000000000001</v>
      </c>
      <c r="O26" s="9" t="n">
        <v>0.2592267135325133</v>
      </c>
      <c r="P26" s="6" t="inlineStr">
        <is>
          <t>OK</t>
        </is>
      </c>
    </row>
    <row r="27" ht="22" customHeight="1">
      <c r="A27" s="4" t="n">
        <v>23</v>
      </c>
      <c r="B27" s="5" t="inlineStr">
        <is>
          <t>E25-0465 (ELM)</t>
        </is>
      </c>
      <c r="C27" s="6" t="n">
        <v>718</v>
      </c>
      <c r="D27" s="6" t="inlineStr">
        <is>
          <t>Item: 28.0</t>
        </is>
      </c>
      <c r="E27" s="5" t="inlineStr">
        <is>
          <t>Install only HTHP's ref. HTHP-1, HTHP-2 and HTHP-3 inclusive of flexible bellows</t>
        </is>
      </c>
      <c r="F27" s="6" t="inlineStr">
        <is>
          <t>617</t>
        </is>
      </c>
      <c r="G27" s="7" t="n">
        <v>2332.53</v>
      </c>
      <c r="H27" s="7" t="n">
        <v>854.5700000000001</v>
      </c>
      <c r="I27" s="8" t="n">
        <v>31.8</v>
      </c>
      <c r="J27" s="8" t="n">
        <v>31.8</v>
      </c>
      <c r="K27" s="8" t="n">
        <v>0</v>
      </c>
      <c r="L27" s="8" t="n">
        <v>0</v>
      </c>
      <c r="M27" s="7" t="n">
        <v>873.228</v>
      </c>
      <c r="N27" s="7" t="n">
        <v>604.7320000000001</v>
      </c>
      <c r="O27" s="9" t="n">
        <v>0.2592601166973201</v>
      </c>
      <c r="P27" s="6" t="inlineStr">
        <is>
          <t>OK</t>
        </is>
      </c>
    </row>
    <row r="28" ht="22" customHeight="1">
      <c r="A28" s="4" t="n">
        <v>24</v>
      </c>
      <c r="B28" s="5" t="inlineStr">
        <is>
          <t>E25-0465 (ELM)</t>
        </is>
      </c>
      <c r="C28" s="6" t="n">
        <v>2743</v>
      </c>
      <c r="D28" s="6" t="inlineStr">
        <is>
          <t>Item: 3.0</t>
        </is>
      </c>
      <c r="E28" s="5" t="inlineStr">
        <is>
          <t xml:space="preserve">Refrigerant leak detectors to detect when refrigerant concentration exceeds 25% </t>
        </is>
      </c>
      <c r="F28" s="6" t="inlineStr">
        <is>
          <t>512,617</t>
        </is>
      </c>
      <c r="G28" s="7" t="n">
        <v>8392.440000000001</v>
      </c>
      <c r="H28" s="7" t="n">
        <v>5120.98</v>
      </c>
      <c r="I28" s="8" t="n">
        <v>39.9</v>
      </c>
      <c r="J28" s="8" t="n">
        <v>39.9</v>
      </c>
      <c r="K28" s="8" t="n">
        <v>0</v>
      </c>
      <c r="L28" s="8" t="n">
        <v>0</v>
      </c>
      <c r="M28" s="7" t="n">
        <v>1095.654</v>
      </c>
      <c r="N28" s="7" t="n">
        <v>2175.806000000001</v>
      </c>
      <c r="O28" s="9" t="n">
        <v>0.2592578558798158</v>
      </c>
      <c r="P28" s="6" t="inlineStr">
        <is>
          <t>OK</t>
        </is>
      </c>
    </row>
    <row r="29" ht="22" customHeight="1">
      <c r="A29" s="4" t="n">
        <v>25</v>
      </c>
      <c r="B29" s="5" t="inlineStr">
        <is>
          <t>E25-0465 (ELM)</t>
        </is>
      </c>
      <c r="C29" s="6" t="n">
        <v>2764</v>
      </c>
      <c r="D29" s="6" t="inlineStr">
        <is>
          <t>Item: 4.0</t>
        </is>
      </c>
      <c r="E29" s="5" t="inlineStr">
        <is>
          <t xml:space="preserve">Refrigerant leak control system which automatically triggers visual and audible </t>
        </is>
      </c>
      <c r="F29" s="6" t="inlineStr">
        <is>
          <t>512,617</t>
        </is>
      </c>
      <c r="G29" s="7" t="n">
        <v>6720.5</v>
      </c>
      <c r="H29" s="7" t="n">
        <v>4386.39</v>
      </c>
      <c r="I29" s="8" t="n">
        <v>21.55</v>
      </c>
      <c r="J29" s="8" t="n">
        <v>21.55</v>
      </c>
      <c r="K29" s="8" t="n">
        <v>0</v>
      </c>
      <c r="L29" s="8" t="n">
        <v>0</v>
      </c>
      <c r="M29" s="7" t="n">
        <v>591.763</v>
      </c>
      <c r="N29" s="7" t="n">
        <v>1742.347</v>
      </c>
      <c r="O29" s="9" t="n">
        <v>0.2592585373112119</v>
      </c>
      <c r="P29" s="6" t="inlineStr">
        <is>
          <t>OK</t>
        </is>
      </c>
    </row>
    <row r="30" ht="22" customHeight="1">
      <c r="A30" s="4" t="n">
        <v>26</v>
      </c>
      <c r="B30" s="5" t="inlineStr">
        <is>
          <t>E25-0465 (ELM)</t>
        </is>
      </c>
      <c r="C30" s="6" t="n">
        <v>3006</v>
      </c>
      <c r="D30" s="6" t="inlineStr">
        <is>
          <t>Item: 1.0</t>
        </is>
      </c>
      <c r="E30" s="5" t="inlineStr">
        <is>
          <t>Carry out all necessary testing and commissioning to the satisfaction of the Cli</t>
        </is>
      </c>
      <c r="F30" s="6" t="inlineStr">
        <is>
          <t>512</t>
        </is>
      </c>
      <c r="G30" s="7" t="n">
        <v>1911.03</v>
      </c>
      <c r="H30" s="7" t="n">
        <v>549.04</v>
      </c>
      <c r="I30" s="8" t="n">
        <v>36</v>
      </c>
      <c r="J30" s="8" t="n">
        <v>28</v>
      </c>
      <c r="K30" s="8" t="n">
        <v>0</v>
      </c>
      <c r="L30" s="8" t="n">
        <v>8</v>
      </c>
      <c r="M30" s="7" t="n">
        <v>1008.88</v>
      </c>
      <c r="N30" s="7" t="n">
        <v>353.11</v>
      </c>
      <c r="O30" s="9" t="n">
        <v>0.1847747026472635</v>
      </c>
      <c r="P30" s="6" t="inlineStr">
        <is>
          <t>OK</t>
        </is>
      </c>
    </row>
    <row r="31" ht="22" customHeight="1">
      <c r="A31" s="4" t="n">
        <v>27</v>
      </c>
      <c r="B31" s="5" t="inlineStr">
        <is>
          <t>E25-0465 (ELM)</t>
        </is>
      </c>
      <c r="C31" s="6" t="n">
        <v>3029</v>
      </c>
      <c r="D31" s="6" t="inlineStr">
        <is>
          <t>Item: 2.0</t>
        </is>
      </c>
      <c r="E31" s="5" t="inlineStr">
        <is>
          <t>Provide sufficient training on the operation and maintenance of all plant and sy</t>
        </is>
      </c>
      <c r="F31" s="6" t="inlineStr">
        <is>
          <t>512</t>
        </is>
      </c>
      <c r="G31" s="7" t="n">
        <v>944.5700000000001</v>
      </c>
      <c r="H31" s="7" t="n">
        <v>0</v>
      </c>
      <c r="I31" s="8" t="n">
        <v>24</v>
      </c>
      <c r="J31" s="8" t="n">
        <v>8</v>
      </c>
      <c r="K31" s="8" t="n">
        <v>0</v>
      </c>
      <c r="L31" s="8" t="n">
        <v>16</v>
      </c>
      <c r="M31" s="7" t="n">
        <v>699.6800000000001</v>
      </c>
      <c r="N31" s="7" t="n">
        <v>244.89</v>
      </c>
      <c r="O31" s="9" t="n">
        <v>0.2592608276782027</v>
      </c>
      <c r="P31" s="6" t="inlineStr">
        <is>
          <t>OK</t>
        </is>
      </c>
    </row>
    <row r="32" ht="22" customHeight="1">
      <c r="A32" s="4" t="n">
        <v>28</v>
      </c>
      <c r="B32" s="5" t="inlineStr">
        <is>
          <t>E25-0465 (ELM)</t>
        </is>
      </c>
      <c r="C32" s="6" t="n">
        <v>3051</v>
      </c>
      <c r="D32" s="6" t="inlineStr">
        <is>
          <t>Item: 3.0</t>
        </is>
      </c>
      <c r="E32" s="5" t="inlineStr">
        <is>
          <t>Supply and hand-over two complete sets of operation and maintenance manuals toge</t>
        </is>
      </c>
      <c r="F32" s="6" t="inlineStr">
        <is>
          <t>512</t>
        </is>
      </c>
      <c r="G32" s="7" t="n">
        <v>1949.91</v>
      </c>
      <c r="H32" s="7" t="n">
        <v>1334.07</v>
      </c>
      <c r="I32" s="8" t="n">
        <v>8</v>
      </c>
      <c r="J32" s="8" t="n">
        <v>0</v>
      </c>
      <c r="K32" s="8" t="n">
        <v>8</v>
      </c>
      <c r="L32" s="8" t="n">
        <v>0</v>
      </c>
      <c r="M32" s="7" t="n">
        <v>269.76</v>
      </c>
      <c r="N32" s="7" t="n">
        <v>346.0800000000002</v>
      </c>
      <c r="O32" s="9" t="n">
        <v>0.1774851146976015</v>
      </c>
      <c r="P32" s="6" t="inlineStr">
        <is>
          <t>OK</t>
        </is>
      </c>
    </row>
    <row r="33" ht="22" customHeight="1">
      <c r="A33" s="4" t="n">
        <v>29</v>
      </c>
      <c r="B33" s="15" t="inlineStr">
        <is>
          <t>E25-0465 (ELM)</t>
        </is>
      </c>
      <c r="C33" s="16" t="n">
        <v>3082</v>
      </c>
      <c r="D33" s="16" t="inlineStr">
        <is>
          <t>Item: 1</t>
        </is>
      </c>
      <c r="E33" s="15" t="inlineStr">
        <is>
          <t>Allow for 3 years preventative maintenance for all contract scope including remo</t>
        </is>
      </c>
      <c r="F33" s="16" t="inlineStr">
        <is>
          <t>512</t>
        </is>
      </c>
      <c r="G33" s="17" t="n">
        <v>29592.12</v>
      </c>
      <c r="H33" s="17" t="n">
        <v>22347.12</v>
      </c>
      <c r="I33" s="18" t="n">
        <v>0</v>
      </c>
      <c r="J33" s="18" t="n">
        <v>0</v>
      </c>
      <c r="K33" s="18" t="n">
        <v>0</v>
      </c>
      <c r="L33" s="18" t="n">
        <v>0</v>
      </c>
      <c r="M33" s="17" t="n">
        <v>0</v>
      </c>
      <c r="N33" s="17" t="n">
        <v>7245</v>
      </c>
      <c r="O33" s="19" t="n">
        <v>0.2448286908812211</v>
      </c>
      <c r="P33" s="16" t="inlineStr">
        <is>
          <t>OK</t>
        </is>
      </c>
    </row>
    <row r="34" ht="18" customHeight="1">
      <c r="A34" s="20" t="inlineStr">
        <is>
          <t>TOTALS — All BMS Clusters</t>
        </is>
      </c>
      <c r="G34" s="21">
        <f>SUM(G5:G33)</f>
        <v/>
      </c>
      <c r="H34" s="21">
        <f>SUM(H5:H33)</f>
        <v/>
      </c>
      <c r="I34" s="22">
        <f>SUM(I5:I33)</f>
        <v/>
      </c>
      <c r="J34" s="22">
        <f>SUM(J5:J33)</f>
        <v/>
      </c>
      <c r="K34" s="22">
        <f>SUM(K5:K33)</f>
        <v/>
      </c>
      <c r="L34" s="22">
        <f>SUM(L5:L33)</f>
        <v/>
      </c>
      <c r="M34" s="21">
        <f>SUM(M5:M33)</f>
        <v/>
      </c>
      <c r="N34" s="21">
        <f>SUM(N5:N33)</f>
        <v/>
      </c>
      <c r="O34" s="23">
        <f>IF(G34&gt;0,N34/G34,0)</f>
        <v/>
      </c>
    </row>
  </sheetData>
  <mergeCells count="4">
    <mergeCell ref="A1:P1"/>
    <mergeCell ref="A34:F3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3" customWidth="1" min="4" max="4"/>
    <col width="11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</cols>
  <sheetData>
    <row r="1" ht="22" customHeight="1">
      <c r="A1" s="1" t="inlineStr">
        <is>
          <t>PANTA CONTRACTING LIMITED — BMS Labour Hours &amp; P&amp;L Summary   |   Intercontinental Hotel — Plant Retrofit</t>
        </is>
      </c>
    </row>
    <row r="2" ht="22" customHeight="1">
      <c r="A2" s="2" t="inlineStr">
        <is>
          <t>All hours are BMS team hours — mu_A/B/C are pricing rate bands only   |   05 April 2026</t>
        </is>
      </c>
    </row>
    <row r="3" ht="24" customHeight="1">
      <c r="A3" s="24" t="inlineStr">
        <is>
          <t>IMPORTANT: The BMS department is entitled to the full revenue, hours and profit for all clusters shown. mu_A/B/C indicate which labour rate was used for pricing — they do NOT indicate who performed the work. All work within a BMS cluster is BMS scope.</t>
        </is>
      </c>
    </row>
    <row r="4" ht="16" customHeight="1">
      <c r="A4" s="25" t="inlineStr">
        <is>
          <t xml:space="preserve">  E25-0477 (EL) — EL</t>
        </is>
      </c>
    </row>
    <row r="5" ht="13" customHeight="1">
      <c r="A5" s="26" t="inlineStr">
        <is>
          <t>mu_A = Electrical (cost €27.46/hr, sell €37.07/hr [ML_Sum (matches derived)])  |  mu_B = ECA (Technician) (cost €33.73/hr, sell €45.54/hr [Derived (sell÷markup)])  |  mu_C = ECA (Engineer) (cost €30.00/hr, sell €40.50/hr [Derived (sell÷markup)])</t>
        </is>
      </c>
    </row>
    <row r="6" ht="36" customHeight="1">
      <c r="A6" s="2" t="inlineStr">
        <is>
          <t>Item</t>
        </is>
      </c>
      <c r="B6" s="2" t="inlineStr">
        <is>
          <t>Item Name</t>
        </is>
      </c>
      <c r="C6" s="2" t="inlineStr">
        <is>
          <t>Sell Total
(€)</t>
        </is>
      </c>
      <c r="D6" s="2" t="inlineStr">
        <is>
          <t>Mat Cost
(€)</t>
        </is>
      </c>
      <c r="E6" s="2" t="inlineStr">
        <is>
          <t>Lab Hrs
Total</t>
        </is>
      </c>
      <c r="F6" s="2" t="inlineStr">
        <is>
          <t>mu_A
Electrical</t>
        </is>
      </c>
      <c r="G6" s="2" t="inlineStr">
        <is>
          <t>mu_B
ECA (Techn</t>
        </is>
      </c>
      <c r="H6" s="2" t="inlineStr">
        <is>
          <t>mu_C
ECA (Engin</t>
        </is>
      </c>
      <c r="I6" s="2" t="inlineStr">
        <is>
          <t>Lab Cost
(€)</t>
        </is>
      </c>
      <c r="J6" s="2" t="inlineStr">
        <is>
          <t>Gross Profit
(€)</t>
        </is>
      </c>
    </row>
    <row r="7" ht="14" customHeight="1">
      <c r="A7" s="4" t="inlineStr">
        <is>
          <t>Item: 1.0</t>
        </is>
      </c>
      <c r="B7" s="5" t="inlineStr">
        <is>
          <t xml:space="preserve">Take delivery at site of Trane EPC Tracer </t>
        </is>
      </c>
      <c r="C7" s="7" t="n">
        <v>1773.68</v>
      </c>
      <c r="D7" s="7" t="n">
        <v>0</v>
      </c>
      <c r="E7" s="8" t="n">
        <v>40</v>
      </c>
      <c r="F7" s="8" t="n">
        <v>0</v>
      </c>
      <c r="G7" s="8" t="n">
        <v>40</v>
      </c>
      <c r="H7" s="8" t="n">
        <v>0</v>
      </c>
      <c r="I7" s="7" t="n">
        <v>1349.2</v>
      </c>
      <c r="J7" s="7" t="n">
        <v>424.4800000000002</v>
      </c>
    </row>
    <row r="8" ht="14" customHeight="1">
      <c r="A8" s="4" t="inlineStr">
        <is>
          <t>Item: 1.0</t>
        </is>
      </c>
      <c r="B8" s="5" t="inlineStr">
        <is>
          <t xml:space="preserve">Supply, Installation and configuration of </t>
        </is>
      </c>
      <c r="C8" s="7" t="n">
        <v>4452.57</v>
      </c>
      <c r="D8" s="7" t="n">
        <v>3266.96</v>
      </c>
      <c r="E8" s="8" t="n">
        <v>4</v>
      </c>
      <c r="F8" s="8" t="n">
        <v>0</v>
      </c>
      <c r="G8" s="8" t="n">
        <v>0</v>
      </c>
      <c r="H8" s="8" t="n">
        <v>4</v>
      </c>
      <c r="I8" s="7" t="n">
        <v>120</v>
      </c>
      <c r="J8" s="7" t="n">
        <v>1065.61</v>
      </c>
    </row>
    <row r="9" ht="14" customHeight="1">
      <c r="A9" s="4" t="inlineStr">
        <is>
          <t>Item: 2.0</t>
        </is>
      </c>
      <c r="B9" s="5" t="inlineStr">
        <is>
          <t xml:space="preserve">Supply, installation and configuration of </t>
        </is>
      </c>
      <c r="C9" s="7" t="n">
        <v>4259.37</v>
      </c>
      <c r="D9" s="7" t="n">
        <v>3000</v>
      </c>
      <c r="E9" s="8" t="n">
        <v>8</v>
      </c>
      <c r="F9" s="8" t="n">
        <v>0</v>
      </c>
      <c r="G9" s="8" t="n">
        <v>0</v>
      </c>
      <c r="H9" s="8" t="n">
        <v>8</v>
      </c>
      <c r="I9" s="7" t="n">
        <v>240</v>
      </c>
      <c r="J9" s="7" t="n">
        <v>1019.37</v>
      </c>
    </row>
    <row r="10" ht="14" customHeight="1">
      <c r="A10" s="4" t="inlineStr">
        <is>
          <t>Item: 3</t>
        </is>
      </c>
      <c r="B10" s="5" t="inlineStr">
        <is>
          <t>Design, supply and installation of a compl</t>
        </is>
      </c>
      <c r="C10" s="7" t="n">
        <v>6299.5</v>
      </c>
      <c r="D10" s="7" t="n">
        <v>2828.03</v>
      </c>
      <c r="E10" s="8" t="n">
        <v>66.04000000000001</v>
      </c>
      <c r="F10" s="8" t="n">
        <v>42.03700000000001</v>
      </c>
      <c r="G10" s="8" t="n">
        <v>24</v>
      </c>
      <c r="H10" s="8" t="n">
        <v>0</v>
      </c>
      <c r="I10" s="7" t="n">
        <v>1963.85602</v>
      </c>
      <c r="J10" s="7" t="n">
        <v>1507.61398</v>
      </c>
    </row>
    <row r="11" ht="14" customHeight="1">
      <c r="A11" s="4" t="inlineStr">
        <is>
          <t>Item: 4</t>
        </is>
      </c>
      <c r="B11" s="5" t="inlineStr">
        <is>
          <t>Design, and configuration of alarms per da</t>
        </is>
      </c>
      <c r="C11" s="7" t="n">
        <v>2902.99</v>
      </c>
      <c r="D11" s="7" t="n">
        <v>100</v>
      </c>
      <c r="E11" s="8" t="n">
        <v>74</v>
      </c>
      <c r="F11" s="8" t="n">
        <v>44</v>
      </c>
      <c r="G11" s="8" t="n">
        <v>0</v>
      </c>
      <c r="H11" s="8" t="n">
        <v>30</v>
      </c>
      <c r="I11" s="7" t="n">
        <v>2108.24</v>
      </c>
      <c r="J11" s="7" t="n">
        <v>694.75</v>
      </c>
    </row>
    <row r="12" ht="14" customHeight="1">
      <c r="A12" s="4" t="inlineStr">
        <is>
          <t>Item: 5</t>
        </is>
      </c>
      <c r="B12" s="5" t="inlineStr">
        <is>
          <t>The configuration and upkeep of the trends</t>
        </is>
      </c>
      <c r="C12" s="7" t="n">
        <v>2267.64</v>
      </c>
      <c r="D12" s="7" t="n">
        <v>100</v>
      </c>
      <c r="E12" s="8" t="n">
        <v>56.4</v>
      </c>
      <c r="F12" s="8" t="n">
        <v>26.4</v>
      </c>
      <c r="G12" s="8" t="n">
        <v>0</v>
      </c>
      <c r="H12" s="8" t="n">
        <v>30</v>
      </c>
      <c r="I12" s="7" t="n">
        <v>1624.944</v>
      </c>
      <c r="J12" s="7" t="n">
        <v>542.6959999999999</v>
      </c>
    </row>
    <row r="13" ht="14" customHeight="1">
      <c r="A13" s="4" t="inlineStr">
        <is>
          <t>Item: 6</t>
        </is>
      </c>
      <c r="B13" s="5" t="inlineStr">
        <is>
          <t>All wiring, containment, field devices etc</t>
        </is>
      </c>
      <c r="C13" s="7" t="n">
        <v>152433.92</v>
      </c>
      <c r="D13" s="7" t="n">
        <v>46884.69</v>
      </c>
      <c r="E13" s="8" t="n">
        <v>2476.62</v>
      </c>
      <c r="F13" s="8" t="n">
        <v>2246.7</v>
      </c>
      <c r="G13" s="8" t="n">
        <v>127.67</v>
      </c>
      <c r="H13" s="8" t="n">
        <v>102.25</v>
      </c>
      <c r="I13" s="7" t="n">
        <v>69068.1911</v>
      </c>
      <c r="J13" s="7" t="n">
        <v>36481.03890000001</v>
      </c>
    </row>
    <row r="14" ht="14" customHeight="1">
      <c r="A14" s="4" t="inlineStr">
        <is>
          <t>Item: 2.0</t>
        </is>
      </c>
      <c r="B14" s="10" t="inlineStr">
        <is>
          <t>Motor Control Centre MCC-PR — BMS interfac [FLAG]</t>
        </is>
      </c>
      <c r="C14" s="12" t="n">
        <v>8499.860000000001</v>
      </c>
      <c r="D14" s="12" t="n">
        <v>4736.76</v>
      </c>
      <c r="E14" s="13" t="n">
        <v>40</v>
      </c>
      <c r="F14" s="13" t="n">
        <v>24</v>
      </c>
      <c r="G14" s="13" t="n">
        <v>16</v>
      </c>
      <c r="H14" s="13" t="n">
        <v>0</v>
      </c>
      <c r="I14" s="12" t="n">
        <v>1198.72</v>
      </c>
      <c r="J14" s="12" t="n">
        <v>2564.380000000001</v>
      </c>
    </row>
    <row r="15" ht="16" customHeight="1">
      <c r="A15" s="27" t="inlineStr">
        <is>
          <t>SUBTOTAL (in-scope)</t>
        </is>
      </c>
      <c r="B15" s="27">
        <f>IF(C15&gt;0,"Margin "&amp;TEXT(J15/C15,"0.0%"),"Margin —")</f>
        <v/>
      </c>
      <c r="C15" s="21">
        <f>SUM(C7:C14)</f>
        <v/>
      </c>
      <c r="D15" s="21">
        <f>SUM(D7:D14)</f>
        <v/>
      </c>
      <c r="E15" s="22">
        <f>SUM(E7:E14)</f>
        <v/>
      </c>
      <c r="F15" s="22">
        <f>SUM(F7:F14)</f>
        <v/>
      </c>
      <c r="G15" s="22">
        <f>SUM(G7:G14)</f>
        <v/>
      </c>
      <c r="H15" s="22">
        <f>SUM(H7:H14)</f>
        <v/>
      </c>
      <c r="I15" s="21">
        <f>SUM(I7:I14)</f>
        <v/>
      </c>
      <c r="J15" s="21">
        <f>SUM(J7:J14)</f>
        <v/>
      </c>
    </row>
    <row r="17" ht="16" customHeight="1">
      <c r="A17" s="25" t="inlineStr">
        <is>
          <t xml:space="preserve">  E25-0465 (ELM) — ELM</t>
        </is>
      </c>
    </row>
    <row r="18" ht="13" customHeight="1">
      <c r="A18" s="26" t="inlineStr">
        <is>
          <t>mu_A = Electrical (cost €27.46/hr, sell €37.07/hr [ML_Sum (matches derived)])  |  mu_B = Technician (cost €33.72/hr, sell €45.52/hr [ML_Sum (matches derived)])  |  mu_C = Engineer (Man Hours) (cost €30.00/hr, sell €40.50/hr [ML_Sum (matches derived)])</t>
        </is>
      </c>
    </row>
    <row r="19" ht="36" customHeight="1">
      <c r="A19" s="2" t="inlineStr">
        <is>
          <t>Item</t>
        </is>
      </c>
      <c r="B19" s="2" t="inlineStr">
        <is>
          <t>Item Name</t>
        </is>
      </c>
      <c r="C19" s="2" t="inlineStr">
        <is>
          <t>Sell Total
(€)</t>
        </is>
      </c>
      <c r="D19" s="2" t="inlineStr">
        <is>
          <t>Mat Cost
(€)</t>
        </is>
      </c>
      <c r="E19" s="2" t="inlineStr">
        <is>
          <t>Lab Hrs
Total</t>
        </is>
      </c>
      <c r="F19" s="2" t="inlineStr">
        <is>
          <t>mu_A
Electrical</t>
        </is>
      </c>
      <c r="G19" s="2" t="inlineStr">
        <is>
          <t>mu_B
Technician</t>
        </is>
      </c>
      <c r="H19" s="2" t="inlineStr">
        <is>
          <t>mu_C
Engineer (</t>
        </is>
      </c>
      <c r="I19" s="2" t="inlineStr">
        <is>
          <t>Lab Cost
(€)</t>
        </is>
      </c>
      <c r="J19" s="2" t="inlineStr">
        <is>
          <t>Gross Profit
(€)</t>
        </is>
      </c>
    </row>
    <row r="20" ht="14" customHeight="1">
      <c r="A20" s="4" t="inlineStr">
        <is>
          <t>Item: 1</t>
        </is>
      </c>
      <c r="B20" s="5" t="inlineStr">
        <is>
          <t>Install only Screw type reversible chiller</t>
        </is>
      </c>
      <c r="C20" s="7" t="n">
        <v>2332.53</v>
      </c>
      <c r="D20" s="7" t="n">
        <v>854.5700000000001</v>
      </c>
      <c r="E20" s="8" t="n">
        <v>31.8</v>
      </c>
      <c r="F20" s="8" t="n">
        <v>31.8</v>
      </c>
      <c r="G20" s="8" t="n">
        <v>0</v>
      </c>
      <c r="H20" s="8" t="n">
        <v>0</v>
      </c>
      <c r="I20" s="7" t="n">
        <v>873.228</v>
      </c>
      <c r="J20" s="7" t="n">
        <v>604.7320000000001</v>
      </c>
    </row>
    <row r="21" ht="14" customHeight="1">
      <c r="A21" s="4" t="inlineStr">
        <is>
          <t>Item: 5.0a.</t>
        </is>
      </c>
      <c r="B21" s="5" t="inlineStr">
        <is>
          <t>DN150</t>
        </is>
      </c>
      <c r="C21" s="7" t="n">
        <v>11975.16</v>
      </c>
      <c r="D21" s="7" t="n">
        <v>8769.33</v>
      </c>
      <c r="E21" s="8" t="n">
        <v>3</v>
      </c>
      <c r="F21" s="8" t="n">
        <v>0</v>
      </c>
      <c r="G21" s="8" t="n">
        <v>3</v>
      </c>
      <c r="H21" s="8" t="n">
        <v>0</v>
      </c>
      <c r="I21" s="7" t="n">
        <v>101.16</v>
      </c>
      <c r="J21" s="7" t="n">
        <v>3104.67</v>
      </c>
    </row>
    <row r="22" ht="14" customHeight="1">
      <c r="A22" s="4" t="inlineStr">
        <is>
          <t>Item: 6.0a.</t>
        </is>
      </c>
      <c r="B22" s="5" t="inlineStr">
        <is>
          <t>DN150</t>
        </is>
      </c>
      <c r="C22" s="7" t="n">
        <v>3662.94</v>
      </c>
      <c r="D22" s="7" t="n">
        <v>2662.71</v>
      </c>
      <c r="E22" s="8" t="n">
        <v>1.5</v>
      </c>
      <c r="F22" s="8" t="n">
        <v>0</v>
      </c>
      <c r="G22" s="8" t="n">
        <v>1.5</v>
      </c>
      <c r="H22" s="8" t="n">
        <v>0</v>
      </c>
      <c r="I22" s="7" t="n">
        <v>50.58</v>
      </c>
      <c r="J22" s="7" t="n">
        <v>949.65</v>
      </c>
    </row>
    <row r="23" ht="14" customHeight="1">
      <c r="A23" s="4" t="inlineStr">
        <is>
          <t>Item: 9.0a.</t>
        </is>
      </c>
      <c r="B23" s="5" t="inlineStr">
        <is>
          <t>DN150</t>
        </is>
      </c>
      <c r="C23" s="7" t="n">
        <v>14213.88</v>
      </c>
      <c r="D23" s="7" t="n">
        <v>10427.64</v>
      </c>
      <c r="E23" s="8" t="n">
        <v>3</v>
      </c>
      <c r="F23" s="8" t="n">
        <v>0</v>
      </c>
      <c r="G23" s="8" t="n">
        <v>3</v>
      </c>
      <c r="H23" s="8" t="n">
        <v>0</v>
      </c>
      <c r="I23" s="7" t="n">
        <v>101.16</v>
      </c>
      <c r="J23" s="7" t="n">
        <v>3685.08</v>
      </c>
    </row>
    <row r="24" ht="14" customHeight="1">
      <c r="A24" s="4" t="inlineStr">
        <is>
          <t>Item: 10.0</t>
        </is>
      </c>
      <c r="B24" s="5" t="inlineStr">
        <is>
          <t>Flow switch</t>
        </is>
      </c>
      <c r="C24" s="7" t="n">
        <v>388.2</v>
      </c>
      <c r="D24" s="7" t="n">
        <v>236.97</v>
      </c>
      <c r="E24" s="8" t="n">
        <v>1.5</v>
      </c>
      <c r="F24" s="8" t="n">
        <v>0</v>
      </c>
      <c r="G24" s="8" t="n">
        <v>1.5</v>
      </c>
      <c r="H24" s="8" t="n">
        <v>0</v>
      </c>
      <c r="I24" s="7" t="n">
        <v>50.58</v>
      </c>
      <c r="J24" s="7" t="n">
        <v>100.65</v>
      </c>
    </row>
    <row r="25" ht="14" customHeight="1">
      <c r="A25" s="4" t="inlineStr">
        <is>
          <t>Item: 10.0</t>
        </is>
      </c>
      <c r="B25" s="5" t="inlineStr">
        <is>
          <t>Install only temperature sensors (free iss</t>
        </is>
      </c>
      <c r="C25" s="7" t="n">
        <v>136.56</v>
      </c>
      <c r="D25" s="7" t="n">
        <v>0</v>
      </c>
      <c r="E25" s="8" t="n">
        <v>3</v>
      </c>
      <c r="F25" s="8" t="n">
        <v>0</v>
      </c>
      <c r="G25" s="8" t="n">
        <v>3</v>
      </c>
      <c r="H25" s="8" t="n">
        <v>0</v>
      </c>
      <c r="I25" s="7" t="n">
        <v>101.16</v>
      </c>
      <c r="J25" s="7" t="n">
        <v>35.40000000000001</v>
      </c>
    </row>
    <row r="26" ht="14" customHeight="1">
      <c r="A26" s="4" t="inlineStr">
        <is>
          <t>Item: a.</t>
        </is>
      </c>
      <c r="B26" s="5" t="inlineStr">
        <is>
          <t>DN150</t>
        </is>
      </c>
      <c r="C26" s="7" t="n">
        <v>14194.89</v>
      </c>
      <c r="D26" s="7" t="n">
        <v>9449.73</v>
      </c>
      <c r="E26" s="8" t="n">
        <v>38.1</v>
      </c>
      <c r="F26" s="8" t="n">
        <v>35.09999999999999</v>
      </c>
      <c r="G26" s="8" t="n">
        <v>3</v>
      </c>
      <c r="H26" s="8" t="n">
        <v>0</v>
      </c>
      <c r="I26" s="7" t="n">
        <v>1065.006</v>
      </c>
      <c r="J26" s="7" t="n">
        <v>3680.154</v>
      </c>
    </row>
    <row r="27" ht="14" customHeight="1">
      <c r="A27" s="4" t="inlineStr">
        <is>
          <t>Item: a.</t>
        </is>
      </c>
      <c r="B27" s="5" t="inlineStr">
        <is>
          <t>DN150</t>
        </is>
      </c>
      <c r="C27" s="7" t="n">
        <v>14213.88</v>
      </c>
      <c r="D27" s="7" t="n">
        <v>10427.64</v>
      </c>
      <c r="E27" s="8" t="n">
        <v>3</v>
      </c>
      <c r="F27" s="8" t="n">
        <v>0</v>
      </c>
      <c r="G27" s="8" t="n">
        <v>3</v>
      </c>
      <c r="H27" s="8" t="n">
        <v>0</v>
      </c>
      <c r="I27" s="7" t="n">
        <v>101.16</v>
      </c>
      <c r="J27" s="7" t="n">
        <v>3685.08</v>
      </c>
    </row>
    <row r="28" ht="14" customHeight="1">
      <c r="A28" s="4" t="inlineStr">
        <is>
          <t>Item: 30.0</t>
        </is>
      </c>
      <c r="B28" s="5" t="inlineStr">
        <is>
          <t>Flow switch</t>
        </is>
      </c>
      <c r="C28" s="7" t="n">
        <v>388.2</v>
      </c>
      <c r="D28" s="7" t="n">
        <v>236.97</v>
      </c>
      <c r="E28" s="8" t="n">
        <v>1.5</v>
      </c>
      <c r="F28" s="8" t="n">
        <v>0</v>
      </c>
      <c r="G28" s="8" t="n">
        <v>1.5</v>
      </c>
      <c r="H28" s="8" t="n">
        <v>0</v>
      </c>
      <c r="I28" s="7" t="n">
        <v>50.58</v>
      </c>
      <c r="J28" s="7" t="n">
        <v>100.65</v>
      </c>
    </row>
    <row r="29" ht="14" customHeight="1">
      <c r="A29" s="4" t="inlineStr">
        <is>
          <t>Item: 31.0</t>
        </is>
      </c>
      <c r="B29" s="5" t="inlineStr">
        <is>
          <t>Install only temperature sensors (free iss</t>
        </is>
      </c>
      <c r="C29" s="7" t="n">
        <v>136.56</v>
      </c>
      <c r="D29" s="7" t="n">
        <v>0</v>
      </c>
      <c r="E29" s="8" t="n">
        <v>3</v>
      </c>
      <c r="F29" s="8" t="n">
        <v>0</v>
      </c>
      <c r="G29" s="8" t="n">
        <v>3</v>
      </c>
      <c r="H29" s="8" t="n">
        <v>0</v>
      </c>
      <c r="I29" s="7" t="n">
        <v>101.16</v>
      </c>
      <c r="J29" s="7" t="n">
        <v>35.40000000000001</v>
      </c>
    </row>
    <row r="30" ht="14" customHeight="1">
      <c r="A30" s="4" t="inlineStr">
        <is>
          <t>Item: c</t>
        </is>
      </c>
      <c r="B30" s="5" t="inlineStr">
        <is>
          <t>DN150</t>
        </is>
      </c>
      <c r="C30" s="7" t="n">
        <v>136.56</v>
      </c>
      <c r="D30" s="7" t="n">
        <v>0</v>
      </c>
      <c r="E30" s="8" t="n">
        <v>3</v>
      </c>
      <c r="F30" s="8" t="n">
        <v>0</v>
      </c>
      <c r="G30" s="8" t="n">
        <v>3</v>
      </c>
      <c r="H30" s="8" t="n">
        <v>0</v>
      </c>
      <c r="I30" s="7" t="n">
        <v>101.16</v>
      </c>
      <c r="J30" s="7" t="n">
        <v>35.40000000000001</v>
      </c>
    </row>
    <row r="31" ht="14" customHeight="1">
      <c r="A31" s="4" t="inlineStr">
        <is>
          <t>Item: 46.0</t>
        </is>
      </c>
      <c r="B31" s="5" t="inlineStr">
        <is>
          <t>Install only Screw type cooling only chill</t>
        </is>
      </c>
      <c r="C31" s="7" t="n">
        <v>777.51</v>
      </c>
      <c r="D31" s="7" t="n">
        <v>284.86</v>
      </c>
      <c r="E31" s="8" t="n">
        <v>10.6</v>
      </c>
      <c r="F31" s="8" t="n">
        <v>10.6</v>
      </c>
      <c r="G31" s="8" t="n">
        <v>0</v>
      </c>
      <c r="H31" s="8" t="n">
        <v>0</v>
      </c>
      <c r="I31" s="7" t="n">
        <v>291.076</v>
      </c>
      <c r="J31" s="7" t="n">
        <v>201.574</v>
      </c>
    </row>
    <row r="32" ht="14" customHeight="1">
      <c r="A32" s="4" t="inlineStr">
        <is>
          <t>Item: 50.0a.</t>
        </is>
      </c>
      <c r="B32" s="5" t="inlineStr">
        <is>
          <t>DN150</t>
        </is>
      </c>
      <c r="C32" s="7" t="n">
        <v>3991.72</v>
      </c>
      <c r="D32" s="7" t="n">
        <v>2923.11</v>
      </c>
      <c r="E32" s="8" t="n">
        <v>1</v>
      </c>
      <c r="F32" s="8" t="n">
        <v>0</v>
      </c>
      <c r="G32" s="8" t="n">
        <v>1</v>
      </c>
      <c r="H32" s="8" t="n">
        <v>0</v>
      </c>
      <c r="I32" s="7" t="n">
        <v>33.72</v>
      </c>
      <c r="J32" s="7" t="n">
        <v>1034.89</v>
      </c>
    </row>
    <row r="33" ht="14" customHeight="1">
      <c r="A33" s="4" t="inlineStr">
        <is>
          <t>Item: 14.0</t>
        </is>
      </c>
      <c r="B33" s="5" t="inlineStr">
        <is>
          <t>Install only temperature sensors (free iss</t>
        </is>
      </c>
      <c r="C33" s="7" t="n">
        <v>91.04000000000001</v>
      </c>
      <c r="D33" s="7" t="n">
        <v>0</v>
      </c>
      <c r="E33" s="8" t="n">
        <v>2</v>
      </c>
      <c r="F33" s="8" t="n">
        <v>0</v>
      </c>
      <c r="G33" s="8" t="n">
        <v>2</v>
      </c>
      <c r="H33" s="8" t="n">
        <v>0</v>
      </c>
      <c r="I33" s="7" t="n">
        <v>67.44</v>
      </c>
      <c r="J33" s="7" t="n">
        <v>23.60000000000001</v>
      </c>
    </row>
    <row r="34" ht="14" customHeight="1">
      <c r="A34" s="4" t="inlineStr">
        <is>
          <t>Item: 28.0</t>
        </is>
      </c>
      <c r="B34" s="5" t="inlineStr">
        <is>
          <t>Install only HTHP's ref. HTHP-1, HTHP-2 an</t>
        </is>
      </c>
      <c r="C34" s="7" t="n">
        <v>2332.53</v>
      </c>
      <c r="D34" s="7" t="n">
        <v>854.5700000000001</v>
      </c>
      <c r="E34" s="8" t="n">
        <v>31.8</v>
      </c>
      <c r="F34" s="8" t="n">
        <v>31.8</v>
      </c>
      <c r="G34" s="8" t="n">
        <v>0</v>
      </c>
      <c r="H34" s="8" t="n">
        <v>0</v>
      </c>
      <c r="I34" s="7" t="n">
        <v>873.228</v>
      </c>
      <c r="J34" s="7" t="n">
        <v>604.7320000000001</v>
      </c>
    </row>
    <row r="35" ht="14" customHeight="1">
      <c r="A35" s="4" t="inlineStr">
        <is>
          <t>Item: 3.0</t>
        </is>
      </c>
      <c r="B35" s="5" t="inlineStr">
        <is>
          <t xml:space="preserve">Refrigerant leak detectors to detect when </t>
        </is>
      </c>
      <c r="C35" s="7" t="n">
        <v>8392.440000000001</v>
      </c>
      <c r="D35" s="7" t="n">
        <v>5120.98</v>
      </c>
      <c r="E35" s="8" t="n">
        <v>39.9</v>
      </c>
      <c r="F35" s="8" t="n">
        <v>39.9</v>
      </c>
      <c r="G35" s="8" t="n">
        <v>0</v>
      </c>
      <c r="H35" s="8" t="n">
        <v>0</v>
      </c>
      <c r="I35" s="7" t="n">
        <v>1095.654</v>
      </c>
      <c r="J35" s="7" t="n">
        <v>2175.806000000001</v>
      </c>
    </row>
    <row r="36" ht="14" customHeight="1">
      <c r="A36" s="4" t="inlineStr">
        <is>
          <t>Item: 4.0</t>
        </is>
      </c>
      <c r="B36" s="5" t="inlineStr">
        <is>
          <t>Refrigerant leak control system which auto</t>
        </is>
      </c>
      <c r="C36" s="7" t="n">
        <v>6720.5</v>
      </c>
      <c r="D36" s="7" t="n">
        <v>4386.39</v>
      </c>
      <c r="E36" s="8" t="n">
        <v>21.55</v>
      </c>
      <c r="F36" s="8" t="n">
        <v>21.55</v>
      </c>
      <c r="G36" s="8" t="n">
        <v>0</v>
      </c>
      <c r="H36" s="8" t="n">
        <v>0</v>
      </c>
      <c r="I36" s="7" t="n">
        <v>591.763</v>
      </c>
      <c r="J36" s="7" t="n">
        <v>1742.347</v>
      </c>
    </row>
    <row r="37" ht="14" customHeight="1">
      <c r="A37" s="4" t="inlineStr">
        <is>
          <t>Item: 1.0</t>
        </is>
      </c>
      <c r="B37" s="5" t="inlineStr">
        <is>
          <t>Carry out all necessary testing and commis</t>
        </is>
      </c>
      <c r="C37" s="7" t="n">
        <v>1911.03</v>
      </c>
      <c r="D37" s="7" t="n">
        <v>549.04</v>
      </c>
      <c r="E37" s="8" t="n">
        <v>36</v>
      </c>
      <c r="F37" s="8" t="n">
        <v>28</v>
      </c>
      <c r="G37" s="8" t="n">
        <v>0</v>
      </c>
      <c r="H37" s="8" t="n">
        <v>8</v>
      </c>
      <c r="I37" s="7" t="n">
        <v>1008.88</v>
      </c>
      <c r="J37" s="7" t="n">
        <v>353.11</v>
      </c>
    </row>
    <row r="38" ht="14" customHeight="1">
      <c r="A38" s="4" t="inlineStr">
        <is>
          <t>Item: 2.0</t>
        </is>
      </c>
      <c r="B38" s="5" t="inlineStr">
        <is>
          <t>Provide sufficient training on the operati</t>
        </is>
      </c>
      <c r="C38" s="7" t="n">
        <v>944.5700000000001</v>
      </c>
      <c r="D38" s="7" t="n">
        <v>0</v>
      </c>
      <c r="E38" s="8" t="n">
        <v>24</v>
      </c>
      <c r="F38" s="8" t="n">
        <v>8</v>
      </c>
      <c r="G38" s="8" t="n">
        <v>0</v>
      </c>
      <c r="H38" s="8" t="n">
        <v>16</v>
      </c>
      <c r="I38" s="7" t="n">
        <v>699.6800000000001</v>
      </c>
      <c r="J38" s="7" t="n">
        <v>244.89</v>
      </c>
    </row>
    <row r="39" ht="14" customHeight="1">
      <c r="A39" s="4" t="inlineStr">
        <is>
          <t>Item: 3.0</t>
        </is>
      </c>
      <c r="B39" s="5" t="inlineStr">
        <is>
          <t xml:space="preserve">Supply and hand-over two complete sets of </t>
        </is>
      </c>
      <c r="C39" s="7" t="n">
        <v>1949.91</v>
      </c>
      <c r="D39" s="7" t="n">
        <v>1334.07</v>
      </c>
      <c r="E39" s="8" t="n">
        <v>8</v>
      </c>
      <c r="F39" s="8" t="n">
        <v>0</v>
      </c>
      <c r="G39" s="8" t="n">
        <v>8</v>
      </c>
      <c r="H39" s="8" t="n">
        <v>0</v>
      </c>
      <c r="I39" s="7" t="n">
        <v>269.76</v>
      </c>
      <c r="J39" s="7" t="n">
        <v>346.0800000000002</v>
      </c>
    </row>
    <row r="40" ht="16" customHeight="1">
      <c r="A40" s="27" t="inlineStr">
        <is>
          <t>SUBTOTAL (in-scope)</t>
        </is>
      </c>
      <c r="B40" s="27">
        <f>IF(C40&gt;0,"Margin "&amp;TEXT(J40/C40,"0.0%"),"Margin —")</f>
        <v/>
      </c>
      <c r="C40" s="21">
        <f>SUM(C20:C39)</f>
        <v/>
      </c>
      <c r="D40" s="21">
        <f>SUM(D20:D39)</f>
        <v/>
      </c>
      <c r="E40" s="22">
        <f>SUM(E20:E39)</f>
        <v/>
      </c>
      <c r="F40" s="22">
        <f>SUM(F20:F39)</f>
        <v/>
      </c>
      <c r="G40" s="22">
        <f>SUM(G20:G39)</f>
        <v/>
      </c>
      <c r="H40" s="22">
        <f>SUM(H20:H39)</f>
        <v/>
      </c>
      <c r="I40" s="21">
        <f>SUM(I20:I39)</f>
        <v/>
      </c>
      <c r="J40" s="21">
        <f>SUM(J20:J39)</f>
        <v/>
      </c>
    </row>
    <row r="41" ht="14" customHeight="1">
      <c r="A41" s="4" t="inlineStr">
        <is>
          <t>Item: 1</t>
        </is>
      </c>
      <c r="B41" s="15" t="inlineStr">
        <is>
          <t>Allow for 3 years preventative maintenance [MAINT — excl. from subtotal]</t>
        </is>
      </c>
      <c r="C41" s="17" t="n">
        <v>29592.12</v>
      </c>
      <c r="D41" s="17" t="n">
        <v>22347.12</v>
      </c>
      <c r="E41" s="18" t="n">
        <v>0</v>
      </c>
      <c r="F41" s="18" t="n">
        <v>0</v>
      </c>
      <c r="G41" s="18" t="n">
        <v>0</v>
      </c>
      <c r="H41" s="18" t="n">
        <v>0</v>
      </c>
      <c r="I41" s="17" t="n">
        <v>0</v>
      </c>
      <c r="J41" s="17" t="n">
        <v>7245</v>
      </c>
    </row>
    <row r="43" ht="20" customHeight="1">
      <c r="A43" s="28" t="inlineStr">
        <is>
          <t xml:space="preserve">  COMBINED BMS P&amp;L — Intercontinental Hotel — Plant Retrofit (excl. Maintenance)</t>
        </is>
      </c>
    </row>
    <row r="44" ht="16" customHeight="1">
      <c r="A44" s="29" t="inlineStr">
        <is>
          <t>Combined Project Revenue</t>
        </is>
      </c>
      <c r="C44" s="30">
        <f>551834.47</f>
        <v/>
      </c>
      <c r="D44" s="31" t="n"/>
      <c r="E44" s="31" t="n"/>
      <c r="F44" s="31" t="n"/>
      <c r="G44" s="31" t="n"/>
      <c r="H44" s="31" t="n"/>
      <c r="I44" s="31" t="n"/>
      <c r="J44" s="31" t="n"/>
    </row>
    <row r="45" ht="16" customHeight="1">
      <c r="A45" s="32" t="inlineStr">
        <is>
          <t>BMS Revenue (in-scope)</t>
        </is>
      </c>
      <c r="C45" s="33">
        <f>C15+C40</f>
        <v/>
      </c>
      <c r="D45" s="34" t="n"/>
      <c r="E45" s="34" t="n"/>
      <c r="F45" s="34" t="n"/>
      <c r="G45" s="34" t="n"/>
      <c r="H45" s="34" t="n"/>
      <c r="I45" s="34" t="n"/>
      <c r="J45" s="34" t="n"/>
    </row>
    <row r="46" ht="16" customHeight="1">
      <c r="A46" s="32" t="inlineStr">
        <is>
          <t>BMS Attribution %</t>
        </is>
      </c>
      <c r="C46" s="35">
        <f>IF(C44&gt;0,C45/C44,0)</f>
        <v/>
      </c>
      <c r="D46" s="34" t="n"/>
      <c r="E46" s="34" t="n"/>
      <c r="F46" s="34" t="n"/>
      <c r="G46" s="34" t="n"/>
      <c r="H46" s="34" t="n"/>
      <c r="I46" s="34" t="n"/>
      <c r="J46" s="34" t="n"/>
    </row>
    <row r="47" ht="16" customHeight="1">
      <c r="A47" s="36" t="inlineStr">
        <is>
          <t>BMS Material Cost</t>
        </is>
      </c>
      <c r="C47" s="37">
        <f>D15+D40</f>
        <v/>
      </c>
      <c r="D47" s="38" t="n"/>
      <c r="E47" s="38" t="n"/>
      <c r="F47" s="38" t="n"/>
      <c r="G47" s="38" t="n"/>
      <c r="H47" s="38" t="n"/>
      <c r="I47" s="38" t="n"/>
      <c r="J47" s="38" t="n"/>
    </row>
    <row r="48" ht="16" customHeight="1">
      <c r="A48" s="36" t="inlineStr">
        <is>
          <t>BMS Labour Hours — Total</t>
        </is>
      </c>
      <c r="C48" s="39">
        <f>E15+E40</f>
        <v/>
      </c>
      <c r="D48" s="38" t="n"/>
      <c r="E48" s="38" t="n"/>
      <c r="F48" s="38" t="n"/>
      <c r="G48" s="38" t="n"/>
      <c r="H48" s="38" t="n"/>
      <c r="I48" s="38" t="n"/>
      <c r="J48" s="38" t="n"/>
    </row>
    <row r="49" ht="16" customHeight="1">
      <c r="A49" s="29" t="inlineStr">
        <is>
          <t xml:space="preserve">  Electrical (mu_A)</t>
        </is>
      </c>
      <c r="C49" s="40">
        <f>F15+F40</f>
        <v/>
      </c>
      <c r="D49" s="31" t="n"/>
      <c r="E49" s="31" t="n"/>
      <c r="F49" s="31" t="n"/>
      <c r="G49" s="31" t="n"/>
      <c r="H49" s="31" t="n"/>
      <c r="I49" s="31" t="n"/>
      <c r="J49" s="31" t="n"/>
    </row>
    <row r="50" ht="16" customHeight="1">
      <c r="A50" s="29" t="inlineStr">
        <is>
          <t xml:space="preserve">  ECA (Technician) (mu_B)</t>
        </is>
      </c>
      <c r="C50" s="40">
        <f>G15+G40</f>
        <v/>
      </c>
      <c r="D50" s="31" t="n"/>
      <c r="E50" s="31" t="n"/>
      <c r="F50" s="31" t="n"/>
      <c r="G50" s="31" t="n"/>
      <c r="H50" s="31" t="n"/>
      <c r="I50" s="31" t="n"/>
      <c r="J50" s="31" t="n"/>
    </row>
    <row r="51" ht="16" customHeight="1">
      <c r="A51" s="29" t="inlineStr">
        <is>
          <t xml:space="preserve">  ECA (Engineer) (mu_C)</t>
        </is>
      </c>
      <c r="C51" s="40">
        <f>H15+H40</f>
        <v/>
      </c>
      <c r="D51" s="31" t="n"/>
      <c r="E51" s="31" t="n"/>
      <c r="F51" s="31" t="n"/>
      <c r="G51" s="31" t="n"/>
      <c r="H51" s="31" t="n"/>
      <c r="I51" s="31" t="n"/>
      <c r="J51" s="31" t="n"/>
    </row>
    <row r="52" ht="16" customHeight="1">
      <c r="A52" s="36" t="inlineStr">
        <is>
          <t>BMS Labour Cost</t>
        </is>
      </c>
      <c r="C52" s="37">
        <f>I15+I40</f>
        <v/>
      </c>
      <c r="D52" s="38" t="n"/>
      <c r="E52" s="38" t="n"/>
      <c r="F52" s="38" t="n"/>
      <c r="G52" s="38" t="n"/>
      <c r="H52" s="38" t="n"/>
      <c r="I52" s="38" t="n"/>
      <c r="J52" s="38" t="n"/>
    </row>
    <row r="53" ht="16" customHeight="1">
      <c r="A53" s="27" t="inlineStr">
        <is>
          <t>BMS Gross Profit</t>
        </is>
      </c>
      <c r="C53" s="21">
        <f>C45-C47-C52</f>
        <v/>
      </c>
      <c r="D53" s="41" t="n"/>
      <c r="E53" s="41" t="n"/>
      <c r="F53" s="41" t="n"/>
      <c r="G53" s="41" t="n"/>
      <c r="H53" s="41" t="n"/>
      <c r="I53" s="41" t="n"/>
      <c r="J53" s="41" t="n"/>
    </row>
    <row r="54" ht="16" customHeight="1">
      <c r="A54" s="27" t="inlineStr">
        <is>
          <t>BMS Gross Margin</t>
        </is>
      </c>
      <c r="C54" s="42">
        <f>IF(C45&gt;0,C53/C45,0)</f>
        <v/>
      </c>
      <c r="D54" s="41" t="n"/>
      <c r="E54" s="41" t="n"/>
      <c r="F54" s="41" t="n"/>
      <c r="G54" s="41" t="n"/>
      <c r="H54" s="41" t="n"/>
      <c r="I54" s="41" t="n"/>
      <c r="J54" s="41" t="n"/>
    </row>
  </sheetData>
  <mergeCells count="19">
    <mergeCell ref="A48:B48"/>
    <mergeCell ref="A5:J5"/>
    <mergeCell ref="A17:J17"/>
    <mergeCell ref="A49:B49"/>
    <mergeCell ref="A51:B51"/>
    <mergeCell ref="A45:B45"/>
    <mergeCell ref="A4:J4"/>
    <mergeCell ref="A43:J43"/>
    <mergeCell ref="A54:B54"/>
    <mergeCell ref="A46:B46"/>
    <mergeCell ref="A50:B50"/>
    <mergeCell ref="A1:J1"/>
    <mergeCell ref="A47:B47"/>
    <mergeCell ref="A53:B53"/>
    <mergeCell ref="A52:B52"/>
    <mergeCell ref="A18:J18"/>
    <mergeCell ref="A3:J3"/>
    <mergeCell ref="A44:B4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2026-04-05T13:19:12Z</dcterms:created>
  <dcterms:modified xsi:type="dcterms:W3CDTF">2026-04-05T13:19:12Z</dcterms:modified>
</cp:coreProperties>
</file>